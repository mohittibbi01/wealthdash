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ropbox\mohit job data (main folder)\z calculation sheets\"/>
    </mc:Choice>
  </mc:AlternateContent>
  <xr:revisionPtr revIDLastSave="0" documentId="13_ncr:1_{9ACEA55B-9F21-4D1C-A690-41ED74621DD3}" xr6:coauthVersionLast="47" xr6:coauthVersionMax="47" xr10:uidLastSave="{00000000-0000-0000-0000-000000000000}"/>
  <bookViews>
    <workbookView xWindow="-120" yWindow="-120" windowWidth="20730" windowHeight="11160" activeTab="3" xr2:uid="{F73BB9BC-E1B0-47D2-8079-807780F13202}"/>
  </bookViews>
  <sheets>
    <sheet name="Sheet2" sheetId="2" r:id="rId1"/>
    <sheet name="Sheet3" sheetId="3" r:id="rId2"/>
    <sheet name="Sheet5" sheetId="5" r:id="rId3"/>
    <sheet name="Sheet6" sheetId="6" r:id="rId4"/>
    <sheet name="Sheet1" sheetId="7" r:id="rId5"/>
  </sheets>
  <definedNames>
    <definedName name="_xlnm._FilterDatabase" localSheetId="0" hidden="1">Sheet2!$A$1:$E$277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5" i="3" l="1"/>
  <c r="D55" i="3" s="1"/>
  <c r="E55" i="3" s="1"/>
  <c r="C54" i="3"/>
  <c r="C56" i="3"/>
  <c r="D56" i="3" s="1"/>
  <c r="E56" i="3" s="1"/>
  <c r="B1" i="7"/>
  <c r="C42" i="3" l="1"/>
  <c r="D42" i="3" s="1"/>
  <c r="E42" i="3" s="1"/>
  <c r="C43" i="3"/>
  <c r="D43" i="3" s="1"/>
  <c r="E43" i="3" s="1"/>
  <c r="C44" i="3"/>
  <c r="D44" i="3" s="1"/>
  <c r="E44" i="3" s="1"/>
  <c r="C45" i="3"/>
  <c r="D45" i="3" s="1"/>
  <c r="E45" i="3" s="1"/>
  <c r="C46" i="3"/>
  <c r="D46" i="3" s="1"/>
  <c r="E46" i="3" s="1"/>
  <c r="C47" i="3"/>
  <c r="D47" i="3" s="1"/>
  <c r="E47" i="3" s="1"/>
  <c r="C48" i="3"/>
  <c r="D48" i="3" s="1"/>
  <c r="E48" i="3" s="1"/>
  <c r="C49" i="3"/>
  <c r="D49" i="3" s="1"/>
  <c r="E49" i="3" s="1"/>
  <c r="C50" i="3"/>
  <c r="D50" i="3" s="1"/>
  <c r="E50" i="3" s="1"/>
  <c r="C51" i="3"/>
  <c r="D51" i="3" s="1"/>
  <c r="E51" i="3" s="1"/>
  <c r="C52" i="3"/>
  <c r="D52" i="3" s="1"/>
  <c r="E52" i="3" s="1"/>
  <c r="C53" i="3"/>
  <c r="D53" i="3" s="1"/>
  <c r="E53" i="3" s="1"/>
  <c r="D54" i="3"/>
  <c r="E54" i="3" s="1"/>
  <c r="C41" i="3"/>
  <c r="D41" i="3" s="1"/>
  <c r="E41" i="3" s="1"/>
  <c r="C40" i="3"/>
  <c r="D40" i="3" s="1"/>
  <c r="E40" i="3" s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7" i="2"/>
  <c r="H6" i="2"/>
  <c r="H5" i="2"/>
  <c r="H4" i="2"/>
  <c r="B243" i="2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C30" i="3"/>
  <c r="D30" i="3" s="1"/>
  <c r="E30" i="3" s="1"/>
  <c r="C31" i="3"/>
  <c r="D31" i="3" s="1"/>
  <c r="E31" i="3" s="1"/>
  <c r="C32" i="3"/>
  <c r="D32" i="3" s="1"/>
  <c r="E32" i="3" s="1"/>
  <c r="C33" i="3"/>
  <c r="D33" i="3" s="1"/>
  <c r="E33" i="3" s="1"/>
  <c r="C34" i="3"/>
  <c r="D34" i="3" s="1"/>
  <c r="E34" i="3" s="1"/>
  <c r="C35" i="3"/>
  <c r="D35" i="3" s="1"/>
  <c r="E35" i="3" s="1"/>
  <c r="C36" i="3"/>
  <c r="D36" i="3" s="1"/>
  <c r="E36" i="3" s="1"/>
  <c r="C37" i="3"/>
  <c r="D37" i="3" s="1"/>
  <c r="E37" i="3" s="1"/>
  <c r="C38" i="3"/>
  <c r="D38" i="3" s="1"/>
  <c r="E38" i="3" s="1"/>
  <c r="C39" i="3"/>
  <c r="D39" i="3" s="1"/>
  <c r="E39" i="3" s="1"/>
  <c r="C22" i="3"/>
  <c r="D22" i="3" s="1"/>
  <c r="E22" i="3" s="1"/>
  <c r="C23" i="3"/>
  <c r="D23" i="3" s="1"/>
  <c r="E23" i="3" s="1"/>
  <c r="C24" i="3"/>
  <c r="D24" i="3" s="1"/>
  <c r="E24" i="3" s="1"/>
  <c r="C25" i="3"/>
  <c r="D25" i="3" s="1"/>
  <c r="E25" i="3" s="1"/>
  <c r="C26" i="3"/>
  <c r="D26" i="3" s="1"/>
  <c r="E26" i="3" s="1"/>
  <c r="C27" i="3"/>
  <c r="D27" i="3" s="1"/>
  <c r="E27" i="3" s="1"/>
  <c r="C28" i="3"/>
  <c r="D28" i="3" s="1"/>
  <c r="E28" i="3" s="1"/>
  <c r="C29" i="3"/>
  <c r="D29" i="3" s="1"/>
  <c r="E29" i="3" s="1"/>
  <c r="C21" i="3"/>
  <c r="D18" i="3"/>
  <c r="E18" i="3" s="1"/>
  <c r="D21" i="3"/>
  <c r="E21" i="3" s="1"/>
  <c r="C15" i="3"/>
  <c r="D15" i="3" s="1"/>
  <c r="E15" i="3" s="1"/>
  <c r="C16" i="3"/>
  <c r="D16" i="3" s="1"/>
  <c r="E16" i="3" s="1"/>
  <c r="C17" i="3"/>
  <c r="D17" i="3" s="1"/>
  <c r="E17" i="3" s="1"/>
  <c r="C18" i="3"/>
  <c r="C19" i="3"/>
  <c r="D19" i="3" s="1"/>
  <c r="E19" i="3" s="1"/>
  <c r="C20" i="3"/>
  <c r="D20" i="3" s="1"/>
  <c r="E20" i="3" s="1"/>
  <c r="C14" i="3"/>
  <c r="D14" i="3" s="1"/>
  <c r="E14" i="3" s="1"/>
  <c r="C165" i="2"/>
  <c r="D165" i="2" s="1"/>
  <c r="E165" i="2" s="1"/>
  <c r="C166" i="2"/>
  <c r="D166" i="2" s="1"/>
  <c r="E166" i="2" s="1"/>
  <c r="C167" i="2"/>
  <c r="D167" i="2" s="1"/>
  <c r="E167" i="2" s="1"/>
  <c r="C168" i="2"/>
  <c r="D168" i="2" s="1"/>
  <c r="E168" i="2" s="1"/>
  <c r="C169" i="2"/>
  <c r="D169" i="2" s="1"/>
  <c r="E169" i="2" s="1"/>
  <c r="C170" i="2"/>
  <c r="D170" i="2" s="1"/>
  <c r="E170" i="2" s="1"/>
  <c r="C171" i="2"/>
  <c r="D171" i="2" s="1"/>
  <c r="E171" i="2" s="1"/>
  <c r="C172" i="2"/>
  <c r="D172" i="2" s="1"/>
  <c r="E172" i="2" s="1"/>
  <c r="C173" i="2"/>
  <c r="D173" i="2" s="1"/>
  <c r="E173" i="2" s="1"/>
  <c r="C174" i="2"/>
  <c r="D174" i="2" s="1"/>
  <c r="E174" i="2" s="1"/>
  <c r="C175" i="2"/>
  <c r="D175" i="2" s="1"/>
  <c r="E175" i="2" s="1"/>
  <c r="C176" i="2"/>
  <c r="D176" i="2" s="1"/>
  <c r="E176" i="2" s="1"/>
  <c r="C177" i="2"/>
  <c r="D177" i="2" s="1"/>
  <c r="E177" i="2" s="1"/>
  <c r="C178" i="2"/>
  <c r="D178" i="2" s="1"/>
  <c r="E178" i="2" s="1"/>
  <c r="C179" i="2"/>
  <c r="D179" i="2" s="1"/>
  <c r="E179" i="2" s="1"/>
  <c r="C180" i="2"/>
  <c r="D180" i="2" s="1"/>
  <c r="E180" i="2" s="1"/>
  <c r="C181" i="2"/>
  <c r="D181" i="2" s="1"/>
  <c r="E181" i="2" s="1"/>
  <c r="I181" i="2" s="1"/>
  <c r="J181" i="2" s="1"/>
  <c r="C182" i="2"/>
  <c r="D182" i="2" s="1"/>
  <c r="E182" i="2" s="1"/>
  <c r="C183" i="2"/>
  <c r="D183" i="2" s="1"/>
  <c r="E183" i="2" s="1"/>
  <c r="C184" i="2"/>
  <c r="D184" i="2" s="1"/>
  <c r="E184" i="2" s="1"/>
  <c r="C185" i="2"/>
  <c r="D185" i="2" s="1"/>
  <c r="E185" i="2" s="1"/>
  <c r="C186" i="2"/>
  <c r="D186" i="2" s="1"/>
  <c r="E186" i="2" s="1"/>
  <c r="C187" i="2"/>
  <c r="D187" i="2" s="1"/>
  <c r="E187" i="2" s="1"/>
  <c r="C188" i="2"/>
  <c r="D188" i="2" s="1"/>
  <c r="E188" i="2" s="1"/>
  <c r="C189" i="2"/>
  <c r="D189" i="2" s="1"/>
  <c r="E189" i="2" s="1"/>
  <c r="C190" i="2"/>
  <c r="D190" i="2" s="1"/>
  <c r="E190" i="2" s="1"/>
  <c r="C191" i="2"/>
  <c r="D191" i="2" s="1"/>
  <c r="E191" i="2" s="1"/>
  <c r="C192" i="2"/>
  <c r="D192" i="2" s="1"/>
  <c r="E192" i="2" s="1"/>
  <c r="C193" i="2"/>
  <c r="D193" i="2" s="1"/>
  <c r="E193" i="2" s="1"/>
  <c r="I193" i="2" s="1"/>
  <c r="J193" i="2" s="1"/>
  <c r="C194" i="2"/>
  <c r="D194" i="2" s="1"/>
  <c r="E194" i="2" s="1"/>
  <c r="C195" i="2"/>
  <c r="D195" i="2" s="1"/>
  <c r="E195" i="2" s="1"/>
  <c r="C196" i="2"/>
  <c r="D196" i="2" s="1"/>
  <c r="E196" i="2" s="1"/>
  <c r="C197" i="2"/>
  <c r="D197" i="2" s="1"/>
  <c r="E197" i="2" s="1"/>
  <c r="C198" i="2"/>
  <c r="D198" i="2" s="1"/>
  <c r="E198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C17" i="2"/>
  <c r="D17" i="2" s="1"/>
  <c r="E17" i="2" s="1"/>
  <c r="C18" i="2"/>
  <c r="D18" i="2" s="1"/>
  <c r="E18" i="2" s="1"/>
  <c r="C19" i="2"/>
  <c r="D19" i="2" s="1"/>
  <c r="E19" i="2" s="1"/>
  <c r="I19" i="2" s="1"/>
  <c r="C20" i="2"/>
  <c r="D20" i="2" s="1"/>
  <c r="E20" i="2" s="1"/>
  <c r="C21" i="2"/>
  <c r="D21" i="2" s="1"/>
  <c r="E21" i="2" s="1"/>
  <c r="C22" i="2"/>
  <c r="D22" i="2" s="1"/>
  <c r="E22" i="2" s="1"/>
  <c r="C23" i="2"/>
  <c r="D23" i="2" s="1"/>
  <c r="E23" i="2" s="1"/>
  <c r="C24" i="2"/>
  <c r="D24" i="2" s="1"/>
  <c r="E24" i="2" s="1"/>
  <c r="C25" i="2"/>
  <c r="D25" i="2" s="1"/>
  <c r="E25" i="2" s="1"/>
  <c r="C26" i="2"/>
  <c r="D26" i="2" s="1"/>
  <c r="E26" i="2" s="1"/>
  <c r="C27" i="2"/>
  <c r="D27" i="2" s="1"/>
  <c r="E27" i="2" s="1"/>
  <c r="C28" i="2"/>
  <c r="D28" i="2" s="1"/>
  <c r="E28" i="2" s="1"/>
  <c r="C29" i="2"/>
  <c r="D29" i="2" s="1"/>
  <c r="E29" i="2" s="1"/>
  <c r="C30" i="2"/>
  <c r="D30" i="2" s="1"/>
  <c r="E30" i="2" s="1"/>
  <c r="C31" i="2"/>
  <c r="D31" i="2" s="1"/>
  <c r="E31" i="2" s="1"/>
  <c r="I31" i="2" s="1"/>
  <c r="J31" i="2" s="1"/>
  <c r="C32" i="2"/>
  <c r="D32" i="2" s="1"/>
  <c r="E32" i="2" s="1"/>
  <c r="C33" i="2"/>
  <c r="D33" i="2" s="1"/>
  <c r="E33" i="2" s="1"/>
  <c r="C34" i="2"/>
  <c r="D34" i="2" s="1"/>
  <c r="E34" i="2" s="1"/>
  <c r="C35" i="2"/>
  <c r="D35" i="2" s="1"/>
  <c r="E35" i="2" s="1"/>
  <c r="C36" i="2"/>
  <c r="D36" i="2" s="1"/>
  <c r="E36" i="2" s="1"/>
  <c r="C37" i="2"/>
  <c r="D37" i="2" s="1"/>
  <c r="E37" i="2" s="1"/>
  <c r="C38" i="2"/>
  <c r="D38" i="2" s="1"/>
  <c r="E38" i="2" s="1"/>
  <c r="C39" i="2"/>
  <c r="D39" i="2" s="1"/>
  <c r="E39" i="2" s="1"/>
  <c r="C40" i="2"/>
  <c r="D40" i="2" s="1"/>
  <c r="E40" i="2" s="1"/>
  <c r="C41" i="2"/>
  <c r="D41" i="2" s="1"/>
  <c r="E41" i="2" s="1"/>
  <c r="C42" i="2"/>
  <c r="D42" i="2" s="1"/>
  <c r="E42" i="2" s="1"/>
  <c r="C43" i="2"/>
  <c r="D43" i="2" s="1"/>
  <c r="E43" i="2" s="1"/>
  <c r="I43" i="2" s="1"/>
  <c r="J43" i="2" s="1"/>
  <c r="C44" i="2"/>
  <c r="D44" i="2" s="1"/>
  <c r="E44" i="2" s="1"/>
  <c r="C45" i="2"/>
  <c r="D45" i="2" s="1"/>
  <c r="E45" i="2" s="1"/>
  <c r="C46" i="2"/>
  <c r="D46" i="2" s="1"/>
  <c r="E46" i="2" s="1"/>
  <c r="C47" i="2"/>
  <c r="D47" i="2" s="1"/>
  <c r="E47" i="2" s="1"/>
  <c r="C48" i="2"/>
  <c r="D48" i="2" s="1"/>
  <c r="E48" i="2" s="1"/>
  <c r="C49" i="2"/>
  <c r="D49" i="2" s="1"/>
  <c r="E49" i="2" s="1"/>
  <c r="C50" i="2"/>
  <c r="D50" i="2" s="1"/>
  <c r="E50" i="2" s="1"/>
  <c r="C51" i="2"/>
  <c r="D51" i="2" s="1"/>
  <c r="E51" i="2" s="1"/>
  <c r="C52" i="2"/>
  <c r="D52" i="2" s="1"/>
  <c r="E52" i="2" s="1"/>
  <c r="C53" i="2"/>
  <c r="D53" i="2" s="1"/>
  <c r="E53" i="2" s="1"/>
  <c r="C54" i="2"/>
  <c r="D54" i="2" s="1"/>
  <c r="E54" i="2" s="1"/>
  <c r="C55" i="2"/>
  <c r="D55" i="2" s="1"/>
  <c r="E55" i="2" s="1"/>
  <c r="I55" i="2" s="1"/>
  <c r="J55" i="2" s="1"/>
  <c r="C56" i="2"/>
  <c r="D56" i="2" s="1"/>
  <c r="E56" i="2" s="1"/>
  <c r="C57" i="2"/>
  <c r="D57" i="2" s="1"/>
  <c r="E57" i="2" s="1"/>
  <c r="C58" i="2"/>
  <c r="D58" i="2" s="1"/>
  <c r="E58" i="2" s="1"/>
  <c r="C59" i="2"/>
  <c r="D59" i="2" s="1"/>
  <c r="E59" i="2" s="1"/>
  <c r="C60" i="2"/>
  <c r="D60" i="2" s="1"/>
  <c r="E60" i="2" s="1"/>
  <c r="C61" i="2"/>
  <c r="D61" i="2" s="1"/>
  <c r="E61" i="2" s="1"/>
  <c r="C62" i="2"/>
  <c r="D62" i="2" s="1"/>
  <c r="E62" i="2" s="1"/>
  <c r="C63" i="2"/>
  <c r="D63" i="2" s="1"/>
  <c r="E63" i="2" s="1"/>
  <c r="C64" i="2"/>
  <c r="D64" i="2" s="1"/>
  <c r="E64" i="2" s="1"/>
  <c r="C65" i="2"/>
  <c r="D65" i="2" s="1"/>
  <c r="E65" i="2" s="1"/>
  <c r="C66" i="2"/>
  <c r="D66" i="2" s="1"/>
  <c r="E66" i="2" s="1"/>
  <c r="C67" i="2"/>
  <c r="D67" i="2" s="1"/>
  <c r="E67" i="2" s="1"/>
  <c r="I67" i="2" s="1"/>
  <c r="J67" i="2" s="1"/>
  <c r="C68" i="2"/>
  <c r="D68" i="2" s="1"/>
  <c r="E68" i="2" s="1"/>
  <c r="C69" i="2"/>
  <c r="D69" i="2" s="1"/>
  <c r="E69" i="2" s="1"/>
  <c r="C70" i="2"/>
  <c r="D70" i="2" s="1"/>
  <c r="E70" i="2" s="1"/>
  <c r="C71" i="2"/>
  <c r="D71" i="2" s="1"/>
  <c r="E71" i="2" s="1"/>
  <c r="C72" i="2"/>
  <c r="D72" i="2" s="1"/>
  <c r="E72" i="2" s="1"/>
  <c r="C73" i="2"/>
  <c r="D73" i="2" s="1"/>
  <c r="E73" i="2" s="1"/>
  <c r="C74" i="2"/>
  <c r="D74" i="2" s="1"/>
  <c r="E74" i="2" s="1"/>
  <c r="C75" i="2"/>
  <c r="D75" i="2" s="1"/>
  <c r="E75" i="2" s="1"/>
  <c r="C76" i="2"/>
  <c r="D76" i="2" s="1"/>
  <c r="E76" i="2" s="1"/>
  <c r="C77" i="2"/>
  <c r="D77" i="2" s="1"/>
  <c r="E77" i="2" s="1"/>
  <c r="C78" i="2"/>
  <c r="D78" i="2" s="1"/>
  <c r="E78" i="2" s="1"/>
  <c r="C79" i="2"/>
  <c r="D79" i="2" s="1"/>
  <c r="E79" i="2" s="1"/>
  <c r="I79" i="2" s="1"/>
  <c r="J79" i="2" s="1"/>
  <c r="C80" i="2"/>
  <c r="D80" i="2" s="1"/>
  <c r="E80" i="2" s="1"/>
  <c r="C81" i="2"/>
  <c r="D81" i="2" s="1"/>
  <c r="E81" i="2" s="1"/>
  <c r="C82" i="2"/>
  <c r="D82" i="2" s="1"/>
  <c r="E82" i="2" s="1"/>
  <c r="C83" i="2"/>
  <c r="D83" i="2" s="1"/>
  <c r="E83" i="2" s="1"/>
  <c r="C84" i="2"/>
  <c r="D84" i="2" s="1"/>
  <c r="E84" i="2" s="1"/>
  <c r="C85" i="2"/>
  <c r="D85" i="2" s="1"/>
  <c r="E85" i="2" s="1"/>
  <c r="C86" i="2"/>
  <c r="D86" i="2" s="1"/>
  <c r="E86" i="2" s="1"/>
  <c r="C87" i="2"/>
  <c r="D87" i="2" s="1"/>
  <c r="E87" i="2" s="1"/>
  <c r="C88" i="2"/>
  <c r="D88" i="2" s="1"/>
  <c r="E88" i="2" s="1"/>
  <c r="C89" i="2"/>
  <c r="D89" i="2" s="1"/>
  <c r="E89" i="2" s="1"/>
  <c r="C90" i="2"/>
  <c r="D90" i="2" s="1"/>
  <c r="E90" i="2" s="1"/>
  <c r="C91" i="2"/>
  <c r="D91" i="2" s="1"/>
  <c r="E91" i="2" s="1"/>
  <c r="I91" i="2" s="1"/>
  <c r="J91" i="2" s="1"/>
  <c r="C92" i="2"/>
  <c r="D92" i="2" s="1"/>
  <c r="E92" i="2" s="1"/>
  <c r="C93" i="2"/>
  <c r="D93" i="2" s="1"/>
  <c r="E93" i="2" s="1"/>
  <c r="C94" i="2"/>
  <c r="D94" i="2" s="1"/>
  <c r="E94" i="2" s="1"/>
  <c r="C95" i="2"/>
  <c r="D95" i="2" s="1"/>
  <c r="E95" i="2" s="1"/>
  <c r="C96" i="2"/>
  <c r="D96" i="2" s="1"/>
  <c r="E96" i="2" s="1"/>
  <c r="C97" i="2"/>
  <c r="D97" i="2" s="1"/>
  <c r="E97" i="2" s="1"/>
  <c r="C98" i="2"/>
  <c r="D98" i="2" s="1"/>
  <c r="E98" i="2" s="1"/>
  <c r="C99" i="2"/>
  <c r="D99" i="2" s="1"/>
  <c r="E99" i="2" s="1"/>
  <c r="C100" i="2"/>
  <c r="D100" i="2" s="1"/>
  <c r="E100" i="2" s="1"/>
  <c r="C101" i="2"/>
  <c r="D101" i="2" s="1"/>
  <c r="E101" i="2" s="1"/>
  <c r="C102" i="2"/>
  <c r="D102" i="2" s="1"/>
  <c r="E102" i="2" s="1"/>
  <c r="C103" i="2"/>
  <c r="D103" i="2" s="1"/>
  <c r="E103" i="2" s="1"/>
  <c r="I103" i="2" s="1"/>
  <c r="J103" i="2" s="1"/>
  <c r="C104" i="2"/>
  <c r="D104" i="2" s="1"/>
  <c r="E104" i="2" s="1"/>
  <c r="C105" i="2"/>
  <c r="D105" i="2" s="1"/>
  <c r="E105" i="2" s="1"/>
  <c r="C106" i="2"/>
  <c r="D106" i="2" s="1"/>
  <c r="E106" i="2" s="1"/>
  <c r="C107" i="2"/>
  <c r="D107" i="2" s="1"/>
  <c r="E107" i="2" s="1"/>
  <c r="C108" i="2"/>
  <c r="D108" i="2" s="1"/>
  <c r="E108" i="2" s="1"/>
  <c r="C109" i="2"/>
  <c r="D109" i="2" s="1"/>
  <c r="E109" i="2" s="1"/>
  <c r="C110" i="2"/>
  <c r="D110" i="2" s="1"/>
  <c r="E110" i="2" s="1"/>
  <c r="C111" i="2"/>
  <c r="D111" i="2" s="1"/>
  <c r="E111" i="2" s="1"/>
  <c r="C112" i="2"/>
  <c r="D112" i="2" s="1"/>
  <c r="E112" i="2" s="1"/>
  <c r="C113" i="2"/>
  <c r="D113" i="2" s="1"/>
  <c r="E113" i="2" s="1"/>
  <c r="C114" i="2"/>
  <c r="D114" i="2" s="1"/>
  <c r="E114" i="2" s="1"/>
  <c r="C115" i="2"/>
  <c r="D115" i="2" s="1"/>
  <c r="E115" i="2" s="1"/>
  <c r="I115" i="2" s="1"/>
  <c r="J115" i="2" s="1"/>
  <c r="C116" i="2"/>
  <c r="D116" i="2" s="1"/>
  <c r="E116" i="2" s="1"/>
  <c r="C117" i="2"/>
  <c r="D117" i="2" s="1"/>
  <c r="E117" i="2" s="1"/>
  <c r="C118" i="2"/>
  <c r="D118" i="2" s="1"/>
  <c r="E118" i="2" s="1"/>
  <c r="C119" i="2"/>
  <c r="D119" i="2" s="1"/>
  <c r="E119" i="2" s="1"/>
  <c r="C120" i="2"/>
  <c r="D120" i="2" s="1"/>
  <c r="E120" i="2" s="1"/>
  <c r="C121" i="2"/>
  <c r="D121" i="2" s="1"/>
  <c r="E121" i="2" s="1"/>
  <c r="C122" i="2"/>
  <c r="D122" i="2" s="1"/>
  <c r="E122" i="2" s="1"/>
  <c r="C123" i="2"/>
  <c r="D123" i="2" s="1"/>
  <c r="E123" i="2" s="1"/>
  <c r="C124" i="2"/>
  <c r="D124" i="2" s="1"/>
  <c r="E124" i="2" s="1"/>
  <c r="C125" i="2"/>
  <c r="D125" i="2" s="1"/>
  <c r="E125" i="2" s="1"/>
  <c r="C126" i="2"/>
  <c r="D126" i="2" s="1"/>
  <c r="E126" i="2" s="1"/>
  <c r="C127" i="2"/>
  <c r="D127" i="2" s="1"/>
  <c r="E127" i="2" s="1"/>
  <c r="I127" i="2" s="1"/>
  <c r="J127" i="2" s="1"/>
  <c r="C128" i="2"/>
  <c r="D128" i="2" s="1"/>
  <c r="E128" i="2" s="1"/>
  <c r="C129" i="2"/>
  <c r="D129" i="2" s="1"/>
  <c r="E129" i="2" s="1"/>
  <c r="C130" i="2"/>
  <c r="D130" i="2" s="1"/>
  <c r="E130" i="2" s="1"/>
  <c r="C131" i="2"/>
  <c r="D131" i="2" s="1"/>
  <c r="E131" i="2" s="1"/>
  <c r="C132" i="2"/>
  <c r="D132" i="2" s="1"/>
  <c r="E132" i="2" s="1"/>
  <c r="C133" i="2"/>
  <c r="D133" i="2" s="1"/>
  <c r="E133" i="2" s="1"/>
  <c r="C134" i="2"/>
  <c r="D134" i="2" s="1"/>
  <c r="E134" i="2" s="1"/>
  <c r="C135" i="2"/>
  <c r="D135" i="2" s="1"/>
  <c r="E135" i="2" s="1"/>
  <c r="C136" i="2"/>
  <c r="D136" i="2" s="1"/>
  <c r="E136" i="2" s="1"/>
  <c r="C137" i="2"/>
  <c r="D137" i="2" s="1"/>
  <c r="E137" i="2" s="1"/>
  <c r="C138" i="2"/>
  <c r="D138" i="2" s="1"/>
  <c r="E138" i="2" s="1"/>
  <c r="C139" i="2"/>
  <c r="D139" i="2" s="1"/>
  <c r="E139" i="2" s="1"/>
  <c r="I139" i="2" s="1"/>
  <c r="J139" i="2" s="1"/>
  <c r="C140" i="2"/>
  <c r="D140" i="2" s="1"/>
  <c r="E140" i="2" s="1"/>
  <c r="C141" i="2"/>
  <c r="D141" i="2" s="1"/>
  <c r="E141" i="2" s="1"/>
  <c r="C142" i="2"/>
  <c r="D142" i="2" s="1"/>
  <c r="E142" i="2" s="1"/>
  <c r="C143" i="2"/>
  <c r="D143" i="2" s="1"/>
  <c r="E143" i="2" s="1"/>
  <c r="C144" i="2"/>
  <c r="D144" i="2" s="1"/>
  <c r="E144" i="2" s="1"/>
  <c r="C145" i="2"/>
  <c r="D145" i="2" s="1"/>
  <c r="E145" i="2" s="1"/>
  <c r="C146" i="2"/>
  <c r="D146" i="2" s="1"/>
  <c r="E146" i="2" s="1"/>
  <c r="C147" i="2"/>
  <c r="D147" i="2" s="1"/>
  <c r="E147" i="2" s="1"/>
  <c r="C148" i="2"/>
  <c r="D148" i="2" s="1"/>
  <c r="E148" i="2" s="1"/>
  <c r="C149" i="2"/>
  <c r="D149" i="2" s="1"/>
  <c r="E149" i="2" s="1"/>
  <c r="C150" i="2"/>
  <c r="D150" i="2" s="1"/>
  <c r="E150" i="2" s="1"/>
  <c r="C151" i="2"/>
  <c r="D151" i="2" s="1"/>
  <c r="E151" i="2" s="1"/>
  <c r="I151" i="2" s="1"/>
  <c r="J151" i="2" s="1"/>
  <c r="C152" i="2"/>
  <c r="D152" i="2" s="1"/>
  <c r="E152" i="2" s="1"/>
  <c r="C153" i="2"/>
  <c r="D153" i="2" s="1"/>
  <c r="E153" i="2" s="1"/>
  <c r="C154" i="2"/>
  <c r="D154" i="2" s="1"/>
  <c r="E154" i="2" s="1"/>
  <c r="C155" i="2"/>
  <c r="D155" i="2" s="1"/>
  <c r="E155" i="2" s="1"/>
  <c r="C156" i="2"/>
  <c r="D156" i="2" s="1"/>
  <c r="E156" i="2" s="1"/>
  <c r="C157" i="2"/>
  <c r="D157" i="2" s="1"/>
  <c r="E157" i="2" s="1"/>
  <c r="C158" i="2"/>
  <c r="D158" i="2" s="1"/>
  <c r="E158" i="2" s="1"/>
  <c r="C159" i="2"/>
  <c r="D159" i="2" s="1"/>
  <c r="E159" i="2" s="1"/>
  <c r="C160" i="2"/>
  <c r="D160" i="2" s="1"/>
  <c r="E160" i="2" s="1"/>
  <c r="C161" i="2"/>
  <c r="D161" i="2" s="1"/>
  <c r="E161" i="2" s="1"/>
  <c r="C162" i="2"/>
  <c r="D162" i="2" s="1"/>
  <c r="E162" i="2" s="1"/>
  <c r="C163" i="2"/>
  <c r="D163" i="2" s="1"/>
  <c r="E163" i="2" s="1"/>
  <c r="I163" i="2" s="1"/>
  <c r="J163" i="2" s="1"/>
  <c r="C164" i="2"/>
  <c r="D164" i="2" s="1"/>
  <c r="E164" i="2" s="1"/>
  <c r="B267" i="2" l="1"/>
  <c r="B268" i="2" s="1"/>
  <c r="B269" i="2" s="1"/>
  <c r="B270" i="2" s="1"/>
  <c r="B271" i="2" s="1"/>
  <c r="B272" i="2" s="1"/>
  <c r="B273" i="2" s="1"/>
  <c r="B274" i="2" s="1"/>
  <c r="B275" i="2" s="1"/>
  <c r="B276" i="2" s="1"/>
  <c r="I187" i="2"/>
  <c r="J187" i="2" s="1"/>
  <c r="I175" i="2"/>
  <c r="J175" i="2" s="1"/>
  <c r="I169" i="2"/>
  <c r="J169" i="2" s="1"/>
  <c r="I157" i="2"/>
  <c r="J157" i="2" s="1"/>
  <c r="I145" i="2"/>
  <c r="J145" i="2" s="1"/>
  <c r="I133" i="2"/>
  <c r="J133" i="2" s="1"/>
  <c r="I121" i="2"/>
  <c r="J121" i="2" s="1"/>
  <c r="I109" i="2"/>
  <c r="J109" i="2" s="1"/>
  <c r="I97" i="2"/>
  <c r="J97" i="2" s="1"/>
  <c r="I85" i="2"/>
  <c r="J85" i="2" s="1"/>
  <c r="I73" i="2"/>
  <c r="J73" i="2" s="1"/>
  <c r="I61" i="2"/>
  <c r="J61" i="2" s="1"/>
  <c r="I49" i="2"/>
  <c r="J49" i="2" s="1"/>
  <c r="I37" i="2"/>
  <c r="J37" i="2" s="1"/>
  <c r="I25" i="2"/>
  <c r="J25" i="2" s="1"/>
  <c r="C57" i="3"/>
  <c r="D57" i="3" s="1"/>
  <c r="E57" i="3" s="1"/>
  <c r="J19" i="2"/>
  <c r="H245" i="2"/>
  <c r="H221" i="2"/>
  <c r="H228" i="2"/>
  <c r="H273" i="2"/>
  <c r="H261" i="2"/>
  <c r="H253" i="2"/>
  <c r="H241" i="2"/>
  <c r="H233" i="2"/>
  <c r="H225" i="2"/>
  <c r="H213" i="2"/>
  <c r="H268" i="2"/>
  <c r="H260" i="2"/>
  <c r="H252" i="2"/>
  <c r="H244" i="2"/>
  <c r="H236" i="2"/>
  <c r="H224" i="2"/>
  <c r="H216" i="2"/>
  <c r="H271" i="2"/>
  <c r="H267" i="2"/>
  <c r="H263" i="2"/>
  <c r="H259" i="2"/>
  <c r="H255" i="2"/>
  <c r="H251" i="2"/>
  <c r="H247" i="2"/>
  <c r="H243" i="2"/>
  <c r="H239" i="2"/>
  <c r="H235" i="2"/>
  <c r="H231" i="2"/>
  <c r="H227" i="2"/>
  <c r="H223" i="2"/>
  <c r="H219" i="2"/>
  <c r="H215" i="2"/>
  <c r="H211" i="2"/>
  <c r="H265" i="2"/>
  <c r="H257" i="2"/>
  <c r="H249" i="2"/>
  <c r="H237" i="2"/>
  <c r="H229" i="2"/>
  <c r="H217" i="2"/>
  <c r="H264" i="2"/>
  <c r="H256" i="2"/>
  <c r="H248" i="2"/>
  <c r="H240" i="2"/>
  <c r="H232" i="2"/>
  <c r="H220" i="2"/>
  <c r="H212" i="2"/>
  <c r="H270" i="2"/>
  <c r="H266" i="2"/>
  <c r="H262" i="2"/>
  <c r="H258" i="2"/>
  <c r="H254" i="2"/>
  <c r="H250" i="2"/>
  <c r="H246" i="2"/>
  <c r="H242" i="2"/>
  <c r="H238" i="2"/>
  <c r="H234" i="2"/>
  <c r="H230" i="2"/>
  <c r="H226" i="2"/>
  <c r="H222" i="2"/>
  <c r="H218" i="2"/>
  <c r="H214" i="2"/>
  <c r="C199" i="2"/>
  <c r="D199" i="2" s="1"/>
  <c r="E199" i="2" s="1"/>
  <c r="I199" i="2" s="1"/>
  <c r="J199" i="2" s="1"/>
  <c r="C201" i="2"/>
  <c r="D201" i="2" s="1"/>
  <c r="E201" i="2" s="1"/>
  <c r="C200" i="2"/>
  <c r="D200" i="2" s="1"/>
  <c r="E200" i="2" s="1"/>
  <c r="H275" i="2" l="1"/>
  <c r="H269" i="2"/>
  <c r="H274" i="2"/>
  <c r="H272" i="2"/>
  <c r="H276" i="2"/>
  <c r="B277" i="2"/>
  <c r="C58" i="3"/>
  <c r="D58" i="3" s="1"/>
  <c r="E58" i="3" s="1"/>
  <c r="C59" i="3"/>
  <c r="D59" i="3" s="1"/>
  <c r="E59" i="3" s="1"/>
  <c r="C202" i="2"/>
  <c r="D202" i="2" s="1"/>
  <c r="E202" i="2" s="1"/>
  <c r="K3" i="2" l="1"/>
  <c r="H277" i="2"/>
  <c r="C277" i="2"/>
  <c r="D277" i="2" s="1"/>
  <c r="E277" i="2" s="1"/>
  <c r="C203" i="2"/>
  <c r="D203" i="2" s="1"/>
  <c r="E203" i="2" s="1"/>
  <c r="C205" i="2"/>
  <c r="D205" i="2" s="1"/>
  <c r="E205" i="2" s="1"/>
  <c r="I205" i="2" s="1"/>
  <c r="J205" i="2" s="1"/>
  <c r="C204" i="2"/>
  <c r="D204" i="2" s="1"/>
  <c r="E204" i="2" s="1"/>
  <c r="C206" i="2"/>
  <c r="D206" i="2" s="1"/>
  <c r="E206" i="2" s="1"/>
  <c r="C207" i="2"/>
  <c r="D207" i="2" s="1"/>
  <c r="E207" i="2" s="1"/>
  <c r="C60" i="3" l="1"/>
  <c r="D60" i="3" s="1"/>
  <c r="E60" i="3" s="1"/>
  <c r="C208" i="2"/>
  <c r="D208" i="2" s="1"/>
  <c r="E208" i="2" s="1"/>
  <c r="C61" i="3" l="1"/>
  <c r="D61" i="3" s="1"/>
  <c r="E61" i="3" s="1"/>
  <c r="C210" i="2"/>
  <c r="D210" i="2" s="1"/>
  <c r="E210" i="2" s="1"/>
  <c r="C209" i="2"/>
  <c r="D209" i="2" s="1"/>
  <c r="E209" i="2" s="1"/>
  <c r="C63" i="3" l="1"/>
  <c r="D63" i="3" s="1"/>
  <c r="E63" i="3" s="1"/>
  <c r="C62" i="3"/>
  <c r="D62" i="3" s="1"/>
  <c r="E62" i="3" s="1"/>
  <c r="C211" i="2"/>
  <c r="D211" i="2" s="1"/>
  <c r="E211" i="2" s="1"/>
  <c r="I211" i="2" s="1"/>
  <c r="J211" i="2" s="1"/>
  <c r="C64" i="3" l="1"/>
  <c r="D64" i="3" s="1"/>
  <c r="E64" i="3" s="1"/>
  <c r="C212" i="2"/>
  <c r="D212" i="2" s="1"/>
  <c r="E212" i="2" s="1"/>
  <c r="C65" i="3" l="1"/>
  <c r="D65" i="3" s="1"/>
  <c r="E65" i="3" s="1"/>
  <c r="C213" i="2"/>
  <c r="D213" i="2" s="1"/>
  <c r="E213" i="2" s="1"/>
  <c r="C66" i="3" l="1"/>
  <c r="D66" i="3" s="1"/>
  <c r="E66" i="3" s="1"/>
  <c r="C214" i="2"/>
  <c r="D214" i="2" s="1"/>
  <c r="E214" i="2" s="1"/>
  <c r="C67" i="3" l="1"/>
  <c r="D67" i="3" s="1"/>
  <c r="E67" i="3" s="1"/>
  <c r="C215" i="2"/>
  <c r="D215" i="2" s="1"/>
  <c r="E215" i="2" s="1"/>
  <c r="C68" i="3" l="1"/>
  <c r="D68" i="3" s="1"/>
  <c r="E68" i="3" s="1"/>
  <c r="C216" i="2"/>
  <c r="D216" i="2" s="1"/>
  <c r="E216" i="2" s="1"/>
  <c r="C69" i="3" l="1"/>
  <c r="D69" i="3" s="1"/>
  <c r="E69" i="3" s="1"/>
  <c r="C217" i="2"/>
  <c r="D217" i="2" s="1"/>
  <c r="E217" i="2" s="1"/>
  <c r="I217" i="2" s="1"/>
  <c r="J217" i="2" s="1"/>
  <c r="C70" i="3" l="1"/>
  <c r="D70" i="3" s="1"/>
  <c r="E70" i="3" s="1"/>
  <c r="C218" i="2"/>
  <c r="D218" i="2" s="1"/>
  <c r="E218" i="2" s="1"/>
  <c r="C71" i="3" l="1"/>
  <c r="D71" i="3" s="1"/>
  <c r="E71" i="3" s="1"/>
  <c r="C219" i="2"/>
  <c r="D219" i="2" s="1"/>
  <c r="E219" i="2" s="1"/>
  <c r="C72" i="3" l="1"/>
  <c r="D72" i="3" s="1"/>
  <c r="E72" i="3" s="1"/>
  <c r="C220" i="2"/>
  <c r="D220" i="2" s="1"/>
  <c r="E220" i="2" s="1"/>
  <c r="C73" i="3" l="1"/>
  <c r="D73" i="3" s="1"/>
  <c r="E73" i="3" s="1"/>
  <c r="C221" i="2"/>
  <c r="D221" i="2" s="1"/>
  <c r="E221" i="2" s="1"/>
  <c r="C74" i="3" l="1"/>
  <c r="D74" i="3" s="1"/>
  <c r="E74" i="3" s="1"/>
  <c r="C222" i="2"/>
  <c r="D222" i="2" s="1"/>
  <c r="E222" i="2" s="1"/>
  <c r="C75" i="3" l="1"/>
  <c r="D75" i="3" s="1"/>
  <c r="E75" i="3" s="1"/>
  <c r="C223" i="2"/>
  <c r="D223" i="2" s="1"/>
  <c r="E223" i="2" s="1"/>
  <c r="I223" i="2" s="1"/>
  <c r="J223" i="2" s="1"/>
  <c r="C76" i="3" l="1"/>
  <c r="D76" i="3" s="1"/>
  <c r="E76" i="3" s="1"/>
  <c r="C224" i="2"/>
  <c r="D224" i="2" s="1"/>
  <c r="E224" i="2" s="1"/>
  <c r="C77" i="3" l="1"/>
  <c r="D77" i="3" s="1"/>
  <c r="E77" i="3" s="1"/>
  <c r="C225" i="2"/>
  <c r="D225" i="2" s="1"/>
  <c r="E225" i="2" s="1"/>
  <c r="C78" i="3" l="1"/>
  <c r="D78" i="3" s="1"/>
  <c r="E78" i="3" s="1"/>
  <c r="C226" i="2"/>
  <c r="D226" i="2" s="1"/>
  <c r="E226" i="2" s="1"/>
  <c r="C227" i="2" l="1"/>
  <c r="D227" i="2" s="1"/>
  <c r="E227" i="2" s="1"/>
  <c r="C228" i="2" l="1"/>
  <c r="D228" i="2" s="1"/>
  <c r="E228" i="2" s="1"/>
  <c r="C229" i="2" l="1"/>
  <c r="D229" i="2" s="1"/>
  <c r="E229" i="2" s="1"/>
  <c r="I229" i="2" s="1"/>
  <c r="J229" i="2" s="1"/>
  <c r="C230" i="2" l="1"/>
  <c r="D230" i="2" s="1"/>
  <c r="E230" i="2" s="1"/>
  <c r="C231" i="2" l="1"/>
  <c r="D231" i="2" s="1"/>
  <c r="E231" i="2" s="1"/>
  <c r="C232" i="2" l="1"/>
  <c r="D232" i="2" s="1"/>
  <c r="E232" i="2" s="1"/>
  <c r="C233" i="2" l="1"/>
  <c r="D233" i="2" s="1"/>
  <c r="E233" i="2" s="1"/>
  <c r="C234" i="2" l="1"/>
  <c r="D234" i="2" s="1"/>
  <c r="E234" i="2" s="1"/>
  <c r="C235" i="2" l="1"/>
  <c r="D235" i="2" s="1"/>
  <c r="E235" i="2" s="1"/>
  <c r="I235" i="2" s="1"/>
  <c r="J235" i="2" s="1"/>
  <c r="C236" i="2" l="1"/>
  <c r="D236" i="2" s="1"/>
  <c r="E236" i="2" s="1"/>
  <c r="C237" i="2" l="1"/>
  <c r="D237" i="2" s="1"/>
  <c r="E237" i="2" s="1"/>
  <c r="C238" i="2" l="1"/>
  <c r="D238" i="2" s="1"/>
  <c r="E238" i="2" s="1"/>
  <c r="C239" i="2" l="1"/>
  <c r="D239" i="2" s="1"/>
  <c r="E239" i="2" s="1"/>
  <c r="C240" i="2" l="1"/>
  <c r="D240" i="2" s="1"/>
  <c r="E240" i="2" s="1"/>
  <c r="C241" i="2" l="1"/>
  <c r="D241" i="2" s="1"/>
  <c r="E241" i="2" s="1"/>
  <c r="I241" i="2" s="1"/>
  <c r="J241" i="2" s="1"/>
  <c r="C242" i="2" l="1"/>
  <c r="D242" i="2" s="1"/>
  <c r="E242" i="2" s="1"/>
  <c r="C243" i="2" l="1"/>
  <c r="D243" i="2" s="1"/>
  <c r="E243" i="2" s="1"/>
  <c r="C244" i="2" l="1"/>
  <c r="D244" i="2" s="1"/>
  <c r="E244" i="2" s="1"/>
  <c r="C245" i="2" l="1"/>
  <c r="D245" i="2" s="1"/>
  <c r="E245" i="2" s="1"/>
  <c r="C246" i="2" l="1"/>
  <c r="D246" i="2" s="1"/>
  <c r="E246" i="2" s="1"/>
  <c r="C247" i="2" l="1"/>
  <c r="D247" i="2" s="1"/>
  <c r="E247" i="2" s="1"/>
  <c r="I247" i="2" s="1"/>
  <c r="J247" i="2" s="1"/>
  <c r="C248" i="2" l="1"/>
  <c r="D248" i="2" s="1"/>
  <c r="E248" i="2" s="1"/>
  <c r="C249" i="2" l="1"/>
  <c r="D249" i="2" s="1"/>
  <c r="E249" i="2" s="1"/>
  <c r="C250" i="2" l="1"/>
  <c r="D250" i="2" s="1"/>
  <c r="E250" i="2" s="1"/>
  <c r="C251" i="2" l="1"/>
  <c r="D251" i="2" s="1"/>
  <c r="E251" i="2" s="1"/>
  <c r="C252" i="2" l="1"/>
  <c r="D252" i="2" s="1"/>
  <c r="E252" i="2" s="1"/>
  <c r="C253" i="2" l="1"/>
  <c r="D253" i="2" s="1"/>
  <c r="E253" i="2" s="1"/>
  <c r="I253" i="2" s="1"/>
  <c r="J253" i="2" s="1"/>
  <c r="C254" i="2" l="1"/>
  <c r="D254" i="2" s="1"/>
  <c r="E254" i="2" s="1"/>
  <c r="C255" i="2" l="1"/>
  <c r="D255" i="2" s="1"/>
  <c r="E255" i="2" s="1"/>
  <c r="C256" i="2" l="1"/>
  <c r="D256" i="2" s="1"/>
  <c r="E256" i="2" s="1"/>
  <c r="C257" i="2" l="1"/>
  <c r="D257" i="2" s="1"/>
  <c r="E257" i="2" s="1"/>
  <c r="C258" i="2" l="1"/>
  <c r="D258" i="2" s="1"/>
  <c r="E258" i="2" s="1"/>
  <c r="C259" i="2" l="1"/>
  <c r="D259" i="2" s="1"/>
  <c r="E259" i="2" s="1"/>
  <c r="I259" i="2" s="1"/>
  <c r="J259" i="2" s="1"/>
  <c r="C260" i="2" l="1"/>
  <c r="D260" i="2" s="1"/>
  <c r="E260" i="2" s="1"/>
  <c r="C261" i="2" l="1"/>
  <c r="D261" i="2" s="1"/>
  <c r="E261" i="2" s="1"/>
  <c r="C262" i="2" l="1"/>
  <c r="D262" i="2" s="1"/>
  <c r="E262" i="2" s="1"/>
  <c r="C263" i="2" l="1"/>
  <c r="D263" i="2" s="1"/>
  <c r="E263" i="2" s="1"/>
  <c r="C264" i="2" l="1"/>
  <c r="D264" i="2" s="1"/>
  <c r="E264" i="2" s="1"/>
  <c r="C265" i="2" l="1"/>
  <c r="D265" i="2" s="1"/>
  <c r="E265" i="2" s="1"/>
  <c r="I265" i="2" s="1"/>
  <c r="J265" i="2" s="1"/>
  <c r="C266" i="2" l="1"/>
  <c r="D266" i="2" s="1"/>
  <c r="E266" i="2" s="1"/>
  <c r="C267" i="2" l="1"/>
  <c r="D267" i="2" s="1"/>
  <c r="E267" i="2" s="1"/>
  <c r="C268" i="2" l="1"/>
  <c r="D268" i="2" s="1"/>
  <c r="E268" i="2" s="1"/>
  <c r="C269" i="2" l="1"/>
  <c r="D269" i="2" s="1"/>
  <c r="E269" i="2" s="1"/>
  <c r="C270" i="2" l="1"/>
  <c r="D270" i="2" s="1"/>
  <c r="E270" i="2" s="1"/>
  <c r="C271" i="2" l="1"/>
  <c r="D271" i="2" s="1"/>
  <c r="E271" i="2" s="1"/>
  <c r="I271" i="2" l="1"/>
  <c r="J271" i="2" s="1"/>
  <c r="I277" i="2"/>
  <c r="J277" i="2" s="1"/>
  <c r="C272" i="2"/>
  <c r="D272" i="2" s="1"/>
  <c r="E272" i="2" s="1"/>
  <c r="L3" i="2" l="1"/>
  <c r="C273" i="2"/>
  <c r="D273" i="2" s="1"/>
  <c r="E273" i="2" s="1"/>
  <c r="C274" i="2" l="1"/>
  <c r="D274" i="2" s="1"/>
  <c r="E274" i="2" s="1"/>
  <c r="C276" i="2" l="1"/>
  <c r="D276" i="2" s="1"/>
  <c r="E276" i="2" s="1"/>
  <c r="C275" i="2"/>
  <c r="D275" i="2" s="1"/>
  <c r="E275" i="2" s="1"/>
</calcChain>
</file>

<file path=xl/sharedStrings.xml><?xml version="1.0" encoding="utf-8"?>
<sst xmlns="http://schemas.openxmlformats.org/spreadsheetml/2006/main" count="96" uniqueCount="70">
  <si>
    <t>http://labourbureau.gov.in/LBO_Press_Release.htm</t>
  </si>
  <si>
    <t>http://cyberjournalist.org.in/majithia/aicpi_2001.php</t>
  </si>
  <si>
    <t>With Effect From</t>
  </si>
  <si>
    <t>Increase in DA</t>
  </si>
  <si>
    <t>Total DA Rate</t>
  </si>
  <si>
    <t>DA in GPF</t>
  </si>
  <si>
    <t>Order Date</t>
  </si>
  <si>
    <t>Jan-Feb 2018</t>
  </si>
  <si>
    <t>july-Aug 2018</t>
  </si>
  <si>
    <t>Jan- Feb 2019</t>
  </si>
  <si>
    <t>July 2019- Feb 2020</t>
  </si>
  <si>
    <t>–</t>
  </si>
  <si>
    <t>july, 2021 to sept., 2021</t>
  </si>
  <si>
    <t>Jan 2022 to March 2022</t>
  </si>
  <si>
    <t>https://www.rajteachers.in/da-rates-in-7th-pay-commission/</t>
  </si>
  <si>
    <t>https://www.rajteachers.in/da-rates-6th-pay-commission/</t>
  </si>
  <si>
    <t>Da Rate Increase persentage</t>
  </si>
  <si>
    <t>July-Aug. 2009</t>
  </si>
  <si>
    <t>Jan. 2010</t>
  </si>
  <si>
    <t>Jan-March 2010</t>
  </si>
  <si>
    <t>July-Sept 2010</t>
  </si>
  <si>
    <t>Jan-March 2011</t>
  </si>
  <si>
    <t>July-Aug.2011</t>
  </si>
  <si>
    <t>Jan-March 2012</t>
  </si>
  <si>
    <t>july-sept 2012</t>
  </si>
  <si>
    <t>Jan-March 2013</t>
  </si>
  <si>
    <t>July-Aug 2013</t>
  </si>
  <si>
    <t>Jan-Feb 2014</t>
  </si>
  <si>
    <t>July -Aug 2014</t>
  </si>
  <si>
    <t>Jan-March 2015</t>
  </si>
  <si>
    <t>July-Aug. 2015</t>
  </si>
  <si>
    <t>Jan-March 2016</t>
  </si>
  <si>
    <t>July-Oct 2016</t>
  </si>
  <si>
    <t>Jan-March 2017</t>
  </si>
  <si>
    <t>July-Sept 2017</t>
  </si>
  <si>
    <t>July-Aug 2018</t>
  </si>
  <si>
    <t>Jan-Feb 2019</t>
  </si>
  <si>
    <t>July 2019-feb 2020</t>
  </si>
  <si>
    <t>July 2022 to Sept. 2022</t>
  </si>
  <si>
    <t>Jan 2023 to March 2023</t>
  </si>
  <si>
    <t>http://cyberjournalist.org.in/majithia/aicpi_2016.php</t>
  </si>
  <si>
    <t>max</t>
  </si>
  <si>
    <t>on col b</t>
  </si>
  <si>
    <t>https://www.igecorner.com/expected-da-calculator/</t>
  </si>
  <si>
    <t>Month</t>
  </si>
  <si>
    <t>CPI(IW)BY2001=100</t>
  </si>
  <si>
    <t>DA% Monthly Increase</t>
  </si>
  <si>
    <t>Jan to March 2022</t>
  </si>
  <si>
    <t>July to Sept 2022</t>
  </si>
  <si>
    <t>July to Sept 2021</t>
  </si>
  <si>
    <t>July 2023 to Oct. 2023</t>
  </si>
  <si>
    <t>Jan 2024 to Feb. 2024</t>
  </si>
  <si>
    <t>last update on</t>
  </si>
  <si>
    <t>https://www.rajemployee.com/da-rates/</t>
  </si>
  <si>
    <t>Pay Month w.e.f.</t>
  </si>
  <si>
    <t>DA Rate %</t>
  </si>
  <si>
    <t>Deposit in GPF (Period)</t>
  </si>
  <si>
    <t>JAN-18 TO FEB-18</t>
  </si>
  <si>
    <t>JUL-18 TO AUG-18</t>
  </si>
  <si>
    <t>JAN-19 TO FEB-19</t>
  </si>
  <si>
    <t>JUL-19 TO FEB-20</t>
  </si>
  <si>
    <r>
      <t>31</t>
    </r>
    <r>
      <rPr>
        <sz val="9.9"/>
        <color rgb="FF686868"/>
        <rFont val="Segoe UI"/>
        <family val="2"/>
      </rPr>
      <t> | </t>
    </r>
    <r>
      <rPr>
        <b/>
        <sz val="9.9"/>
        <color rgb="FF1E73BE"/>
        <rFont val="Segoe UI"/>
        <family val="2"/>
      </rPr>
      <t>HRA 9%</t>
    </r>
  </si>
  <si>
    <t>JUL-21 TO SEP-21</t>
  </si>
  <si>
    <t>JAN-22 TO MARCH-22</t>
  </si>
  <si>
    <t>JULY-22 TO SEP-22</t>
  </si>
  <si>
    <t>JAN-23 TO MARCH-23</t>
  </si>
  <si>
    <t>JULY-23 TO OCT-23</t>
  </si>
  <si>
    <t>JAN-24 TO FEB 24</t>
  </si>
  <si>
    <r>
      <t>53</t>
    </r>
    <r>
      <rPr>
        <sz val="9.9"/>
        <color rgb="FF686868"/>
        <rFont val="Segoe UI"/>
        <family val="2"/>
      </rPr>
      <t> | </t>
    </r>
    <r>
      <rPr>
        <b/>
        <sz val="9.9"/>
        <color rgb="FF1E73BE"/>
        <rFont val="Segoe UI"/>
        <family val="2"/>
      </rPr>
      <t>HRA 10%</t>
    </r>
  </si>
  <si>
    <t>JULY-24 TO OCT-24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</si>
</sst>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008000"/>
      <name val="Times New Roman"/>
      <family val="1"/>
    </font>
    <font>
      <b/>
      <sz val="11"/>
      <color rgb="FF800000"/>
      <name val="Times New Roman"/>
      <family val="1"/>
    </font>
    <font>
      <b/>
      <sz val="10"/>
      <color rgb="FF008000"/>
      <name val="Times New Roman"/>
      <family val="1"/>
    </font>
    <font>
      <b/>
      <sz val="10"/>
      <color rgb="FF80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rgb="FF01012F"/>
      <name val="Arial"/>
      <family val="2"/>
    </font>
    <font>
      <sz val="12"/>
      <color rgb="FF222222"/>
      <name val="Arial"/>
      <family val="2"/>
    </font>
    <font>
      <sz val="11"/>
      <color rgb="FFFFFFFF"/>
      <name val="Verdana"/>
      <family val="2"/>
    </font>
    <font>
      <sz val="14"/>
      <color rgb="FF000000"/>
      <name val="Verdana"/>
      <family val="2"/>
    </font>
    <font>
      <b/>
      <sz val="10"/>
      <color theme="1"/>
      <name val="Times New Roman"/>
      <family val="1"/>
    </font>
    <font>
      <sz val="9.9"/>
      <color rgb="FF686868"/>
      <name val="Segoe UI"/>
      <family val="2"/>
    </font>
    <font>
      <b/>
      <sz val="9.9"/>
      <color rgb="FF686868"/>
      <name val="Segoe UI"/>
      <family val="2"/>
    </font>
    <font>
      <b/>
      <sz val="9.9"/>
      <color rgb="FF1E73BE"/>
      <name val="Segoe UI"/>
      <family val="2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E0615"/>
        <bgColor indexed="64"/>
      </patternFill>
    </fill>
    <fill>
      <patternFill patternType="solid">
        <fgColor rgb="FFFFFF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7F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11111"/>
      </left>
      <right style="medium">
        <color rgb="FF111111"/>
      </right>
      <top style="medium">
        <color rgb="FF111111"/>
      </top>
      <bottom style="medium">
        <color rgb="FF11111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 style="medium">
        <color rgb="FF111111"/>
      </right>
      <top style="thin">
        <color rgb="FF111111"/>
      </top>
      <bottom style="medium">
        <color rgb="FF111111"/>
      </bottom>
      <diagonal/>
    </border>
    <border>
      <left style="thin">
        <color rgb="FF111111"/>
      </left>
      <right style="medium">
        <color rgb="FF111111"/>
      </right>
      <top style="medium">
        <color rgb="FF111111"/>
      </top>
      <bottom style="medium">
        <color rgb="FF111111"/>
      </bottom>
      <diagonal/>
    </border>
    <border>
      <left style="thin">
        <color rgb="FF111111"/>
      </left>
      <right style="medium">
        <color rgb="FF111111"/>
      </right>
      <top style="medium">
        <color rgb="FF111111"/>
      </top>
      <bottom style="thin">
        <color rgb="FF111111"/>
      </bottom>
      <diagonal/>
    </border>
    <border>
      <left/>
      <right style="medium">
        <color rgb="FF111111"/>
      </right>
      <top style="medium">
        <color rgb="FF111111"/>
      </top>
      <bottom style="medium">
        <color rgb="FF11111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11111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E9E9E9"/>
      </top>
      <bottom/>
      <diagonal/>
    </border>
    <border>
      <left/>
      <right style="medium">
        <color rgb="FFE9E9E9"/>
      </right>
      <top style="medium">
        <color rgb="FFE9E9E9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17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left" vertical="center" wrapText="1"/>
    </xf>
    <xf numFmtId="17" fontId="3" fillId="0" borderId="5" xfId="0" applyNumberFormat="1" applyFont="1" applyBorder="1" applyAlignment="1">
      <alignment horizontal="left" vertical="center" wrapText="1"/>
    </xf>
    <xf numFmtId="17" fontId="3" fillId="0" borderId="6" xfId="0" applyNumberFormat="1" applyFont="1" applyBorder="1" applyAlignment="1">
      <alignment horizontal="left" vertical="center" wrapText="1"/>
    </xf>
    <xf numFmtId="17" fontId="5" fillId="0" borderId="2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1"/>
    <xf numFmtId="0" fontId="7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7" fontId="0" fillId="3" borderId="0" xfId="0" applyNumberFormat="1" applyFill="1"/>
    <xf numFmtId="2" fontId="8" fillId="0" borderId="0" xfId="1" applyNumberFormat="1"/>
    <xf numFmtId="0" fontId="11" fillId="4" borderId="11" xfId="0" applyFont="1" applyFill="1" applyBorder="1" applyAlignment="1">
      <alignment horizontal="center" vertical="center" wrapText="1"/>
    </xf>
    <xf numFmtId="17" fontId="11" fillId="4" borderId="11" xfId="0" applyNumberFormat="1" applyFont="1" applyFill="1" applyBorder="1" applyAlignment="1">
      <alignment horizontal="center" vertical="center" wrapText="1"/>
    </xf>
    <xf numFmtId="17" fontId="12" fillId="5" borderId="11" xfId="0" applyNumberFormat="1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9" fillId="2" borderId="10" xfId="0" applyFont="1" applyFill="1" applyBorder="1" applyAlignment="1">
      <alignment horizontal="left" vertical="center" wrapText="1"/>
    </xf>
    <xf numFmtId="14" fontId="10" fillId="6" borderId="10" xfId="0" applyNumberFormat="1" applyFont="1" applyFill="1" applyBorder="1" applyAlignment="1">
      <alignment vertical="center" wrapText="1"/>
    </xf>
    <xf numFmtId="9" fontId="10" fillId="6" borderId="10" xfId="0" applyNumberFormat="1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17" fontId="10" fillId="0" borderId="10" xfId="0" applyNumberFormat="1" applyFont="1" applyBorder="1" applyAlignment="1">
      <alignment horizontal="left" vertical="center" wrapText="1" indent="1"/>
    </xf>
    <xf numFmtId="9" fontId="10" fillId="0" borderId="10" xfId="0" applyNumberFormat="1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 indent="1"/>
    </xf>
    <xf numFmtId="14" fontId="0" fillId="0" borderId="0" xfId="0" applyNumberFormat="1"/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left" vertical="top" wrapText="1"/>
    </xf>
    <xf numFmtId="14" fontId="14" fillId="8" borderId="14" xfId="0" applyNumberFormat="1" applyFont="1" applyFill="1" applyBorder="1" applyAlignment="1">
      <alignment horizontal="left" vertical="top" wrapText="1"/>
    </xf>
    <xf numFmtId="0" fontId="15" fillId="8" borderId="14" xfId="0" applyFont="1" applyFill="1" applyBorder="1" applyAlignment="1">
      <alignment horizontal="left" vertical="top" wrapText="1"/>
    </xf>
    <xf numFmtId="14" fontId="14" fillId="7" borderId="14" xfId="0" applyNumberFormat="1" applyFont="1" applyFill="1" applyBorder="1" applyAlignment="1">
      <alignment horizontal="left" vertical="top" wrapText="1"/>
    </xf>
    <xf numFmtId="0" fontId="16" fillId="7" borderId="14" xfId="0" applyFont="1" applyFill="1" applyBorder="1" applyAlignment="1">
      <alignment horizontal="left" vertical="top" wrapText="1"/>
    </xf>
    <xf numFmtId="0" fontId="8" fillId="7" borderId="14" xfId="1" applyFill="1" applyBorder="1" applyAlignment="1">
      <alignment horizontal="left" vertical="top" wrapText="1"/>
    </xf>
    <xf numFmtId="0" fontId="8" fillId="8" borderId="14" xfId="1" applyFill="1" applyBorder="1" applyAlignment="1">
      <alignment horizontal="left" vertical="top" wrapText="1"/>
    </xf>
    <xf numFmtId="0" fontId="14" fillId="8" borderId="14" xfId="0" applyFont="1" applyFill="1" applyBorder="1" applyAlignment="1">
      <alignment horizontal="left" vertical="top" wrapText="1"/>
    </xf>
    <xf numFmtId="0" fontId="14" fillId="7" borderId="14" xfId="0" applyFont="1" applyFill="1" applyBorder="1" applyAlignment="1">
      <alignment horizontal="left" vertical="top" wrapText="1"/>
    </xf>
    <xf numFmtId="0" fontId="17" fillId="0" borderId="9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0" fillId="0" borderId="0" xfId="0" applyFill="1"/>
    <xf numFmtId="17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yberjournalist.org.in/majithia/aicpi_2001.php" TargetMode="External"/><Relationship Id="rId1" Type="http://schemas.openxmlformats.org/officeDocument/2006/relationships/hyperlink" Target="http://cyberjournalist.org.in/majithia/aicpi_2001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cyberjournalist.org.in/majithia/aicpi_2016.php" TargetMode="External"/><Relationship Id="rId2" Type="http://schemas.openxmlformats.org/officeDocument/2006/relationships/hyperlink" Target="http://cyberjournalist.org.in/majithia/aicpi_2016.php" TargetMode="External"/><Relationship Id="rId1" Type="http://schemas.openxmlformats.org/officeDocument/2006/relationships/hyperlink" Target="http://labourbureau.gov.in/LBO_Press_Release.ht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jemployee.com/wp-content/uploads/2022/03/10607.pdf" TargetMode="External"/><Relationship Id="rId3" Type="http://schemas.openxmlformats.org/officeDocument/2006/relationships/hyperlink" Target="https://www.rajemployee.com/wp-content/uploads/2022/12/7.pdf" TargetMode="External"/><Relationship Id="rId7" Type="http://schemas.openxmlformats.org/officeDocument/2006/relationships/hyperlink" Target="https://www.rajemployee.com/wp-content/uploads/2021/07/10059.pdf" TargetMode="External"/><Relationship Id="rId12" Type="http://schemas.openxmlformats.org/officeDocument/2006/relationships/hyperlink" Target="https://www.rajemployee.com/wp-content/uploads/2024/03/50.pdf" TargetMode="External"/><Relationship Id="rId2" Type="http://schemas.openxmlformats.org/officeDocument/2006/relationships/hyperlink" Target="https://www.rajemployee.com/wp-content/uploads/2022/12/F-RULES-7086-30102017.pdf" TargetMode="External"/><Relationship Id="rId1" Type="http://schemas.openxmlformats.org/officeDocument/2006/relationships/hyperlink" Target="https://www.rajteachers.in/da-rates-6th-pay-commission/" TargetMode="External"/><Relationship Id="rId6" Type="http://schemas.openxmlformats.org/officeDocument/2006/relationships/hyperlink" Target="https://www.rajemployee.com/wp-content/uploads/2020/04/17.pdf" TargetMode="External"/><Relationship Id="rId11" Type="http://schemas.openxmlformats.org/officeDocument/2006/relationships/hyperlink" Target="https://www.rajemployee.com/wp-content/uploads/2023/10/12966.pdf" TargetMode="External"/><Relationship Id="rId5" Type="http://schemas.openxmlformats.org/officeDocument/2006/relationships/hyperlink" Target="https://www.rajemployee.com/wp-content/uploads/2022/12/12.pdf" TargetMode="External"/><Relationship Id="rId10" Type="http://schemas.openxmlformats.org/officeDocument/2006/relationships/hyperlink" Target="https://www.rajemployee.com/wp-content/uploads/2023/03/11971.pdf" TargetMode="External"/><Relationship Id="rId4" Type="http://schemas.openxmlformats.org/officeDocument/2006/relationships/hyperlink" Target="https://www.rajemployee.com/wp-content/uploads/2022/12/9.pdf" TargetMode="External"/><Relationship Id="rId9" Type="http://schemas.openxmlformats.org/officeDocument/2006/relationships/hyperlink" Target="https://www.rajemployee.com/wp-content/uploads/2022/09/11365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igecorner.com/expected-da-calculator/" TargetMode="External"/><Relationship Id="rId1" Type="http://schemas.openxmlformats.org/officeDocument/2006/relationships/hyperlink" Target="https://www.igecorner.com/expected-da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74CA-8C64-4895-95C3-E52893CE78E3}">
  <dimension ref="A1:Q277"/>
  <sheetViews>
    <sheetView topLeftCell="A234" workbookViewId="0">
      <selection activeCell="C242" sqref="C242"/>
    </sheetView>
  </sheetViews>
  <sheetFormatPr defaultRowHeight="15" x14ac:dyDescent="0.25"/>
  <cols>
    <col min="1" max="1" width="9.140625" style="48"/>
  </cols>
  <sheetData>
    <row r="1" spans="1:12" x14ac:dyDescent="0.25">
      <c r="E1" s="14" t="s">
        <v>1</v>
      </c>
    </row>
    <row r="2" spans="1:12" x14ac:dyDescent="0.25">
      <c r="A2" s="49">
        <v>38718</v>
      </c>
      <c r="B2" s="3">
        <v>119</v>
      </c>
      <c r="C2" s="3"/>
      <c r="D2" s="4"/>
      <c r="E2" s="4"/>
    </row>
    <row r="3" spans="1:12" x14ac:dyDescent="0.25">
      <c r="A3" s="1">
        <v>38749</v>
      </c>
      <c r="B3" s="3">
        <v>119</v>
      </c>
      <c r="C3" s="3"/>
      <c r="D3" s="4"/>
      <c r="E3" s="4"/>
      <c r="H3" t="s">
        <v>42</v>
      </c>
      <c r="J3" t="s">
        <v>41</v>
      </c>
      <c r="K3">
        <f>MAX(H4:H276)</f>
        <v>10</v>
      </c>
      <c r="L3">
        <f>MAX(I4:I276)</f>
        <v>5.084895315329085</v>
      </c>
    </row>
    <row r="4" spans="1:12" x14ac:dyDescent="0.25">
      <c r="A4" s="1">
        <v>38777</v>
      </c>
      <c r="B4" s="3">
        <v>119</v>
      </c>
      <c r="C4" s="3"/>
      <c r="D4" s="4"/>
      <c r="E4" s="4"/>
      <c r="H4">
        <f>B4-B3</f>
        <v>0</v>
      </c>
    </row>
    <row r="5" spans="1:12" x14ac:dyDescent="0.25">
      <c r="A5" s="1">
        <v>38808</v>
      </c>
      <c r="B5" s="3">
        <v>120</v>
      </c>
      <c r="C5" s="3"/>
      <c r="D5" s="4"/>
      <c r="E5" s="4"/>
      <c r="H5">
        <f>B5-B4</f>
        <v>1</v>
      </c>
    </row>
    <row r="6" spans="1:12" x14ac:dyDescent="0.25">
      <c r="A6" s="1">
        <v>38838</v>
      </c>
      <c r="B6" s="3">
        <v>121</v>
      </c>
      <c r="C6" s="3"/>
      <c r="D6" s="4"/>
      <c r="E6" s="4"/>
      <c r="H6">
        <f>B6-B5</f>
        <v>1</v>
      </c>
    </row>
    <row r="7" spans="1:12" x14ac:dyDescent="0.25">
      <c r="A7" s="17">
        <v>38869</v>
      </c>
      <c r="B7" s="3">
        <v>123</v>
      </c>
      <c r="C7" s="3"/>
      <c r="D7" s="4"/>
      <c r="E7" s="4"/>
      <c r="H7">
        <f>B7-B6</f>
        <v>2</v>
      </c>
    </row>
    <row r="8" spans="1:12" x14ac:dyDescent="0.25">
      <c r="A8" s="49">
        <v>38899</v>
      </c>
      <c r="B8" s="3">
        <v>124</v>
      </c>
      <c r="C8" s="3"/>
      <c r="D8" s="4"/>
      <c r="E8" s="4"/>
      <c r="H8">
        <f t="shared" ref="H8:H71" si="0">B8-B7</f>
        <v>1</v>
      </c>
    </row>
    <row r="9" spans="1:12" x14ac:dyDescent="0.25">
      <c r="A9" s="1">
        <v>38930</v>
      </c>
      <c r="B9" s="3">
        <v>124</v>
      </c>
      <c r="C9" s="3"/>
      <c r="D9" s="4"/>
      <c r="E9" s="4"/>
      <c r="H9">
        <f t="shared" si="0"/>
        <v>0</v>
      </c>
    </row>
    <row r="10" spans="1:12" x14ac:dyDescent="0.25">
      <c r="A10" s="1">
        <v>38961</v>
      </c>
      <c r="B10" s="3">
        <v>125</v>
      </c>
      <c r="C10" s="3"/>
      <c r="D10" s="4"/>
      <c r="E10" s="4"/>
      <c r="H10">
        <f t="shared" si="0"/>
        <v>1</v>
      </c>
    </row>
    <row r="11" spans="1:12" x14ac:dyDescent="0.25">
      <c r="A11" s="1">
        <v>38991</v>
      </c>
      <c r="B11" s="3">
        <v>127</v>
      </c>
      <c r="C11" s="3"/>
      <c r="D11" s="4"/>
      <c r="E11" s="4"/>
      <c r="H11">
        <f t="shared" si="0"/>
        <v>2</v>
      </c>
    </row>
    <row r="12" spans="1:12" x14ac:dyDescent="0.25">
      <c r="A12" s="1">
        <v>39022</v>
      </c>
      <c r="B12" s="3">
        <v>127</v>
      </c>
      <c r="C12" s="3"/>
      <c r="D12" s="4"/>
      <c r="E12" s="4"/>
      <c r="H12">
        <f t="shared" si="0"/>
        <v>0</v>
      </c>
    </row>
    <row r="13" spans="1:12" x14ac:dyDescent="0.25">
      <c r="A13" s="17">
        <v>39052</v>
      </c>
      <c r="B13" s="3">
        <v>127</v>
      </c>
      <c r="C13" s="3">
        <f t="shared" ref="C13:C79" si="1">SUM(B2:B13)</f>
        <v>1475</v>
      </c>
      <c r="D13" s="4">
        <f t="shared" ref="D13:D79" si="2">C13/12</f>
        <v>122.91666666666667</v>
      </c>
      <c r="E13" s="4">
        <f t="shared" ref="E13:E79" si="3">((D13-261.42)/261.42)*100</f>
        <v>-52.98115420906332</v>
      </c>
      <c r="H13">
        <f t="shared" si="0"/>
        <v>0</v>
      </c>
    </row>
    <row r="14" spans="1:12" x14ac:dyDescent="0.25">
      <c r="A14" s="49">
        <v>39083</v>
      </c>
      <c r="B14" s="3">
        <v>127</v>
      </c>
      <c r="C14" s="3">
        <f t="shared" si="1"/>
        <v>1483</v>
      </c>
      <c r="D14" s="4">
        <f t="shared" si="2"/>
        <v>123.58333333333333</v>
      </c>
      <c r="E14" s="4">
        <f t="shared" si="3"/>
        <v>-52.726136740366726</v>
      </c>
      <c r="H14">
        <f t="shared" si="0"/>
        <v>0</v>
      </c>
      <c r="I14" s="2"/>
      <c r="J14" s="2"/>
    </row>
    <row r="15" spans="1:12" x14ac:dyDescent="0.25">
      <c r="A15" s="1">
        <v>39114</v>
      </c>
      <c r="B15" s="3">
        <v>128</v>
      </c>
      <c r="C15" s="3">
        <f t="shared" si="1"/>
        <v>1492</v>
      </c>
      <c r="D15" s="4">
        <f t="shared" si="2"/>
        <v>124.33333333333333</v>
      </c>
      <c r="E15" s="4">
        <f t="shared" si="3"/>
        <v>-52.439242088083049</v>
      </c>
      <c r="H15">
        <f t="shared" si="0"/>
        <v>1</v>
      </c>
      <c r="I15" s="2"/>
    </row>
    <row r="16" spans="1:12" x14ac:dyDescent="0.25">
      <c r="A16" s="1">
        <v>39142</v>
      </c>
      <c r="B16" s="3">
        <v>127</v>
      </c>
      <c r="C16" s="3">
        <f t="shared" si="1"/>
        <v>1500</v>
      </c>
      <c r="D16" s="4">
        <f t="shared" si="2"/>
        <v>125</v>
      </c>
      <c r="E16" s="4">
        <f t="shared" si="3"/>
        <v>-52.184224619386434</v>
      </c>
      <c r="H16">
        <f t="shared" si="0"/>
        <v>-1</v>
      </c>
      <c r="I16" s="2"/>
    </row>
    <row r="17" spans="1:10" x14ac:dyDescent="0.25">
      <c r="A17" s="1">
        <v>39173</v>
      </c>
      <c r="B17" s="3">
        <v>128</v>
      </c>
      <c r="C17" s="3">
        <f t="shared" si="1"/>
        <v>1508</v>
      </c>
      <c r="D17" s="4">
        <f t="shared" si="2"/>
        <v>125.66666666666667</v>
      </c>
      <c r="E17" s="4">
        <f t="shared" si="3"/>
        <v>-51.929207150689813</v>
      </c>
      <c r="H17">
        <f t="shared" si="0"/>
        <v>1</v>
      </c>
      <c r="I17" s="2"/>
    </row>
    <row r="18" spans="1:10" x14ac:dyDescent="0.25">
      <c r="A18" s="1">
        <v>39203</v>
      </c>
      <c r="B18" s="3">
        <v>129</v>
      </c>
      <c r="C18" s="3">
        <f t="shared" si="1"/>
        <v>1516</v>
      </c>
      <c r="D18" s="4">
        <f t="shared" si="2"/>
        <v>126.33333333333333</v>
      </c>
      <c r="E18" s="4">
        <f t="shared" si="3"/>
        <v>-51.674189681993234</v>
      </c>
      <c r="H18">
        <f t="shared" si="0"/>
        <v>1</v>
      </c>
      <c r="I18" s="2"/>
    </row>
    <row r="19" spans="1:10" x14ac:dyDescent="0.25">
      <c r="A19" s="17">
        <v>39234</v>
      </c>
      <c r="B19" s="3">
        <v>130</v>
      </c>
      <c r="C19" s="3">
        <f t="shared" si="1"/>
        <v>1523</v>
      </c>
      <c r="D19" s="4">
        <f t="shared" si="2"/>
        <v>126.91666666666667</v>
      </c>
      <c r="E19" s="4">
        <f t="shared" si="3"/>
        <v>-51.451049396883683</v>
      </c>
      <c r="H19">
        <f t="shared" si="0"/>
        <v>1</v>
      </c>
      <c r="I19" s="2">
        <f>E19-ROUNDDOWN(E13,0)</f>
        <v>0.54895060311631738</v>
      </c>
      <c r="J19" s="2">
        <f>ROUNDDOWN(I19,0)</f>
        <v>0</v>
      </c>
    </row>
    <row r="20" spans="1:10" x14ac:dyDescent="0.25">
      <c r="A20" s="49">
        <v>39264</v>
      </c>
      <c r="B20" s="3">
        <v>132</v>
      </c>
      <c r="C20" s="3">
        <f t="shared" si="1"/>
        <v>1531</v>
      </c>
      <c r="D20" s="4">
        <f t="shared" si="2"/>
        <v>127.58333333333333</v>
      </c>
      <c r="E20" s="4">
        <f t="shared" si="3"/>
        <v>-51.196031928187089</v>
      </c>
      <c r="H20">
        <f t="shared" si="0"/>
        <v>2</v>
      </c>
    </row>
    <row r="21" spans="1:10" x14ac:dyDescent="0.25">
      <c r="A21" s="1">
        <v>39295</v>
      </c>
      <c r="B21" s="3">
        <v>133</v>
      </c>
      <c r="C21" s="3">
        <f t="shared" si="1"/>
        <v>1540</v>
      </c>
      <c r="D21" s="4">
        <f t="shared" si="2"/>
        <v>128.33333333333334</v>
      </c>
      <c r="E21" s="4">
        <f t="shared" si="3"/>
        <v>-50.90913727590339</v>
      </c>
      <c r="H21">
        <f t="shared" si="0"/>
        <v>1</v>
      </c>
      <c r="I21" s="2"/>
    </row>
    <row r="22" spans="1:10" x14ac:dyDescent="0.25">
      <c r="A22" s="1">
        <v>39326</v>
      </c>
      <c r="B22" s="3">
        <v>133</v>
      </c>
      <c r="C22" s="3">
        <f t="shared" si="1"/>
        <v>1548</v>
      </c>
      <c r="D22" s="4">
        <f t="shared" si="2"/>
        <v>129</v>
      </c>
      <c r="E22" s="4">
        <f t="shared" si="3"/>
        <v>-50.654119807206797</v>
      </c>
      <c r="H22">
        <f t="shared" si="0"/>
        <v>0</v>
      </c>
      <c r="I22" s="2"/>
    </row>
    <row r="23" spans="1:10" x14ac:dyDescent="0.25">
      <c r="A23" s="1">
        <v>39356</v>
      </c>
      <c r="B23" s="3">
        <v>134</v>
      </c>
      <c r="C23" s="3">
        <f t="shared" si="1"/>
        <v>1555</v>
      </c>
      <c r="D23" s="4">
        <f t="shared" si="2"/>
        <v>129.58333333333334</v>
      </c>
      <c r="E23" s="4">
        <f t="shared" si="3"/>
        <v>-50.43097952209726</v>
      </c>
      <c r="H23">
        <f t="shared" si="0"/>
        <v>1</v>
      </c>
      <c r="I23" s="2"/>
    </row>
    <row r="24" spans="1:10" x14ac:dyDescent="0.25">
      <c r="A24" s="1">
        <v>39387</v>
      </c>
      <c r="B24" s="3">
        <v>134</v>
      </c>
      <c r="C24" s="3">
        <f t="shared" si="1"/>
        <v>1562</v>
      </c>
      <c r="D24" s="4">
        <f t="shared" si="2"/>
        <v>130.16666666666666</v>
      </c>
      <c r="E24" s="4">
        <f t="shared" si="3"/>
        <v>-50.207839236987738</v>
      </c>
      <c r="H24">
        <f t="shared" si="0"/>
        <v>0</v>
      </c>
      <c r="I24" s="2"/>
    </row>
    <row r="25" spans="1:10" x14ac:dyDescent="0.25">
      <c r="A25" s="17">
        <v>39417</v>
      </c>
      <c r="B25" s="3">
        <v>134</v>
      </c>
      <c r="C25" s="3">
        <f t="shared" si="1"/>
        <v>1569</v>
      </c>
      <c r="D25" s="4">
        <f t="shared" si="2"/>
        <v>130.75</v>
      </c>
      <c r="E25" s="4">
        <f t="shared" si="3"/>
        <v>-49.984698951878208</v>
      </c>
      <c r="H25">
        <f t="shared" si="0"/>
        <v>0</v>
      </c>
      <c r="I25" s="2">
        <f>E25-ROUNDDOWN(E19,0)</f>
        <v>1.0153010481217919</v>
      </c>
      <c r="J25" s="2">
        <f>ROUNDDOWN(I25,0)</f>
        <v>1</v>
      </c>
    </row>
    <row r="26" spans="1:10" x14ac:dyDescent="0.25">
      <c r="A26" s="49">
        <v>39448</v>
      </c>
      <c r="B26" s="3">
        <v>134</v>
      </c>
      <c r="C26" s="3">
        <f t="shared" si="1"/>
        <v>1576</v>
      </c>
      <c r="D26" s="4">
        <f t="shared" si="2"/>
        <v>131.33333333333334</v>
      </c>
      <c r="E26" s="4">
        <f t="shared" si="3"/>
        <v>-49.761558666768671</v>
      </c>
      <c r="H26">
        <f t="shared" si="0"/>
        <v>0</v>
      </c>
      <c r="J26" s="2"/>
    </row>
    <row r="27" spans="1:10" x14ac:dyDescent="0.25">
      <c r="A27" s="1">
        <v>39479</v>
      </c>
      <c r="B27" s="3">
        <v>135</v>
      </c>
      <c r="C27" s="3">
        <f t="shared" si="1"/>
        <v>1583</v>
      </c>
      <c r="D27" s="4">
        <f t="shared" si="2"/>
        <v>131.91666666666666</v>
      </c>
      <c r="E27" s="4">
        <f t="shared" si="3"/>
        <v>-49.538418381659149</v>
      </c>
      <c r="H27">
        <f t="shared" si="0"/>
        <v>1</v>
      </c>
      <c r="I27" s="2"/>
    </row>
    <row r="28" spans="1:10" x14ac:dyDescent="0.25">
      <c r="A28" s="1">
        <v>39508</v>
      </c>
      <c r="B28" s="3">
        <v>137</v>
      </c>
      <c r="C28" s="3">
        <f t="shared" si="1"/>
        <v>1593</v>
      </c>
      <c r="D28" s="4">
        <f t="shared" si="2"/>
        <v>132.75</v>
      </c>
      <c r="E28" s="4">
        <f t="shared" si="3"/>
        <v>-49.219646545788386</v>
      </c>
      <c r="H28">
        <f t="shared" si="0"/>
        <v>2</v>
      </c>
      <c r="I28" s="2"/>
    </row>
    <row r="29" spans="1:10" x14ac:dyDescent="0.25">
      <c r="A29" s="1">
        <v>39539</v>
      </c>
      <c r="B29" s="3">
        <v>138</v>
      </c>
      <c r="C29" s="3">
        <f t="shared" si="1"/>
        <v>1603</v>
      </c>
      <c r="D29" s="4">
        <f t="shared" si="2"/>
        <v>133.58333333333334</v>
      </c>
      <c r="E29" s="4">
        <f t="shared" si="3"/>
        <v>-48.90087470991763</v>
      </c>
      <c r="H29">
        <f t="shared" si="0"/>
        <v>1</v>
      </c>
      <c r="I29" s="2"/>
    </row>
    <row r="30" spans="1:10" x14ac:dyDescent="0.25">
      <c r="A30" s="1">
        <v>39569</v>
      </c>
      <c r="B30" s="3">
        <v>139</v>
      </c>
      <c r="C30" s="3">
        <f t="shared" si="1"/>
        <v>1613</v>
      </c>
      <c r="D30" s="4">
        <f t="shared" si="2"/>
        <v>134.41666666666666</v>
      </c>
      <c r="E30" s="4">
        <f t="shared" si="3"/>
        <v>-48.582102874046882</v>
      </c>
      <c r="H30">
        <f t="shared" si="0"/>
        <v>1</v>
      </c>
      <c r="I30" s="2"/>
    </row>
    <row r="31" spans="1:10" x14ac:dyDescent="0.25">
      <c r="A31" s="17">
        <v>39600</v>
      </c>
      <c r="B31" s="3">
        <v>140</v>
      </c>
      <c r="C31" s="3">
        <f t="shared" si="1"/>
        <v>1623</v>
      </c>
      <c r="D31" s="4">
        <f t="shared" si="2"/>
        <v>135.25</v>
      </c>
      <c r="E31" s="4">
        <f t="shared" si="3"/>
        <v>-48.263331038176119</v>
      </c>
      <c r="H31">
        <f t="shared" si="0"/>
        <v>1</v>
      </c>
      <c r="I31" s="2">
        <f>E31-ROUNDDOWN(E25,0)</f>
        <v>0.73666896182388086</v>
      </c>
      <c r="J31" s="2">
        <f>ROUNDDOWN(I31,0)</f>
        <v>0</v>
      </c>
    </row>
    <row r="32" spans="1:10" x14ac:dyDescent="0.25">
      <c r="A32" s="49">
        <v>39630</v>
      </c>
      <c r="B32" s="3">
        <v>143</v>
      </c>
      <c r="C32" s="3">
        <f t="shared" si="1"/>
        <v>1634</v>
      </c>
      <c r="D32" s="4">
        <f t="shared" si="2"/>
        <v>136.16666666666666</v>
      </c>
      <c r="E32" s="4">
        <f t="shared" si="3"/>
        <v>-47.912682018718286</v>
      </c>
      <c r="H32">
        <f t="shared" si="0"/>
        <v>3</v>
      </c>
      <c r="I32" s="2"/>
      <c r="J32" s="2"/>
    </row>
    <row r="33" spans="1:10" x14ac:dyDescent="0.25">
      <c r="A33" s="1">
        <v>39661</v>
      </c>
      <c r="B33" s="3">
        <v>145</v>
      </c>
      <c r="C33" s="3">
        <f t="shared" si="1"/>
        <v>1646</v>
      </c>
      <c r="D33" s="4">
        <f t="shared" si="2"/>
        <v>137.16666666666666</v>
      </c>
      <c r="E33" s="4">
        <f t="shared" si="3"/>
        <v>-47.530155815673382</v>
      </c>
      <c r="H33">
        <f t="shared" si="0"/>
        <v>2</v>
      </c>
      <c r="I33" s="2"/>
    </row>
    <row r="34" spans="1:10" x14ac:dyDescent="0.25">
      <c r="A34" s="1">
        <v>39692</v>
      </c>
      <c r="B34" s="3">
        <v>146</v>
      </c>
      <c r="C34" s="3">
        <f t="shared" si="1"/>
        <v>1659</v>
      </c>
      <c r="D34" s="4">
        <f t="shared" si="2"/>
        <v>138.25</v>
      </c>
      <c r="E34" s="4">
        <f t="shared" si="3"/>
        <v>-47.115752429041393</v>
      </c>
      <c r="H34">
        <f t="shared" si="0"/>
        <v>1</v>
      </c>
      <c r="I34" s="2"/>
    </row>
    <row r="35" spans="1:10" x14ac:dyDescent="0.25">
      <c r="A35" s="1">
        <v>39722</v>
      </c>
      <c r="B35" s="3">
        <v>148</v>
      </c>
      <c r="C35" s="3">
        <f t="shared" si="1"/>
        <v>1673</v>
      </c>
      <c r="D35" s="4">
        <f t="shared" si="2"/>
        <v>139.41666666666666</v>
      </c>
      <c r="E35" s="4">
        <f t="shared" si="3"/>
        <v>-46.669471858822334</v>
      </c>
      <c r="H35">
        <f t="shared" si="0"/>
        <v>2</v>
      </c>
      <c r="I35" s="2"/>
    </row>
    <row r="36" spans="1:10" x14ac:dyDescent="0.25">
      <c r="A36" s="1">
        <v>39753</v>
      </c>
      <c r="B36" s="3">
        <v>148</v>
      </c>
      <c r="C36" s="3">
        <f t="shared" si="1"/>
        <v>1687</v>
      </c>
      <c r="D36" s="4">
        <f t="shared" si="2"/>
        <v>140.58333333333334</v>
      </c>
      <c r="E36" s="4">
        <f t="shared" si="3"/>
        <v>-46.223191288603275</v>
      </c>
      <c r="H36">
        <f t="shared" si="0"/>
        <v>0</v>
      </c>
      <c r="I36" s="2"/>
    </row>
    <row r="37" spans="1:10" x14ac:dyDescent="0.25">
      <c r="A37" s="17">
        <v>39783</v>
      </c>
      <c r="B37" s="3">
        <v>147</v>
      </c>
      <c r="C37" s="3">
        <f t="shared" si="1"/>
        <v>1700</v>
      </c>
      <c r="D37" s="4">
        <f t="shared" si="2"/>
        <v>141.66666666666666</v>
      </c>
      <c r="E37" s="4">
        <f t="shared" si="3"/>
        <v>-45.808787901971293</v>
      </c>
      <c r="H37">
        <f t="shared" si="0"/>
        <v>-1</v>
      </c>
      <c r="I37" s="2">
        <f>E37-ROUNDDOWN(E31,0)</f>
        <v>2.1912120980287071</v>
      </c>
      <c r="J37" s="2">
        <f>ROUNDDOWN(I37,0)</f>
        <v>2</v>
      </c>
    </row>
    <row r="38" spans="1:10" x14ac:dyDescent="0.25">
      <c r="A38" s="49">
        <v>39814</v>
      </c>
      <c r="B38" s="3">
        <v>148</v>
      </c>
      <c r="C38" s="3">
        <f t="shared" si="1"/>
        <v>1714</v>
      </c>
      <c r="D38" s="4">
        <f t="shared" si="2"/>
        <v>142.83333333333334</v>
      </c>
      <c r="E38" s="4">
        <f t="shared" si="3"/>
        <v>-45.362507331752219</v>
      </c>
      <c r="H38">
        <f t="shared" si="0"/>
        <v>1</v>
      </c>
      <c r="I38" s="2"/>
      <c r="J38" s="2"/>
    </row>
    <row r="39" spans="1:10" x14ac:dyDescent="0.25">
      <c r="A39" s="1">
        <v>39845</v>
      </c>
      <c r="B39" s="3">
        <v>148</v>
      </c>
      <c r="C39" s="3">
        <f t="shared" si="1"/>
        <v>1727</v>
      </c>
      <c r="D39" s="4">
        <f t="shared" si="2"/>
        <v>143.91666666666666</v>
      </c>
      <c r="E39" s="4">
        <f t="shared" si="3"/>
        <v>-44.948103945120252</v>
      </c>
      <c r="H39">
        <f t="shared" si="0"/>
        <v>0</v>
      </c>
      <c r="I39" s="2"/>
    </row>
    <row r="40" spans="1:10" x14ac:dyDescent="0.25">
      <c r="A40" s="1">
        <v>39873</v>
      </c>
      <c r="B40" s="3">
        <v>148</v>
      </c>
      <c r="C40" s="3">
        <f t="shared" si="1"/>
        <v>1738</v>
      </c>
      <c r="D40" s="4">
        <f t="shared" si="2"/>
        <v>144.83333333333334</v>
      </c>
      <c r="E40" s="4">
        <f t="shared" si="3"/>
        <v>-44.597454925662404</v>
      </c>
      <c r="H40">
        <f t="shared" si="0"/>
        <v>0</v>
      </c>
      <c r="I40" s="2"/>
    </row>
    <row r="41" spans="1:10" x14ac:dyDescent="0.25">
      <c r="A41" s="1">
        <v>39904</v>
      </c>
      <c r="B41" s="3">
        <v>150</v>
      </c>
      <c r="C41" s="3">
        <f t="shared" si="1"/>
        <v>1750</v>
      </c>
      <c r="D41" s="4">
        <f t="shared" si="2"/>
        <v>145.83333333333334</v>
      </c>
      <c r="E41" s="4">
        <f t="shared" si="3"/>
        <v>-44.214928722617501</v>
      </c>
      <c r="H41">
        <f t="shared" si="0"/>
        <v>2</v>
      </c>
      <c r="I41" s="2"/>
    </row>
    <row r="42" spans="1:10" x14ac:dyDescent="0.25">
      <c r="A42" s="1">
        <v>39934</v>
      </c>
      <c r="B42" s="3">
        <v>151</v>
      </c>
      <c r="C42" s="3">
        <f t="shared" si="1"/>
        <v>1762</v>
      </c>
      <c r="D42" s="4">
        <f t="shared" si="2"/>
        <v>146.83333333333334</v>
      </c>
      <c r="E42" s="4">
        <f t="shared" si="3"/>
        <v>-43.832402519572589</v>
      </c>
      <c r="H42">
        <f t="shared" si="0"/>
        <v>1</v>
      </c>
      <c r="I42" s="2"/>
    </row>
    <row r="43" spans="1:10" x14ac:dyDescent="0.25">
      <c r="A43" s="17">
        <v>39965</v>
      </c>
      <c r="B43" s="3">
        <v>153</v>
      </c>
      <c r="C43" s="3">
        <f t="shared" si="1"/>
        <v>1775</v>
      </c>
      <c r="D43" s="4">
        <f t="shared" si="2"/>
        <v>147.91666666666666</v>
      </c>
      <c r="E43" s="4">
        <f t="shared" si="3"/>
        <v>-43.417999132940615</v>
      </c>
      <c r="H43">
        <f t="shared" si="0"/>
        <v>2</v>
      </c>
      <c r="I43" s="2">
        <f>E43-ROUNDDOWN(E37,0)</f>
        <v>1.582000867059385</v>
      </c>
      <c r="J43" s="2">
        <f>ROUNDDOWN(I43,0)</f>
        <v>1</v>
      </c>
    </row>
    <row r="44" spans="1:10" x14ac:dyDescent="0.25">
      <c r="A44" s="49">
        <v>39995</v>
      </c>
      <c r="B44" s="3">
        <v>160</v>
      </c>
      <c r="C44" s="3">
        <f t="shared" si="1"/>
        <v>1792</v>
      </c>
      <c r="D44" s="4">
        <f t="shared" si="2"/>
        <v>149.33333333333334</v>
      </c>
      <c r="E44" s="4">
        <f t="shared" si="3"/>
        <v>-42.876087011960315</v>
      </c>
      <c r="H44">
        <f t="shared" si="0"/>
        <v>7</v>
      </c>
      <c r="I44" s="2"/>
      <c r="J44" s="2"/>
    </row>
    <row r="45" spans="1:10" x14ac:dyDescent="0.25">
      <c r="A45" s="1">
        <v>40026</v>
      </c>
      <c r="B45" s="3">
        <v>162</v>
      </c>
      <c r="C45" s="3">
        <f t="shared" si="1"/>
        <v>1809</v>
      </c>
      <c r="D45" s="4">
        <f t="shared" si="2"/>
        <v>150.75</v>
      </c>
      <c r="E45" s="4">
        <f t="shared" si="3"/>
        <v>-42.334174890980037</v>
      </c>
      <c r="H45">
        <f t="shared" si="0"/>
        <v>2</v>
      </c>
      <c r="I45" s="2"/>
    </row>
    <row r="46" spans="1:10" x14ac:dyDescent="0.25">
      <c r="A46" s="1">
        <v>40057</v>
      </c>
      <c r="B46" s="3">
        <v>163</v>
      </c>
      <c r="C46" s="3">
        <f t="shared" si="1"/>
        <v>1826</v>
      </c>
      <c r="D46" s="4">
        <f t="shared" si="2"/>
        <v>152.16666666666666</v>
      </c>
      <c r="E46" s="4">
        <f t="shared" si="3"/>
        <v>-41.792262769999752</v>
      </c>
      <c r="H46">
        <f t="shared" si="0"/>
        <v>1</v>
      </c>
      <c r="I46" s="2"/>
    </row>
    <row r="47" spans="1:10" x14ac:dyDescent="0.25">
      <c r="A47" s="1">
        <v>40087</v>
      </c>
      <c r="B47" s="3">
        <v>165</v>
      </c>
      <c r="C47" s="3">
        <f t="shared" si="1"/>
        <v>1843</v>
      </c>
      <c r="D47" s="4">
        <f t="shared" si="2"/>
        <v>153.58333333333334</v>
      </c>
      <c r="E47" s="4">
        <f t="shared" si="3"/>
        <v>-41.25035064901946</v>
      </c>
      <c r="H47">
        <f t="shared" si="0"/>
        <v>2</v>
      </c>
      <c r="I47" s="2"/>
    </row>
    <row r="48" spans="1:10" x14ac:dyDescent="0.25">
      <c r="A48" s="1">
        <v>40118</v>
      </c>
      <c r="B48" s="3">
        <v>168</v>
      </c>
      <c r="C48" s="3">
        <f t="shared" si="1"/>
        <v>1863</v>
      </c>
      <c r="D48" s="4">
        <f t="shared" si="2"/>
        <v>155.25</v>
      </c>
      <c r="E48" s="4">
        <f t="shared" si="3"/>
        <v>-40.612806977277948</v>
      </c>
      <c r="H48">
        <f t="shared" si="0"/>
        <v>3</v>
      </c>
      <c r="I48" s="2"/>
    </row>
    <row r="49" spans="1:10" x14ac:dyDescent="0.25">
      <c r="A49" s="17">
        <v>40148</v>
      </c>
      <c r="B49" s="3">
        <v>169</v>
      </c>
      <c r="C49" s="3">
        <f t="shared" si="1"/>
        <v>1885</v>
      </c>
      <c r="D49" s="4">
        <f t="shared" si="2"/>
        <v>157.08333333333334</v>
      </c>
      <c r="E49" s="4">
        <f t="shared" si="3"/>
        <v>-39.911508938362275</v>
      </c>
      <c r="H49">
        <f t="shared" si="0"/>
        <v>1</v>
      </c>
      <c r="I49" s="2">
        <f>E49-ROUNDDOWN(E43,0)</f>
        <v>3.0884910616377255</v>
      </c>
      <c r="J49" s="2">
        <f>ROUNDDOWN(I49,0)</f>
        <v>3</v>
      </c>
    </row>
    <row r="50" spans="1:10" x14ac:dyDescent="0.25">
      <c r="A50" s="49">
        <v>40179</v>
      </c>
      <c r="B50" s="3">
        <v>172</v>
      </c>
      <c r="C50" s="3">
        <f t="shared" si="1"/>
        <v>1909</v>
      </c>
      <c r="D50" s="4">
        <f t="shared" si="2"/>
        <v>159.08333333333334</v>
      </c>
      <c r="E50" s="4">
        <f t="shared" si="3"/>
        <v>-39.14645653227246</v>
      </c>
      <c r="H50">
        <f t="shared" si="0"/>
        <v>3</v>
      </c>
      <c r="I50" s="2"/>
      <c r="J50" s="2"/>
    </row>
    <row r="51" spans="1:10" x14ac:dyDescent="0.25">
      <c r="A51" s="1">
        <v>40210</v>
      </c>
      <c r="B51" s="3">
        <v>170</v>
      </c>
      <c r="C51" s="3">
        <f t="shared" si="1"/>
        <v>1931</v>
      </c>
      <c r="D51" s="4">
        <f t="shared" si="2"/>
        <v>160.91666666666666</v>
      </c>
      <c r="E51" s="4">
        <f t="shared" si="3"/>
        <v>-38.4451584933568</v>
      </c>
      <c r="H51">
        <f t="shared" si="0"/>
        <v>-2</v>
      </c>
      <c r="I51" s="2"/>
    </row>
    <row r="52" spans="1:10" x14ac:dyDescent="0.25">
      <c r="A52" s="1">
        <v>40238</v>
      </c>
      <c r="B52" s="3">
        <v>170</v>
      </c>
      <c r="C52" s="3">
        <f t="shared" si="1"/>
        <v>1953</v>
      </c>
      <c r="D52" s="4">
        <f t="shared" si="2"/>
        <v>162.75</v>
      </c>
      <c r="E52" s="4">
        <f t="shared" si="3"/>
        <v>-37.743860454441133</v>
      </c>
      <c r="H52">
        <f t="shared" si="0"/>
        <v>0</v>
      </c>
      <c r="I52" s="2"/>
    </row>
    <row r="53" spans="1:10" x14ac:dyDescent="0.25">
      <c r="A53" s="1">
        <v>40269</v>
      </c>
      <c r="B53" s="3">
        <v>170</v>
      </c>
      <c r="C53" s="3">
        <f t="shared" si="1"/>
        <v>1973</v>
      </c>
      <c r="D53" s="4">
        <f t="shared" si="2"/>
        <v>164.41666666666666</v>
      </c>
      <c r="E53" s="4">
        <f t="shared" si="3"/>
        <v>-37.106316782699622</v>
      </c>
      <c r="H53">
        <f t="shared" si="0"/>
        <v>0</v>
      </c>
      <c r="I53" s="2"/>
    </row>
    <row r="54" spans="1:10" x14ac:dyDescent="0.25">
      <c r="A54" s="1">
        <v>40299</v>
      </c>
      <c r="B54" s="3">
        <v>172</v>
      </c>
      <c r="C54" s="3">
        <f t="shared" si="1"/>
        <v>1994</v>
      </c>
      <c r="D54" s="4">
        <f t="shared" si="2"/>
        <v>166.16666666666666</v>
      </c>
      <c r="E54" s="4">
        <f t="shared" si="3"/>
        <v>-36.436895927371033</v>
      </c>
      <c r="H54">
        <f t="shared" si="0"/>
        <v>2</v>
      </c>
      <c r="I54" s="2"/>
    </row>
    <row r="55" spans="1:10" x14ac:dyDescent="0.25">
      <c r="A55" s="17">
        <v>40330</v>
      </c>
      <c r="B55" s="3">
        <v>174</v>
      </c>
      <c r="C55" s="3">
        <f t="shared" si="1"/>
        <v>2015</v>
      </c>
      <c r="D55" s="4">
        <f t="shared" si="2"/>
        <v>167.91666666666666</v>
      </c>
      <c r="E55" s="4">
        <f t="shared" si="3"/>
        <v>-35.767475072042444</v>
      </c>
      <c r="H55">
        <f t="shared" si="0"/>
        <v>2</v>
      </c>
      <c r="I55" s="2">
        <f>E55-ROUNDDOWN(E49,0)</f>
        <v>3.2325249279575559</v>
      </c>
      <c r="J55" s="2">
        <f>ROUNDDOWN(I55,0)</f>
        <v>3</v>
      </c>
    </row>
    <row r="56" spans="1:10" x14ac:dyDescent="0.25">
      <c r="A56" s="49">
        <v>40360</v>
      </c>
      <c r="B56" s="3">
        <v>178</v>
      </c>
      <c r="C56" s="3">
        <f t="shared" si="1"/>
        <v>2033</v>
      </c>
      <c r="D56" s="4">
        <f t="shared" si="2"/>
        <v>169.41666666666666</v>
      </c>
      <c r="E56" s="4">
        <f t="shared" si="3"/>
        <v>-35.193685767475081</v>
      </c>
      <c r="H56">
        <f t="shared" si="0"/>
        <v>4</v>
      </c>
      <c r="I56" s="2"/>
      <c r="J56" s="2"/>
    </row>
    <row r="57" spans="1:10" x14ac:dyDescent="0.25">
      <c r="A57" s="1">
        <v>40391</v>
      </c>
      <c r="B57" s="3">
        <v>178</v>
      </c>
      <c r="C57" s="3">
        <f t="shared" si="1"/>
        <v>2049</v>
      </c>
      <c r="D57" s="4">
        <f t="shared" si="2"/>
        <v>170.75</v>
      </c>
      <c r="E57" s="4">
        <f t="shared" si="3"/>
        <v>-34.683650830081866</v>
      </c>
      <c r="H57">
        <f t="shared" si="0"/>
        <v>0</v>
      </c>
      <c r="I57" s="2"/>
    </row>
    <row r="58" spans="1:10" x14ac:dyDescent="0.25">
      <c r="A58" s="1">
        <v>40422</v>
      </c>
      <c r="B58" s="3">
        <v>179</v>
      </c>
      <c r="C58" s="3">
        <f t="shared" si="1"/>
        <v>2065</v>
      </c>
      <c r="D58" s="4">
        <f t="shared" si="2"/>
        <v>172.08333333333334</v>
      </c>
      <c r="E58" s="4">
        <f t="shared" si="3"/>
        <v>-34.173615892688645</v>
      </c>
      <c r="H58">
        <f t="shared" si="0"/>
        <v>1</v>
      </c>
      <c r="I58" s="2"/>
    </row>
    <row r="59" spans="1:10" x14ac:dyDescent="0.25">
      <c r="A59" s="1">
        <v>40452</v>
      </c>
      <c r="B59" s="3">
        <v>181</v>
      </c>
      <c r="C59" s="3">
        <f t="shared" si="1"/>
        <v>2081</v>
      </c>
      <c r="D59" s="4">
        <f t="shared" si="2"/>
        <v>173.41666666666666</v>
      </c>
      <c r="E59" s="4">
        <f t="shared" si="3"/>
        <v>-33.663580955295444</v>
      </c>
      <c r="H59">
        <f t="shared" si="0"/>
        <v>2</v>
      </c>
      <c r="I59" s="2"/>
    </row>
    <row r="60" spans="1:10" x14ac:dyDescent="0.25">
      <c r="A60" s="1">
        <v>40483</v>
      </c>
      <c r="B60" s="3">
        <v>182</v>
      </c>
      <c r="C60" s="3">
        <f t="shared" si="1"/>
        <v>2095</v>
      </c>
      <c r="D60" s="4">
        <f t="shared" si="2"/>
        <v>174.58333333333334</v>
      </c>
      <c r="E60" s="4">
        <f t="shared" si="3"/>
        <v>-33.217300385076378</v>
      </c>
      <c r="H60">
        <f t="shared" si="0"/>
        <v>1</v>
      </c>
      <c r="I60" s="2"/>
    </row>
    <row r="61" spans="1:10" x14ac:dyDescent="0.25">
      <c r="A61" s="17">
        <v>40513</v>
      </c>
      <c r="B61" s="3">
        <v>185</v>
      </c>
      <c r="C61" s="3">
        <f t="shared" si="1"/>
        <v>2111</v>
      </c>
      <c r="D61" s="4">
        <f t="shared" si="2"/>
        <v>175.91666666666666</v>
      </c>
      <c r="E61" s="4">
        <f t="shared" si="3"/>
        <v>-32.707265447683177</v>
      </c>
      <c r="H61">
        <f t="shared" si="0"/>
        <v>3</v>
      </c>
      <c r="I61" s="2">
        <f>E61-ROUNDDOWN(E55,0)</f>
        <v>2.2927345523168228</v>
      </c>
      <c r="J61" s="2">
        <f>ROUNDDOWN(I61,0)</f>
        <v>2</v>
      </c>
    </row>
    <row r="62" spans="1:10" x14ac:dyDescent="0.25">
      <c r="A62" s="49">
        <v>40544</v>
      </c>
      <c r="B62" s="3">
        <v>188</v>
      </c>
      <c r="C62" s="3">
        <f t="shared" si="1"/>
        <v>2127</v>
      </c>
      <c r="D62" s="4">
        <f t="shared" si="2"/>
        <v>177.25</v>
      </c>
      <c r="E62" s="4">
        <f t="shared" si="3"/>
        <v>-32.197230510289963</v>
      </c>
      <c r="H62">
        <f t="shared" si="0"/>
        <v>3</v>
      </c>
      <c r="I62" s="2"/>
      <c r="J62" s="2"/>
    </row>
    <row r="63" spans="1:10" x14ac:dyDescent="0.25">
      <c r="A63" s="1">
        <v>40575</v>
      </c>
      <c r="B63" s="3">
        <v>185</v>
      </c>
      <c r="C63" s="3">
        <f t="shared" si="1"/>
        <v>2142</v>
      </c>
      <c r="D63" s="4">
        <f t="shared" si="2"/>
        <v>178.5</v>
      </c>
      <c r="E63" s="4">
        <f t="shared" si="3"/>
        <v>-31.719072756483826</v>
      </c>
      <c r="H63">
        <f t="shared" si="0"/>
        <v>-3</v>
      </c>
      <c r="I63" s="2"/>
    </row>
    <row r="64" spans="1:10" x14ac:dyDescent="0.25">
      <c r="A64" s="1">
        <v>40603</v>
      </c>
      <c r="B64" s="3">
        <v>185</v>
      </c>
      <c r="C64" s="3">
        <f t="shared" si="1"/>
        <v>2157</v>
      </c>
      <c r="D64" s="4">
        <f t="shared" si="2"/>
        <v>179.75</v>
      </c>
      <c r="E64" s="4">
        <f t="shared" si="3"/>
        <v>-31.240915002677689</v>
      </c>
      <c r="H64">
        <f t="shared" si="0"/>
        <v>0</v>
      </c>
      <c r="I64" s="2"/>
    </row>
    <row r="65" spans="1:10" x14ac:dyDescent="0.25">
      <c r="A65" s="1">
        <v>40634</v>
      </c>
      <c r="B65" s="3">
        <v>186</v>
      </c>
      <c r="C65" s="3">
        <f t="shared" si="1"/>
        <v>2173</v>
      </c>
      <c r="D65" s="4">
        <f t="shared" si="2"/>
        <v>181.08333333333334</v>
      </c>
      <c r="E65" s="4">
        <f t="shared" si="3"/>
        <v>-30.73088006528447</v>
      </c>
      <c r="H65">
        <f t="shared" si="0"/>
        <v>1</v>
      </c>
      <c r="I65" s="2"/>
    </row>
    <row r="66" spans="1:10" x14ac:dyDescent="0.25">
      <c r="A66" s="1">
        <v>40664</v>
      </c>
      <c r="B66" s="3">
        <v>187</v>
      </c>
      <c r="C66" s="3">
        <f t="shared" si="1"/>
        <v>2188</v>
      </c>
      <c r="D66" s="4">
        <f t="shared" si="2"/>
        <v>182.33333333333334</v>
      </c>
      <c r="E66" s="4">
        <f t="shared" si="3"/>
        <v>-30.252722311478337</v>
      </c>
      <c r="H66">
        <f t="shared" si="0"/>
        <v>1</v>
      </c>
      <c r="I66" s="2"/>
    </row>
    <row r="67" spans="1:10" x14ac:dyDescent="0.25">
      <c r="A67" s="17">
        <v>40695</v>
      </c>
      <c r="B67" s="3">
        <v>189</v>
      </c>
      <c r="C67" s="3">
        <f t="shared" si="1"/>
        <v>2203</v>
      </c>
      <c r="D67" s="4">
        <f t="shared" si="2"/>
        <v>183.58333333333334</v>
      </c>
      <c r="E67" s="4">
        <f t="shared" si="3"/>
        <v>-29.7745645576722</v>
      </c>
      <c r="H67">
        <f t="shared" si="0"/>
        <v>2</v>
      </c>
      <c r="I67" s="2">
        <f>E67-ROUNDDOWN(E61,0)</f>
        <v>2.2254354423278002</v>
      </c>
      <c r="J67" s="2">
        <f>ROUNDDOWN(I67,0)</f>
        <v>2</v>
      </c>
    </row>
    <row r="68" spans="1:10" x14ac:dyDescent="0.25">
      <c r="A68" s="49">
        <v>40725</v>
      </c>
      <c r="B68" s="3">
        <v>193</v>
      </c>
      <c r="C68" s="3">
        <f t="shared" si="1"/>
        <v>2218</v>
      </c>
      <c r="D68" s="4">
        <f t="shared" si="2"/>
        <v>184.83333333333334</v>
      </c>
      <c r="E68" s="4">
        <f t="shared" si="3"/>
        <v>-29.296406803866066</v>
      </c>
      <c r="H68">
        <f t="shared" si="0"/>
        <v>4</v>
      </c>
      <c r="I68" s="2"/>
      <c r="J68" s="2"/>
    </row>
    <row r="69" spans="1:10" x14ac:dyDescent="0.25">
      <c r="A69" s="1">
        <v>40756</v>
      </c>
      <c r="B69" s="3">
        <v>194</v>
      </c>
      <c r="C69" s="3">
        <f t="shared" si="1"/>
        <v>2234</v>
      </c>
      <c r="D69" s="4">
        <f t="shared" si="2"/>
        <v>186.16666666666666</v>
      </c>
      <c r="E69" s="4">
        <f t="shared" si="3"/>
        <v>-28.786371866472859</v>
      </c>
      <c r="H69">
        <f t="shared" si="0"/>
        <v>1</v>
      </c>
      <c r="I69" s="2"/>
    </row>
    <row r="70" spans="1:10" x14ac:dyDescent="0.25">
      <c r="A70" s="1">
        <v>40787</v>
      </c>
      <c r="B70" s="3">
        <v>197</v>
      </c>
      <c r="C70" s="3">
        <f t="shared" si="1"/>
        <v>2252</v>
      </c>
      <c r="D70" s="4">
        <f t="shared" si="2"/>
        <v>187.66666666666666</v>
      </c>
      <c r="E70" s="4">
        <f t="shared" si="3"/>
        <v>-28.212582561905496</v>
      </c>
      <c r="H70">
        <f t="shared" si="0"/>
        <v>3</v>
      </c>
      <c r="I70" s="2"/>
    </row>
    <row r="71" spans="1:10" x14ac:dyDescent="0.25">
      <c r="A71" s="1">
        <v>40817</v>
      </c>
      <c r="B71" s="3">
        <v>198</v>
      </c>
      <c r="C71" s="3">
        <f t="shared" si="1"/>
        <v>2269</v>
      </c>
      <c r="D71" s="4">
        <f t="shared" si="2"/>
        <v>189.08333333333334</v>
      </c>
      <c r="E71" s="4">
        <f t="shared" si="3"/>
        <v>-27.670670440925203</v>
      </c>
      <c r="H71">
        <f t="shared" si="0"/>
        <v>1</v>
      </c>
      <c r="I71" s="2"/>
    </row>
    <row r="72" spans="1:10" x14ac:dyDescent="0.25">
      <c r="A72" s="1">
        <v>40848</v>
      </c>
      <c r="B72" s="3">
        <v>199</v>
      </c>
      <c r="C72" s="3">
        <f t="shared" si="1"/>
        <v>2286</v>
      </c>
      <c r="D72" s="4">
        <f t="shared" si="2"/>
        <v>190.5</v>
      </c>
      <c r="E72" s="4">
        <f t="shared" si="3"/>
        <v>-27.128758319944922</v>
      </c>
      <c r="H72">
        <f t="shared" ref="H72:H135" si="4">B72-B71</f>
        <v>1</v>
      </c>
      <c r="I72" s="2"/>
    </row>
    <row r="73" spans="1:10" x14ac:dyDescent="0.25">
      <c r="A73" s="17">
        <v>40878</v>
      </c>
      <c r="B73" s="3">
        <v>197</v>
      </c>
      <c r="C73" s="3">
        <f t="shared" si="1"/>
        <v>2298</v>
      </c>
      <c r="D73" s="4">
        <f t="shared" si="2"/>
        <v>191.5</v>
      </c>
      <c r="E73" s="4">
        <f t="shared" si="3"/>
        <v>-26.746232116900011</v>
      </c>
      <c r="H73">
        <f t="shared" si="4"/>
        <v>-2</v>
      </c>
      <c r="I73" s="2">
        <f>E73-ROUNDDOWN(E67,0)</f>
        <v>2.2537678830999894</v>
      </c>
      <c r="J73" s="2">
        <f>ROUNDDOWN(I73,0)</f>
        <v>2</v>
      </c>
    </row>
    <row r="74" spans="1:10" x14ac:dyDescent="0.25">
      <c r="A74" s="49">
        <v>40909</v>
      </c>
      <c r="B74" s="3">
        <v>198</v>
      </c>
      <c r="C74" s="3">
        <f t="shared" si="1"/>
        <v>2308</v>
      </c>
      <c r="D74" s="4">
        <f t="shared" si="2"/>
        <v>192.33333333333334</v>
      </c>
      <c r="E74" s="4">
        <f t="shared" si="3"/>
        <v>-26.427460281029251</v>
      </c>
      <c r="H74">
        <f t="shared" si="4"/>
        <v>1</v>
      </c>
      <c r="I74" s="2"/>
      <c r="J74" s="2"/>
    </row>
    <row r="75" spans="1:10" x14ac:dyDescent="0.25">
      <c r="A75" s="1">
        <v>40940</v>
      </c>
      <c r="B75" s="3">
        <v>199</v>
      </c>
      <c r="C75" s="3">
        <f t="shared" si="1"/>
        <v>2322</v>
      </c>
      <c r="D75" s="4">
        <f t="shared" si="2"/>
        <v>193.5</v>
      </c>
      <c r="E75" s="4">
        <f t="shared" si="3"/>
        <v>-25.981179710810192</v>
      </c>
      <c r="H75">
        <f t="shared" si="4"/>
        <v>1</v>
      </c>
      <c r="I75" s="2"/>
    </row>
    <row r="76" spans="1:10" x14ac:dyDescent="0.25">
      <c r="A76" s="1">
        <v>40969</v>
      </c>
      <c r="B76" s="3">
        <v>201</v>
      </c>
      <c r="C76" s="3">
        <f t="shared" si="1"/>
        <v>2338</v>
      </c>
      <c r="D76" s="4">
        <f t="shared" si="2"/>
        <v>194.83333333333334</v>
      </c>
      <c r="E76" s="4">
        <f t="shared" si="3"/>
        <v>-25.471144773416981</v>
      </c>
      <c r="H76">
        <f t="shared" si="4"/>
        <v>2</v>
      </c>
      <c r="I76" s="2"/>
    </row>
    <row r="77" spans="1:10" x14ac:dyDescent="0.25">
      <c r="A77" s="1">
        <v>41000</v>
      </c>
      <c r="B77" s="3">
        <v>205</v>
      </c>
      <c r="C77" s="3">
        <f t="shared" si="1"/>
        <v>2357</v>
      </c>
      <c r="D77" s="4">
        <f t="shared" si="2"/>
        <v>196.41666666666666</v>
      </c>
      <c r="E77" s="4">
        <f t="shared" si="3"/>
        <v>-24.865478285262547</v>
      </c>
      <c r="H77">
        <f t="shared" si="4"/>
        <v>4</v>
      </c>
      <c r="I77" s="2"/>
    </row>
    <row r="78" spans="1:10" x14ac:dyDescent="0.25">
      <c r="A78" s="1">
        <v>41030</v>
      </c>
      <c r="B78" s="3">
        <v>206</v>
      </c>
      <c r="C78" s="3">
        <f t="shared" si="1"/>
        <v>2376</v>
      </c>
      <c r="D78" s="4">
        <f t="shared" si="2"/>
        <v>198</v>
      </c>
      <c r="E78" s="4">
        <f t="shared" si="3"/>
        <v>-24.259811797108107</v>
      </c>
      <c r="H78">
        <f t="shared" si="4"/>
        <v>1</v>
      </c>
      <c r="I78" s="2"/>
    </row>
    <row r="79" spans="1:10" x14ac:dyDescent="0.25">
      <c r="A79" s="17">
        <v>41061</v>
      </c>
      <c r="B79" s="3">
        <v>208</v>
      </c>
      <c r="C79" s="3">
        <f t="shared" si="1"/>
        <v>2395</v>
      </c>
      <c r="D79" s="4">
        <f t="shared" si="2"/>
        <v>199.58333333333334</v>
      </c>
      <c r="E79" s="4">
        <f t="shared" si="3"/>
        <v>-23.654145308953662</v>
      </c>
      <c r="H79">
        <f t="shared" si="4"/>
        <v>2</v>
      </c>
      <c r="I79" s="2">
        <f>E79-ROUNDDOWN(E73,0)</f>
        <v>2.3458546910463376</v>
      </c>
      <c r="J79" s="2">
        <f>ROUNDDOWN(I79,0)</f>
        <v>2</v>
      </c>
    </row>
    <row r="80" spans="1:10" x14ac:dyDescent="0.25">
      <c r="A80" s="49">
        <v>41091</v>
      </c>
      <c r="B80" s="3">
        <v>212</v>
      </c>
      <c r="C80" s="3">
        <f t="shared" ref="C80:C143" si="5">SUM(B69:B80)</f>
        <v>2414</v>
      </c>
      <c r="D80" s="4">
        <f t="shared" ref="D80:D143" si="6">C80/12</f>
        <v>201.16666666666666</v>
      </c>
      <c r="E80" s="4">
        <f t="shared" ref="E80:E143" si="7">((D80-261.42)/261.42)*100</f>
        <v>-23.048478820799232</v>
      </c>
      <c r="H80">
        <f t="shared" si="4"/>
        <v>4</v>
      </c>
      <c r="I80" s="2"/>
      <c r="J80" s="2"/>
    </row>
    <row r="81" spans="1:10" x14ac:dyDescent="0.25">
      <c r="A81" s="1">
        <v>41122</v>
      </c>
      <c r="B81" s="3">
        <v>214</v>
      </c>
      <c r="C81" s="3">
        <f t="shared" si="5"/>
        <v>2434</v>
      </c>
      <c r="D81" s="4">
        <f t="shared" si="6"/>
        <v>202.83333333333334</v>
      </c>
      <c r="E81" s="4">
        <f t="shared" si="7"/>
        <v>-22.41093514905771</v>
      </c>
      <c r="H81">
        <f t="shared" si="4"/>
        <v>2</v>
      </c>
      <c r="I81" s="2"/>
    </row>
    <row r="82" spans="1:10" x14ac:dyDescent="0.25">
      <c r="A82" s="1">
        <v>41153</v>
      </c>
      <c r="B82" s="3">
        <v>215</v>
      </c>
      <c r="C82" s="3">
        <f t="shared" si="5"/>
        <v>2452</v>
      </c>
      <c r="D82" s="4">
        <f t="shared" si="6"/>
        <v>204.33333333333334</v>
      </c>
      <c r="E82" s="4">
        <f t="shared" si="7"/>
        <v>-21.837145844490351</v>
      </c>
      <c r="H82">
        <f t="shared" si="4"/>
        <v>1</v>
      </c>
      <c r="I82" s="2"/>
    </row>
    <row r="83" spans="1:10" x14ac:dyDescent="0.25">
      <c r="A83" s="1">
        <v>41183</v>
      </c>
      <c r="B83" s="3">
        <v>217</v>
      </c>
      <c r="C83" s="3">
        <f t="shared" si="5"/>
        <v>2471</v>
      </c>
      <c r="D83" s="4">
        <f t="shared" si="6"/>
        <v>205.91666666666666</v>
      </c>
      <c r="E83" s="4">
        <f t="shared" si="7"/>
        <v>-21.231479356335917</v>
      </c>
      <c r="H83">
        <f t="shared" si="4"/>
        <v>2</v>
      </c>
      <c r="I83" s="2"/>
    </row>
    <row r="84" spans="1:10" x14ac:dyDescent="0.25">
      <c r="A84" s="1">
        <v>41214</v>
      </c>
      <c r="B84" s="3">
        <v>218</v>
      </c>
      <c r="C84" s="3">
        <f t="shared" si="5"/>
        <v>2490</v>
      </c>
      <c r="D84" s="4">
        <f t="shared" si="6"/>
        <v>207.5</v>
      </c>
      <c r="E84" s="4">
        <f t="shared" si="7"/>
        <v>-20.625812868181477</v>
      </c>
      <c r="H84">
        <f t="shared" si="4"/>
        <v>1</v>
      </c>
      <c r="I84" s="2"/>
    </row>
    <row r="85" spans="1:10" x14ac:dyDescent="0.25">
      <c r="A85" s="17">
        <v>41244</v>
      </c>
      <c r="B85" s="3">
        <v>219</v>
      </c>
      <c r="C85" s="3">
        <f t="shared" si="5"/>
        <v>2512</v>
      </c>
      <c r="D85" s="4">
        <f t="shared" si="6"/>
        <v>209.33333333333334</v>
      </c>
      <c r="E85" s="4">
        <f t="shared" si="7"/>
        <v>-19.924514829265803</v>
      </c>
      <c r="H85">
        <f t="shared" si="4"/>
        <v>1</v>
      </c>
      <c r="I85" s="2">
        <f>E85-ROUNDDOWN(E79,0)</f>
        <v>3.075485170734197</v>
      </c>
      <c r="J85" s="2">
        <f>ROUNDDOWN(I85,0)</f>
        <v>3</v>
      </c>
    </row>
    <row r="86" spans="1:10" x14ac:dyDescent="0.25">
      <c r="A86" s="49">
        <v>41275</v>
      </c>
      <c r="B86" s="3">
        <v>221</v>
      </c>
      <c r="C86" s="3">
        <f t="shared" si="5"/>
        <v>2535</v>
      </c>
      <c r="D86" s="4">
        <f t="shared" si="6"/>
        <v>211.25</v>
      </c>
      <c r="E86" s="4">
        <f t="shared" si="7"/>
        <v>-19.191339606763069</v>
      </c>
      <c r="H86">
        <f t="shared" si="4"/>
        <v>2</v>
      </c>
      <c r="I86" s="2"/>
      <c r="J86" s="2"/>
    </row>
    <row r="87" spans="1:10" x14ac:dyDescent="0.25">
      <c r="A87" s="1">
        <v>41306</v>
      </c>
      <c r="B87" s="3">
        <v>223</v>
      </c>
      <c r="C87" s="3">
        <f t="shared" si="5"/>
        <v>2559</v>
      </c>
      <c r="D87" s="4">
        <f t="shared" si="6"/>
        <v>213.25</v>
      </c>
      <c r="E87" s="4">
        <f t="shared" si="7"/>
        <v>-18.426287200673251</v>
      </c>
      <c r="H87">
        <f t="shared" si="4"/>
        <v>2</v>
      </c>
      <c r="I87" s="2"/>
    </row>
    <row r="88" spans="1:10" x14ac:dyDescent="0.25">
      <c r="A88" s="1">
        <v>41334</v>
      </c>
      <c r="B88" s="3">
        <v>224</v>
      </c>
      <c r="C88" s="3">
        <f t="shared" si="5"/>
        <v>2582</v>
      </c>
      <c r="D88" s="4">
        <f t="shared" si="6"/>
        <v>215.16666666666666</v>
      </c>
      <c r="E88" s="4">
        <f t="shared" si="7"/>
        <v>-17.693111978170514</v>
      </c>
      <c r="H88">
        <f t="shared" si="4"/>
        <v>1</v>
      </c>
      <c r="I88" s="2"/>
    </row>
    <row r="89" spans="1:10" x14ac:dyDescent="0.25">
      <c r="A89" s="1">
        <v>41365</v>
      </c>
      <c r="B89" s="3">
        <v>226</v>
      </c>
      <c r="C89" s="3">
        <f t="shared" si="5"/>
        <v>2603</v>
      </c>
      <c r="D89" s="4">
        <f t="shared" si="6"/>
        <v>216.91666666666666</v>
      </c>
      <c r="E89" s="4">
        <f t="shared" si="7"/>
        <v>-17.023691122841925</v>
      </c>
      <c r="H89">
        <f t="shared" si="4"/>
        <v>2</v>
      </c>
      <c r="I89" s="2"/>
    </row>
    <row r="90" spans="1:10" x14ac:dyDescent="0.25">
      <c r="A90" s="1">
        <v>41395</v>
      </c>
      <c r="B90" s="3">
        <v>228</v>
      </c>
      <c r="C90" s="3">
        <f t="shared" si="5"/>
        <v>2625</v>
      </c>
      <c r="D90" s="4">
        <f t="shared" si="6"/>
        <v>218.75</v>
      </c>
      <c r="E90" s="4">
        <f t="shared" si="7"/>
        <v>-16.322393083926254</v>
      </c>
      <c r="H90">
        <f t="shared" si="4"/>
        <v>2</v>
      </c>
      <c r="I90" s="2"/>
    </row>
    <row r="91" spans="1:10" x14ac:dyDescent="0.25">
      <c r="A91" s="17">
        <v>41426</v>
      </c>
      <c r="B91" s="3">
        <v>231</v>
      </c>
      <c r="C91" s="3">
        <f t="shared" si="5"/>
        <v>2648</v>
      </c>
      <c r="D91" s="4">
        <f t="shared" si="6"/>
        <v>220.66666666666666</v>
      </c>
      <c r="E91" s="4">
        <f t="shared" si="7"/>
        <v>-15.589217861423515</v>
      </c>
      <c r="H91">
        <f t="shared" si="4"/>
        <v>3</v>
      </c>
      <c r="I91" s="2">
        <f>E91-ROUNDDOWN(E85,0)</f>
        <v>3.4107821385764847</v>
      </c>
      <c r="J91" s="2">
        <f>ROUNDDOWN(I91,0)</f>
        <v>3</v>
      </c>
    </row>
    <row r="92" spans="1:10" x14ac:dyDescent="0.25">
      <c r="A92" s="49">
        <v>41456</v>
      </c>
      <c r="B92" s="3">
        <v>235</v>
      </c>
      <c r="C92" s="3">
        <f t="shared" si="5"/>
        <v>2671</v>
      </c>
      <c r="D92" s="4">
        <f t="shared" si="6"/>
        <v>222.58333333333334</v>
      </c>
      <c r="E92" s="4">
        <f t="shared" si="7"/>
        <v>-14.856042638920769</v>
      </c>
      <c r="H92">
        <f t="shared" si="4"/>
        <v>4</v>
      </c>
      <c r="I92" s="2"/>
      <c r="J92" s="2"/>
    </row>
    <row r="93" spans="1:10" x14ac:dyDescent="0.25">
      <c r="A93" s="1">
        <v>41487</v>
      </c>
      <c r="B93" s="3">
        <v>237</v>
      </c>
      <c r="C93" s="3">
        <f t="shared" si="5"/>
        <v>2694</v>
      </c>
      <c r="D93" s="4">
        <f t="shared" si="6"/>
        <v>224.5</v>
      </c>
      <c r="E93" s="4">
        <f t="shared" si="7"/>
        <v>-14.12286741641803</v>
      </c>
      <c r="H93">
        <f t="shared" si="4"/>
        <v>2</v>
      </c>
      <c r="I93" s="2"/>
    </row>
    <row r="94" spans="1:10" x14ac:dyDescent="0.25">
      <c r="A94" s="1">
        <v>41518</v>
      </c>
      <c r="B94" s="3">
        <v>238</v>
      </c>
      <c r="C94" s="3">
        <f t="shared" si="5"/>
        <v>2717</v>
      </c>
      <c r="D94" s="4">
        <f t="shared" si="6"/>
        <v>226.41666666666666</v>
      </c>
      <c r="E94" s="4">
        <f t="shared" si="7"/>
        <v>-13.389692193915293</v>
      </c>
      <c r="H94">
        <f t="shared" si="4"/>
        <v>1</v>
      </c>
      <c r="I94" s="2"/>
    </row>
    <row r="95" spans="1:10" x14ac:dyDescent="0.25">
      <c r="A95" s="1">
        <v>41548</v>
      </c>
      <c r="B95" s="3">
        <v>241</v>
      </c>
      <c r="C95" s="3">
        <f t="shared" si="5"/>
        <v>2741</v>
      </c>
      <c r="D95" s="4">
        <f t="shared" si="6"/>
        <v>228.41666666666666</v>
      </c>
      <c r="E95" s="4">
        <f t="shared" si="7"/>
        <v>-12.624639787825476</v>
      </c>
      <c r="H95">
        <f t="shared" si="4"/>
        <v>3</v>
      </c>
      <c r="I95" s="2"/>
    </row>
    <row r="96" spans="1:10" x14ac:dyDescent="0.25">
      <c r="A96" s="1">
        <v>41579</v>
      </c>
      <c r="B96" s="3">
        <v>243</v>
      </c>
      <c r="C96" s="3">
        <f t="shared" si="5"/>
        <v>2766</v>
      </c>
      <c r="D96" s="4">
        <f t="shared" si="6"/>
        <v>230.5</v>
      </c>
      <c r="E96" s="4">
        <f t="shared" si="7"/>
        <v>-11.82771019814858</v>
      </c>
      <c r="H96">
        <f t="shared" si="4"/>
        <v>2</v>
      </c>
      <c r="I96" s="2"/>
    </row>
    <row r="97" spans="1:10" x14ac:dyDescent="0.25">
      <c r="A97" s="17">
        <v>41609</v>
      </c>
      <c r="B97" s="3">
        <v>239</v>
      </c>
      <c r="C97" s="3">
        <f t="shared" si="5"/>
        <v>2786</v>
      </c>
      <c r="D97" s="4">
        <f t="shared" si="6"/>
        <v>232.16666666666666</v>
      </c>
      <c r="E97" s="4">
        <f t="shared" si="7"/>
        <v>-11.190166526407069</v>
      </c>
      <c r="H97">
        <f t="shared" si="4"/>
        <v>-4</v>
      </c>
      <c r="I97" s="2">
        <f>E97-ROUNDDOWN(E91,0)</f>
        <v>3.8098334735929313</v>
      </c>
      <c r="J97" s="2">
        <f>ROUNDDOWN(I97,0)</f>
        <v>3</v>
      </c>
    </row>
    <row r="98" spans="1:10" x14ac:dyDescent="0.25">
      <c r="A98" s="49">
        <v>41640</v>
      </c>
      <c r="B98" s="3">
        <v>237</v>
      </c>
      <c r="C98" s="3">
        <f t="shared" si="5"/>
        <v>2802</v>
      </c>
      <c r="D98" s="4">
        <f t="shared" si="6"/>
        <v>233.5</v>
      </c>
      <c r="E98" s="4">
        <f t="shared" si="7"/>
        <v>-10.680131589013852</v>
      </c>
      <c r="H98">
        <f t="shared" si="4"/>
        <v>-2</v>
      </c>
      <c r="I98" s="2"/>
      <c r="J98" s="2"/>
    </row>
    <row r="99" spans="1:10" x14ac:dyDescent="0.25">
      <c r="A99" s="1">
        <v>41671</v>
      </c>
      <c r="B99" s="3">
        <v>238</v>
      </c>
      <c r="C99" s="3">
        <f t="shared" si="5"/>
        <v>2817</v>
      </c>
      <c r="D99" s="4">
        <f t="shared" si="6"/>
        <v>234.75</v>
      </c>
      <c r="E99" s="4">
        <f t="shared" si="7"/>
        <v>-10.201973835207717</v>
      </c>
      <c r="H99">
        <f t="shared" si="4"/>
        <v>1</v>
      </c>
      <c r="I99" s="2"/>
    </row>
    <row r="100" spans="1:10" x14ac:dyDescent="0.25">
      <c r="A100" s="1">
        <v>41699</v>
      </c>
      <c r="B100" s="3">
        <v>239</v>
      </c>
      <c r="C100" s="3">
        <f t="shared" si="5"/>
        <v>2832</v>
      </c>
      <c r="D100" s="4">
        <f t="shared" si="6"/>
        <v>236</v>
      </c>
      <c r="E100" s="4">
        <f t="shared" si="7"/>
        <v>-9.7238160814015817</v>
      </c>
      <c r="H100">
        <f t="shared" si="4"/>
        <v>1</v>
      </c>
      <c r="I100" s="2"/>
    </row>
    <row r="101" spans="1:10" x14ac:dyDescent="0.25">
      <c r="A101" s="1">
        <v>41730</v>
      </c>
      <c r="B101" s="3">
        <v>242</v>
      </c>
      <c r="C101" s="3">
        <f t="shared" si="5"/>
        <v>2848</v>
      </c>
      <c r="D101" s="4">
        <f t="shared" si="6"/>
        <v>237.33333333333334</v>
      </c>
      <c r="E101" s="4">
        <f t="shared" si="7"/>
        <v>-9.213781144008367</v>
      </c>
      <c r="H101">
        <f t="shared" si="4"/>
        <v>3</v>
      </c>
      <c r="I101" s="2"/>
    </row>
    <row r="102" spans="1:10" x14ac:dyDescent="0.25">
      <c r="A102" s="1">
        <v>41760</v>
      </c>
      <c r="B102" s="3">
        <v>244</v>
      </c>
      <c r="C102" s="3">
        <f t="shared" si="5"/>
        <v>2864</v>
      </c>
      <c r="D102" s="4">
        <f t="shared" si="6"/>
        <v>238.66666666666666</v>
      </c>
      <c r="E102" s="4">
        <f t="shared" si="7"/>
        <v>-8.703746206615163</v>
      </c>
      <c r="H102">
        <f t="shared" si="4"/>
        <v>2</v>
      </c>
      <c r="I102" s="2"/>
    </row>
    <row r="103" spans="1:10" x14ac:dyDescent="0.25">
      <c r="A103" s="17">
        <v>41791</v>
      </c>
      <c r="B103" s="3">
        <v>246</v>
      </c>
      <c r="C103" s="3">
        <f t="shared" si="5"/>
        <v>2879</v>
      </c>
      <c r="D103" s="4">
        <f t="shared" si="6"/>
        <v>239.91666666666666</v>
      </c>
      <c r="E103" s="4">
        <f t="shared" si="7"/>
        <v>-8.225588452809026</v>
      </c>
      <c r="H103">
        <f t="shared" si="4"/>
        <v>2</v>
      </c>
      <c r="I103" s="2">
        <f>E103-ROUNDDOWN(E97,0)</f>
        <v>2.774411547190974</v>
      </c>
      <c r="J103" s="2">
        <f>ROUNDDOWN(I103,0)</f>
        <v>2</v>
      </c>
    </row>
    <row r="104" spans="1:10" x14ac:dyDescent="0.25">
      <c r="A104" s="49">
        <v>41821</v>
      </c>
      <c r="B104" s="3">
        <v>252</v>
      </c>
      <c r="C104" s="3">
        <f t="shared" si="5"/>
        <v>2896</v>
      </c>
      <c r="D104" s="4">
        <f t="shared" si="6"/>
        <v>241.33333333333334</v>
      </c>
      <c r="E104" s="4">
        <f t="shared" si="7"/>
        <v>-7.6836763318287327</v>
      </c>
      <c r="H104">
        <f t="shared" si="4"/>
        <v>6</v>
      </c>
      <c r="I104" s="2"/>
      <c r="J104" s="2"/>
    </row>
    <row r="105" spans="1:10" x14ac:dyDescent="0.25">
      <c r="A105" s="1">
        <v>41852</v>
      </c>
      <c r="B105" s="3">
        <v>253</v>
      </c>
      <c r="C105" s="3">
        <f t="shared" si="5"/>
        <v>2912</v>
      </c>
      <c r="D105" s="4">
        <f t="shared" si="6"/>
        <v>242.66666666666666</v>
      </c>
      <c r="E105" s="4">
        <f t="shared" si="7"/>
        <v>-7.1736413944355286</v>
      </c>
      <c r="H105">
        <f t="shared" si="4"/>
        <v>1</v>
      </c>
      <c r="I105" s="2"/>
    </row>
    <row r="106" spans="1:10" x14ac:dyDescent="0.25">
      <c r="A106" s="1">
        <v>41883</v>
      </c>
      <c r="B106" s="3">
        <v>253</v>
      </c>
      <c r="C106" s="3">
        <f t="shared" si="5"/>
        <v>2927</v>
      </c>
      <c r="D106" s="4">
        <f t="shared" si="6"/>
        <v>243.91666666666666</v>
      </c>
      <c r="E106" s="4">
        <f t="shared" si="7"/>
        <v>-6.6954836406293916</v>
      </c>
      <c r="H106">
        <f t="shared" si="4"/>
        <v>0</v>
      </c>
      <c r="I106" s="2"/>
    </row>
    <row r="107" spans="1:10" x14ac:dyDescent="0.25">
      <c r="A107" s="1">
        <v>41913</v>
      </c>
      <c r="B107" s="3">
        <v>253</v>
      </c>
      <c r="C107" s="3">
        <f t="shared" si="5"/>
        <v>2939</v>
      </c>
      <c r="D107" s="4">
        <f t="shared" si="6"/>
        <v>244.91666666666666</v>
      </c>
      <c r="E107" s="4">
        <f t="shared" si="7"/>
        <v>-6.3129574375844832</v>
      </c>
      <c r="H107">
        <f t="shared" si="4"/>
        <v>0</v>
      </c>
      <c r="I107" s="2"/>
    </row>
    <row r="108" spans="1:10" x14ac:dyDescent="0.25">
      <c r="A108" s="1">
        <v>41944</v>
      </c>
      <c r="B108" s="3">
        <v>253</v>
      </c>
      <c r="C108" s="3">
        <f t="shared" si="5"/>
        <v>2949</v>
      </c>
      <c r="D108" s="4">
        <f t="shared" si="6"/>
        <v>245.75</v>
      </c>
      <c r="E108" s="4">
        <f t="shared" si="7"/>
        <v>-5.9941856017137232</v>
      </c>
      <c r="H108">
        <f t="shared" si="4"/>
        <v>0</v>
      </c>
      <c r="I108" s="2"/>
    </row>
    <row r="109" spans="1:10" x14ac:dyDescent="0.25">
      <c r="A109" s="17">
        <v>41974</v>
      </c>
      <c r="B109" s="3">
        <v>253</v>
      </c>
      <c r="C109" s="3">
        <f t="shared" si="5"/>
        <v>2963</v>
      </c>
      <c r="D109" s="4">
        <f t="shared" si="6"/>
        <v>246.91666666666666</v>
      </c>
      <c r="E109" s="4">
        <f t="shared" si="7"/>
        <v>-5.5479050314946665</v>
      </c>
      <c r="H109">
        <f t="shared" si="4"/>
        <v>0</v>
      </c>
      <c r="I109" s="2">
        <f>E109-ROUNDDOWN(E103,0)</f>
        <v>2.4520949685053335</v>
      </c>
      <c r="J109" s="2">
        <f>ROUNDDOWN(I109,0)</f>
        <v>2</v>
      </c>
    </row>
    <row r="110" spans="1:10" x14ac:dyDescent="0.25">
      <c r="A110" s="49">
        <v>42005</v>
      </c>
      <c r="B110" s="3">
        <v>254</v>
      </c>
      <c r="C110" s="3">
        <f t="shared" si="5"/>
        <v>2980</v>
      </c>
      <c r="D110" s="4">
        <f t="shared" si="6"/>
        <v>248.33333333333334</v>
      </c>
      <c r="E110" s="4">
        <f t="shared" si="7"/>
        <v>-5.0059929105143723</v>
      </c>
      <c r="H110">
        <f t="shared" si="4"/>
        <v>1</v>
      </c>
      <c r="I110" s="2"/>
      <c r="J110" s="2"/>
    </row>
    <row r="111" spans="1:10" x14ac:dyDescent="0.25">
      <c r="A111" s="1">
        <v>42036</v>
      </c>
      <c r="B111" s="3">
        <v>253</v>
      </c>
      <c r="C111" s="3">
        <f t="shared" si="5"/>
        <v>2995</v>
      </c>
      <c r="D111" s="4">
        <f t="shared" si="6"/>
        <v>249.58333333333334</v>
      </c>
      <c r="E111" s="4">
        <f t="shared" si="7"/>
        <v>-4.5278351567082371</v>
      </c>
      <c r="H111">
        <f t="shared" si="4"/>
        <v>-1</v>
      </c>
      <c r="I111" s="2"/>
    </row>
    <row r="112" spans="1:10" x14ac:dyDescent="0.25">
      <c r="A112" s="1">
        <v>42064</v>
      </c>
      <c r="B112" s="3">
        <v>254</v>
      </c>
      <c r="C112" s="3">
        <f t="shared" si="5"/>
        <v>3010</v>
      </c>
      <c r="D112" s="4">
        <f t="shared" si="6"/>
        <v>250.83333333333334</v>
      </c>
      <c r="E112" s="4">
        <f t="shared" si="7"/>
        <v>-4.049677402902101</v>
      </c>
      <c r="H112">
        <f t="shared" si="4"/>
        <v>1</v>
      </c>
      <c r="I112" s="2"/>
    </row>
    <row r="113" spans="1:10" x14ac:dyDescent="0.25">
      <c r="A113" s="1">
        <v>42095</v>
      </c>
      <c r="B113" s="3">
        <v>256</v>
      </c>
      <c r="C113" s="3">
        <f t="shared" si="5"/>
        <v>3024</v>
      </c>
      <c r="D113" s="4">
        <f t="shared" si="6"/>
        <v>252</v>
      </c>
      <c r="E113" s="4">
        <f t="shared" si="7"/>
        <v>-3.6033968326830443</v>
      </c>
      <c r="H113">
        <f t="shared" si="4"/>
        <v>2</v>
      </c>
      <c r="I113" s="2"/>
    </row>
    <row r="114" spans="1:10" x14ac:dyDescent="0.25">
      <c r="A114" s="1">
        <v>42125</v>
      </c>
      <c r="B114" s="3">
        <v>258</v>
      </c>
      <c r="C114" s="3">
        <f t="shared" si="5"/>
        <v>3038</v>
      </c>
      <c r="D114" s="4">
        <f t="shared" si="6"/>
        <v>253.16666666666666</v>
      </c>
      <c r="E114" s="4">
        <f t="shared" si="7"/>
        <v>-3.1571162624639881</v>
      </c>
      <c r="H114">
        <f t="shared" si="4"/>
        <v>2</v>
      </c>
      <c r="I114" s="2"/>
    </row>
    <row r="115" spans="1:10" x14ac:dyDescent="0.25">
      <c r="A115" s="17">
        <v>42156</v>
      </c>
      <c r="B115" s="3">
        <v>261</v>
      </c>
      <c r="C115" s="3">
        <f t="shared" si="5"/>
        <v>3053</v>
      </c>
      <c r="D115" s="4">
        <f t="shared" si="6"/>
        <v>254.41666666666666</v>
      </c>
      <c r="E115" s="4">
        <f t="shared" si="7"/>
        <v>-2.6789585086578525</v>
      </c>
      <c r="H115">
        <f t="shared" si="4"/>
        <v>3</v>
      </c>
      <c r="I115" s="2">
        <f>E115-ROUNDDOWN(E109,0)</f>
        <v>2.3210414913421475</v>
      </c>
      <c r="J115" s="2">
        <f>ROUNDDOWN(I115,0)</f>
        <v>2</v>
      </c>
    </row>
    <row r="116" spans="1:10" x14ac:dyDescent="0.25">
      <c r="A116" s="49">
        <v>42186</v>
      </c>
      <c r="B116" s="3">
        <v>263</v>
      </c>
      <c r="C116" s="3">
        <f t="shared" si="5"/>
        <v>3064</v>
      </c>
      <c r="D116" s="4">
        <f t="shared" si="6"/>
        <v>255.33333333333334</v>
      </c>
      <c r="E116" s="4">
        <f t="shared" si="7"/>
        <v>-2.3283094892000125</v>
      </c>
      <c r="H116">
        <f t="shared" si="4"/>
        <v>2</v>
      </c>
      <c r="I116" s="2"/>
      <c r="J116" s="2"/>
    </row>
    <row r="117" spans="1:10" x14ac:dyDescent="0.25">
      <c r="A117" s="1">
        <v>42217</v>
      </c>
      <c r="B117" s="3">
        <v>264</v>
      </c>
      <c r="C117" s="3">
        <f t="shared" si="5"/>
        <v>3075</v>
      </c>
      <c r="D117" s="4">
        <f t="shared" si="6"/>
        <v>256.25</v>
      </c>
      <c r="E117" s="4">
        <f t="shared" si="7"/>
        <v>-1.9776604697421831</v>
      </c>
      <c r="H117">
        <f t="shared" si="4"/>
        <v>1</v>
      </c>
      <c r="I117" s="2"/>
    </row>
    <row r="118" spans="1:10" x14ac:dyDescent="0.25">
      <c r="A118" s="1">
        <v>42248</v>
      </c>
      <c r="B118" s="3">
        <v>266</v>
      </c>
      <c r="C118" s="3">
        <f t="shared" si="5"/>
        <v>3088</v>
      </c>
      <c r="D118" s="4">
        <f t="shared" si="6"/>
        <v>257.33333333333331</v>
      </c>
      <c r="E118" s="4">
        <f t="shared" si="7"/>
        <v>-1.5632570831102064</v>
      </c>
      <c r="H118">
        <f t="shared" si="4"/>
        <v>2</v>
      </c>
      <c r="I118" s="2"/>
    </row>
    <row r="119" spans="1:10" x14ac:dyDescent="0.25">
      <c r="A119" s="1">
        <v>42278</v>
      </c>
      <c r="B119" s="3">
        <v>269</v>
      </c>
      <c r="C119" s="3">
        <f t="shared" si="5"/>
        <v>3104</v>
      </c>
      <c r="D119" s="4">
        <f t="shared" si="6"/>
        <v>258.66666666666669</v>
      </c>
      <c r="E119" s="4">
        <f t="shared" si="7"/>
        <v>-1.0532221457169804</v>
      </c>
      <c r="H119">
        <f t="shared" si="4"/>
        <v>3</v>
      </c>
      <c r="I119" s="2"/>
    </row>
    <row r="120" spans="1:10" x14ac:dyDescent="0.25">
      <c r="A120" s="1">
        <v>42309</v>
      </c>
      <c r="B120" s="3">
        <v>270</v>
      </c>
      <c r="C120" s="3">
        <f t="shared" si="5"/>
        <v>3121</v>
      </c>
      <c r="D120" s="4">
        <f t="shared" si="6"/>
        <v>260.08333333333331</v>
      </c>
      <c r="E120" s="4">
        <f t="shared" si="7"/>
        <v>-0.51131002473670784</v>
      </c>
      <c r="H120">
        <f t="shared" si="4"/>
        <v>1</v>
      </c>
      <c r="I120" s="2"/>
    </row>
    <row r="121" spans="1:10" x14ac:dyDescent="0.25">
      <c r="A121" s="17">
        <v>42339</v>
      </c>
      <c r="B121" s="3">
        <v>269</v>
      </c>
      <c r="C121" s="3">
        <f t="shared" si="5"/>
        <v>3137</v>
      </c>
      <c r="D121" s="4">
        <f t="shared" si="6"/>
        <v>261.41666666666669</v>
      </c>
      <c r="E121" s="4">
        <f t="shared" si="7"/>
        <v>-1.2750873434818689E-3</v>
      </c>
      <c r="H121">
        <f t="shared" si="4"/>
        <v>-1</v>
      </c>
      <c r="I121" s="2">
        <f>E121-ROUNDDOWN(E115,0)</f>
        <v>1.9987249126565181</v>
      </c>
      <c r="J121" s="2">
        <f>ROUNDDOWN(I121,0)</f>
        <v>1</v>
      </c>
    </row>
    <row r="122" spans="1:10" x14ac:dyDescent="0.25">
      <c r="A122" s="49">
        <v>42370</v>
      </c>
      <c r="B122" s="3">
        <v>269</v>
      </c>
      <c r="C122" s="3">
        <f t="shared" si="5"/>
        <v>3152</v>
      </c>
      <c r="D122" s="4">
        <f t="shared" si="6"/>
        <v>262.66666666666669</v>
      </c>
      <c r="E122" s="4">
        <f t="shared" si="7"/>
        <v>0.47688266646265381</v>
      </c>
      <c r="H122">
        <f t="shared" si="4"/>
        <v>0</v>
      </c>
      <c r="I122" s="2"/>
      <c r="J122" s="2"/>
    </row>
    <row r="123" spans="1:10" x14ac:dyDescent="0.25">
      <c r="A123" s="1">
        <v>42401</v>
      </c>
      <c r="B123" s="3">
        <v>267</v>
      </c>
      <c r="C123" s="3">
        <f t="shared" si="5"/>
        <v>3166</v>
      </c>
      <c r="D123" s="4">
        <f t="shared" si="6"/>
        <v>263.83333333333331</v>
      </c>
      <c r="E123" s="4">
        <f t="shared" si="7"/>
        <v>0.92316323668169931</v>
      </c>
      <c r="H123">
        <f t="shared" si="4"/>
        <v>-2</v>
      </c>
      <c r="I123" s="2"/>
    </row>
    <row r="124" spans="1:10" x14ac:dyDescent="0.25">
      <c r="A124" s="1">
        <v>42430</v>
      </c>
      <c r="B124" s="3">
        <v>268</v>
      </c>
      <c r="C124" s="3">
        <f t="shared" si="5"/>
        <v>3180</v>
      </c>
      <c r="D124" s="4">
        <f t="shared" si="6"/>
        <v>265</v>
      </c>
      <c r="E124" s="4">
        <f t="shared" si="7"/>
        <v>1.3694438069007666</v>
      </c>
      <c r="H124">
        <f t="shared" si="4"/>
        <v>1</v>
      </c>
      <c r="I124" s="2"/>
    </row>
    <row r="125" spans="1:10" x14ac:dyDescent="0.25">
      <c r="A125" s="1">
        <v>42461</v>
      </c>
      <c r="B125" s="3">
        <v>271</v>
      </c>
      <c r="C125" s="3">
        <f t="shared" si="5"/>
        <v>3195</v>
      </c>
      <c r="D125" s="4">
        <f t="shared" si="6"/>
        <v>266.25</v>
      </c>
      <c r="E125" s="4">
        <f t="shared" si="7"/>
        <v>1.8476015607069023</v>
      </c>
      <c r="H125">
        <f t="shared" si="4"/>
        <v>3</v>
      </c>
      <c r="I125" s="2"/>
    </row>
    <row r="126" spans="1:10" x14ac:dyDescent="0.25">
      <c r="A126" s="1">
        <v>42491</v>
      </c>
      <c r="B126" s="3">
        <v>275</v>
      </c>
      <c r="C126" s="3">
        <f t="shared" si="5"/>
        <v>3212</v>
      </c>
      <c r="D126" s="4">
        <f t="shared" si="6"/>
        <v>267.66666666666669</v>
      </c>
      <c r="E126" s="4">
        <f t="shared" si="7"/>
        <v>2.3895136816871965</v>
      </c>
      <c r="H126">
        <f t="shared" si="4"/>
        <v>4</v>
      </c>
      <c r="I126" s="2"/>
    </row>
    <row r="127" spans="1:10" x14ac:dyDescent="0.25">
      <c r="A127" s="17">
        <v>42522</v>
      </c>
      <c r="B127" s="3">
        <v>277</v>
      </c>
      <c r="C127" s="3">
        <f t="shared" si="5"/>
        <v>3228</v>
      </c>
      <c r="D127" s="4">
        <f t="shared" si="6"/>
        <v>269</v>
      </c>
      <c r="E127" s="4">
        <f t="shared" si="7"/>
        <v>2.899548619080401</v>
      </c>
      <c r="H127">
        <f t="shared" si="4"/>
        <v>2</v>
      </c>
      <c r="I127" s="2">
        <f>E127-ROUNDDOWN(E121,0)</f>
        <v>2.899548619080401</v>
      </c>
      <c r="J127" s="2">
        <f>ROUNDDOWN(I127,0)</f>
        <v>2</v>
      </c>
    </row>
    <row r="128" spans="1:10" x14ac:dyDescent="0.25">
      <c r="A128" s="49">
        <v>42552</v>
      </c>
      <c r="B128" s="3">
        <v>280</v>
      </c>
      <c r="C128" s="3">
        <f t="shared" si="5"/>
        <v>3245</v>
      </c>
      <c r="D128" s="4">
        <f t="shared" si="6"/>
        <v>270.41666666666669</v>
      </c>
      <c r="E128" s="4">
        <f t="shared" si="7"/>
        <v>3.4414607400606951</v>
      </c>
      <c r="H128">
        <f t="shared" si="4"/>
        <v>3</v>
      </c>
      <c r="I128" s="2"/>
      <c r="J128" s="2"/>
    </row>
    <row r="129" spans="1:10" x14ac:dyDescent="0.25">
      <c r="A129" s="1">
        <v>42583</v>
      </c>
      <c r="B129" s="3">
        <v>278</v>
      </c>
      <c r="C129" s="3">
        <f t="shared" si="5"/>
        <v>3259</v>
      </c>
      <c r="D129" s="4">
        <f t="shared" si="6"/>
        <v>271.58333333333331</v>
      </c>
      <c r="E129" s="4">
        <f t="shared" si="7"/>
        <v>3.8877413102797407</v>
      </c>
      <c r="H129">
        <f t="shared" si="4"/>
        <v>-2</v>
      </c>
      <c r="I129" s="2"/>
    </row>
    <row r="130" spans="1:10" x14ac:dyDescent="0.25">
      <c r="A130" s="1">
        <v>42614</v>
      </c>
      <c r="B130" s="3">
        <v>277</v>
      </c>
      <c r="C130" s="3">
        <f t="shared" si="5"/>
        <v>3270</v>
      </c>
      <c r="D130" s="4">
        <f t="shared" si="6"/>
        <v>272.5</v>
      </c>
      <c r="E130" s="4">
        <f t="shared" si="7"/>
        <v>4.2383903297375802</v>
      </c>
      <c r="H130">
        <f t="shared" si="4"/>
        <v>-1</v>
      </c>
      <c r="I130" s="2"/>
    </row>
    <row r="131" spans="1:10" x14ac:dyDescent="0.25">
      <c r="A131" s="1">
        <v>42644</v>
      </c>
      <c r="B131" s="3">
        <v>278</v>
      </c>
      <c r="C131" s="3">
        <f t="shared" si="5"/>
        <v>3279</v>
      </c>
      <c r="D131" s="4">
        <f t="shared" si="6"/>
        <v>273.25</v>
      </c>
      <c r="E131" s="4">
        <f t="shared" si="7"/>
        <v>4.5252849820212617</v>
      </c>
      <c r="H131">
        <f t="shared" si="4"/>
        <v>1</v>
      </c>
      <c r="I131" s="2"/>
    </row>
    <row r="132" spans="1:10" x14ac:dyDescent="0.25">
      <c r="A132" s="1">
        <v>42675</v>
      </c>
      <c r="B132" s="3">
        <v>277</v>
      </c>
      <c r="C132" s="3">
        <f t="shared" si="5"/>
        <v>3286</v>
      </c>
      <c r="D132" s="4">
        <f t="shared" si="6"/>
        <v>273.83333333333331</v>
      </c>
      <c r="E132" s="4">
        <f t="shared" si="7"/>
        <v>4.7484252671307843</v>
      </c>
      <c r="H132">
        <f t="shared" si="4"/>
        <v>-1</v>
      </c>
      <c r="I132" s="2"/>
    </row>
    <row r="133" spans="1:10" x14ac:dyDescent="0.25">
      <c r="A133" s="17">
        <v>42705</v>
      </c>
      <c r="B133" s="3">
        <v>275</v>
      </c>
      <c r="C133" s="3">
        <f t="shared" si="5"/>
        <v>3292</v>
      </c>
      <c r="D133" s="4">
        <f t="shared" si="6"/>
        <v>274.33333333333331</v>
      </c>
      <c r="E133" s="4">
        <f t="shared" si="7"/>
        <v>4.9396883686532389</v>
      </c>
      <c r="H133">
        <f t="shared" si="4"/>
        <v>-2</v>
      </c>
      <c r="I133" s="2">
        <f>E133-ROUNDDOWN(E127,0)</f>
        <v>2.9396883686532389</v>
      </c>
      <c r="J133" s="2">
        <f>ROUNDDOWN(I133,0)</f>
        <v>2</v>
      </c>
    </row>
    <row r="134" spans="1:10" x14ac:dyDescent="0.25">
      <c r="A134" s="49">
        <v>42736</v>
      </c>
      <c r="B134" s="3">
        <v>274</v>
      </c>
      <c r="C134" s="3">
        <f t="shared" si="5"/>
        <v>3297</v>
      </c>
      <c r="D134" s="4">
        <f t="shared" si="6"/>
        <v>274.75</v>
      </c>
      <c r="E134" s="4">
        <f t="shared" si="7"/>
        <v>5.0990742865886247</v>
      </c>
      <c r="H134">
        <f t="shared" si="4"/>
        <v>-1</v>
      </c>
      <c r="I134" s="2"/>
      <c r="J134" s="2"/>
    </row>
    <row r="135" spans="1:10" x14ac:dyDescent="0.25">
      <c r="A135" s="1">
        <v>42767</v>
      </c>
      <c r="B135" s="3">
        <v>274</v>
      </c>
      <c r="C135" s="3">
        <f t="shared" si="5"/>
        <v>3304</v>
      </c>
      <c r="D135" s="4">
        <f t="shared" si="6"/>
        <v>275.33333333333331</v>
      </c>
      <c r="E135" s="4">
        <f t="shared" si="7"/>
        <v>5.3222145716981482</v>
      </c>
      <c r="H135">
        <f t="shared" si="4"/>
        <v>0</v>
      </c>
      <c r="I135" s="2"/>
    </row>
    <row r="136" spans="1:10" x14ac:dyDescent="0.25">
      <c r="A136" s="1">
        <v>42795</v>
      </c>
      <c r="B136" s="3">
        <v>275</v>
      </c>
      <c r="C136" s="3">
        <f t="shared" si="5"/>
        <v>3311</v>
      </c>
      <c r="D136" s="4">
        <f t="shared" si="6"/>
        <v>275.91666666666669</v>
      </c>
      <c r="E136" s="4">
        <f t="shared" si="7"/>
        <v>5.545354856807692</v>
      </c>
      <c r="H136">
        <f t="shared" ref="H136:H199" si="8">B136-B135</f>
        <v>1</v>
      </c>
      <c r="I136" s="2"/>
    </row>
    <row r="137" spans="1:10" x14ac:dyDescent="0.25">
      <c r="A137" s="1">
        <v>42826</v>
      </c>
      <c r="B137" s="3">
        <v>277</v>
      </c>
      <c r="C137" s="3">
        <f t="shared" si="5"/>
        <v>3317</v>
      </c>
      <c r="D137" s="4">
        <f t="shared" si="6"/>
        <v>276.41666666666669</v>
      </c>
      <c r="E137" s="4">
        <f t="shared" si="7"/>
        <v>5.7366179583301466</v>
      </c>
      <c r="H137">
        <f t="shared" si="8"/>
        <v>2</v>
      </c>
      <c r="I137" s="2"/>
    </row>
    <row r="138" spans="1:10" x14ac:dyDescent="0.25">
      <c r="A138" s="1">
        <v>42856</v>
      </c>
      <c r="B138" s="3">
        <v>278</v>
      </c>
      <c r="C138" s="3">
        <f t="shared" si="5"/>
        <v>3320</v>
      </c>
      <c r="D138" s="4">
        <f t="shared" si="6"/>
        <v>276.66666666666669</v>
      </c>
      <c r="E138" s="4">
        <f t="shared" si="7"/>
        <v>5.8322495090913735</v>
      </c>
      <c r="H138">
        <f t="shared" si="8"/>
        <v>1</v>
      </c>
      <c r="I138" s="2"/>
    </row>
    <row r="139" spans="1:10" x14ac:dyDescent="0.25">
      <c r="A139" s="17">
        <v>42887</v>
      </c>
      <c r="B139" s="3">
        <v>280</v>
      </c>
      <c r="C139" s="3">
        <f t="shared" si="5"/>
        <v>3323</v>
      </c>
      <c r="D139" s="4">
        <f t="shared" si="6"/>
        <v>276.91666666666669</v>
      </c>
      <c r="E139" s="4">
        <f t="shared" si="7"/>
        <v>5.9278810598526004</v>
      </c>
      <c r="H139">
        <f t="shared" si="8"/>
        <v>2</v>
      </c>
      <c r="I139" s="2">
        <f>E139-ROUNDDOWN(E133,0)</f>
        <v>1.9278810598526004</v>
      </c>
      <c r="J139" s="2">
        <f>ROUNDDOWN(I139,0)</f>
        <v>1</v>
      </c>
    </row>
    <row r="140" spans="1:10" x14ac:dyDescent="0.25">
      <c r="A140" s="49">
        <v>42917</v>
      </c>
      <c r="B140" s="3">
        <v>285</v>
      </c>
      <c r="C140" s="3">
        <f t="shared" si="5"/>
        <v>3328</v>
      </c>
      <c r="D140" s="4">
        <f t="shared" si="6"/>
        <v>277.33333333333331</v>
      </c>
      <c r="E140" s="4">
        <f t="shared" si="7"/>
        <v>6.0872669777879649</v>
      </c>
      <c r="H140">
        <f t="shared" si="8"/>
        <v>5</v>
      </c>
      <c r="I140" s="2"/>
      <c r="J140" s="2"/>
    </row>
    <row r="141" spans="1:10" x14ac:dyDescent="0.25">
      <c r="A141" s="1">
        <v>42948</v>
      </c>
      <c r="B141" s="3">
        <v>285</v>
      </c>
      <c r="C141" s="3">
        <f t="shared" si="5"/>
        <v>3335</v>
      </c>
      <c r="D141" s="4">
        <f t="shared" si="6"/>
        <v>277.91666666666669</v>
      </c>
      <c r="E141" s="4">
        <f t="shared" si="7"/>
        <v>6.3104072628975088</v>
      </c>
      <c r="H141">
        <f t="shared" si="8"/>
        <v>0</v>
      </c>
      <c r="I141" s="2"/>
    </row>
    <row r="142" spans="1:10" x14ac:dyDescent="0.25">
      <c r="A142" s="1">
        <v>42979</v>
      </c>
      <c r="B142" s="3">
        <v>285</v>
      </c>
      <c r="C142" s="3">
        <f t="shared" si="5"/>
        <v>3343</v>
      </c>
      <c r="D142" s="4">
        <f t="shared" si="6"/>
        <v>278.58333333333331</v>
      </c>
      <c r="E142" s="4">
        <f t="shared" si="7"/>
        <v>6.565424731594101</v>
      </c>
      <c r="H142">
        <f t="shared" si="8"/>
        <v>0</v>
      </c>
      <c r="I142" s="2"/>
    </row>
    <row r="143" spans="1:10" x14ac:dyDescent="0.25">
      <c r="A143" s="1">
        <v>43009</v>
      </c>
      <c r="B143" s="3">
        <v>287</v>
      </c>
      <c r="C143" s="3">
        <f t="shared" si="5"/>
        <v>3352</v>
      </c>
      <c r="D143" s="4">
        <f t="shared" si="6"/>
        <v>279.33333333333331</v>
      </c>
      <c r="E143" s="4">
        <f t="shared" si="7"/>
        <v>6.8523193838777825</v>
      </c>
      <c r="H143">
        <f t="shared" si="8"/>
        <v>2</v>
      </c>
      <c r="I143" s="2"/>
    </row>
    <row r="144" spans="1:10" x14ac:dyDescent="0.25">
      <c r="A144" s="1">
        <v>43040</v>
      </c>
      <c r="B144" s="3">
        <v>288</v>
      </c>
      <c r="C144" s="3">
        <f t="shared" ref="C144:C163" si="9">SUM(B133:B144)</f>
        <v>3363</v>
      </c>
      <c r="D144" s="4">
        <f t="shared" ref="D144:D163" si="10">C144/12</f>
        <v>280.25</v>
      </c>
      <c r="E144" s="4">
        <f t="shared" ref="E144:E163" si="11">((D144-261.42)/261.42)*100</f>
        <v>7.202968403335622</v>
      </c>
      <c r="H144">
        <f t="shared" si="8"/>
        <v>1</v>
      </c>
      <c r="I144" s="2"/>
    </row>
    <row r="145" spans="1:10" x14ac:dyDescent="0.25">
      <c r="A145" s="17">
        <v>43070</v>
      </c>
      <c r="B145" s="3">
        <v>286</v>
      </c>
      <c r="C145" s="3">
        <f t="shared" si="9"/>
        <v>3374</v>
      </c>
      <c r="D145" s="4">
        <f t="shared" si="10"/>
        <v>281.16666666666669</v>
      </c>
      <c r="E145" s="4">
        <f t="shared" si="11"/>
        <v>7.5536174227934625</v>
      </c>
      <c r="H145">
        <f t="shared" si="8"/>
        <v>-2</v>
      </c>
      <c r="I145" s="2">
        <f>E145-ROUNDDOWN(E139,0)</f>
        <v>2.5536174227934625</v>
      </c>
      <c r="J145" s="2">
        <f>ROUNDDOWN(I145,0)</f>
        <v>2</v>
      </c>
    </row>
    <row r="146" spans="1:10" x14ac:dyDescent="0.25">
      <c r="A146" s="49">
        <v>43101</v>
      </c>
      <c r="B146" s="3">
        <v>288</v>
      </c>
      <c r="C146" s="3">
        <f t="shared" si="9"/>
        <v>3388</v>
      </c>
      <c r="D146" s="4">
        <f t="shared" si="10"/>
        <v>282.33333333333331</v>
      </c>
      <c r="E146" s="4">
        <f t="shared" si="11"/>
        <v>7.9998979930125076</v>
      </c>
      <c r="H146">
        <f t="shared" si="8"/>
        <v>2</v>
      </c>
      <c r="I146" s="2"/>
      <c r="J146" s="2"/>
    </row>
    <row r="147" spans="1:10" x14ac:dyDescent="0.25">
      <c r="A147" s="1">
        <v>43132</v>
      </c>
      <c r="B147" s="3">
        <v>287</v>
      </c>
      <c r="C147" s="3">
        <f t="shared" si="9"/>
        <v>3401</v>
      </c>
      <c r="D147" s="4">
        <f t="shared" si="10"/>
        <v>283.41666666666669</v>
      </c>
      <c r="E147" s="4">
        <f t="shared" si="11"/>
        <v>8.4143013796445061</v>
      </c>
      <c r="H147">
        <f t="shared" si="8"/>
        <v>-1</v>
      </c>
      <c r="I147" s="2"/>
    </row>
    <row r="148" spans="1:10" x14ac:dyDescent="0.25">
      <c r="A148" s="1">
        <v>43160</v>
      </c>
      <c r="B148" s="3">
        <v>287</v>
      </c>
      <c r="C148" s="3">
        <f t="shared" si="9"/>
        <v>3413</v>
      </c>
      <c r="D148" s="4">
        <f t="shared" si="10"/>
        <v>284.41666666666669</v>
      </c>
      <c r="E148" s="4">
        <f t="shared" si="11"/>
        <v>8.7968275826894153</v>
      </c>
      <c r="H148">
        <f t="shared" si="8"/>
        <v>0</v>
      </c>
      <c r="I148" s="2"/>
    </row>
    <row r="149" spans="1:10" x14ac:dyDescent="0.25">
      <c r="A149" s="1">
        <v>43191</v>
      </c>
      <c r="B149" s="3">
        <v>288</v>
      </c>
      <c r="C149" s="3">
        <f t="shared" si="9"/>
        <v>3424</v>
      </c>
      <c r="D149" s="4">
        <f t="shared" si="10"/>
        <v>285.33333333333331</v>
      </c>
      <c r="E149" s="4">
        <f t="shared" si="11"/>
        <v>9.1474766021472345</v>
      </c>
      <c r="H149">
        <f t="shared" si="8"/>
        <v>1</v>
      </c>
      <c r="I149" s="2"/>
    </row>
    <row r="150" spans="1:10" x14ac:dyDescent="0.25">
      <c r="A150" s="1">
        <v>43221</v>
      </c>
      <c r="B150" s="3">
        <v>289</v>
      </c>
      <c r="C150" s="3">
        <f t="shared" si="9"/>
        <v>3435</v>
      </c>
      <c r="D150" s="4">
        <f t="shared" si="10"/>
        <v>286.25</v>
      </c>
      <c r="E150" s="4">
        <f t="shared" si="11"/>
        <v>9.4981256216050731</v>
      </c>
      <c r="H150">
        <f t="shared" si="8"/>
        <v>1</v>
      </c>
      <c r="I150" s="2"/>
    </row>
    <row r="151" spans="1:10" x14ac:dyDescent="0.25">
      <c r="A151" s="17">
        <v>43252</v>
      </c>
      <c r="B151" s="3">
        <v>291</v>
      </c>
      <c r="C151" s="3">
        <f t="shared" si="9"/>
        <v>3446</v>
      </c>
      <c r="D151" s="4">
        <f t="shared" si="10"/>
        <v>287.16666666666669</v>
      </c>
      <c r="E151" s="4">
        <f t="shared" si="11"/>
        <v>9.8487746410629136</v>
      </c>
      <c r="H151">
        <f t="shared" si="8"/>
        <v>2</v>
      </c>
      <c r="I151" s="2">
        <f>E151-ROUNDDOWN(E145,0)</f>
        <v>2.8487746410629136</v>
      </c>
      <c r="J151" s="2">
        <f>ROUNDDOWN(I151,0)</f>
        <v>2</v>
      </c>
    </row>
    <row r="152" spans="1:10" x14ac:dyDescent="0.25">
      <c r="A152" s="49">
        <v>43282</v>
      </c>
      <c r="B152" s="3">
        <v>301</v>
      </c>
      <c r="C152" s="3">
        <f t="shared" si="9"/>
        <v>3462</v>
      </c>
      <c r="D152" s="4">
        <f t="shared" si="10"/>
        <v>288.5</v>
      </c>
      <c r="E152" s="4">
        <f t="shared" si="11"/>
        <v>10.358809578456118</v>
      </c>
      <c r="H152">
        <f t="shared" si="8"/>
        <v>10</v>
      </c>
      <c r="I152" s="2"/>
      <c r="J152" s="2"/>
    </row>
    <row r="153" spans="1:10" x14ac:dyDescent="0.25">
      <c r="A153" s="1">
        <v>43313</v>
      </c>
      <c r="B153" s="3">
        <v>301</v>
      </c>
      <c r="C153" s="3">
        <f t="shared" si="9"/>
        <v>3478</v>
      </c>
      <c r="D153" s="4">
        <f t="shared" si="10"/>
        <v>289.83333333333331</v>
      </c>
      <c r="E153" s="4">
        <f t="shared" si="11"/>
        <v>10.868844515849322</v>
      </c>
      <c r="H153">
        <f t="shared" si="8"/>
        <v>0</v>
      </c>
      <c r="I153" s="2"/>
    </row>
    <row r="154" spans="1:10" x14ac:dyDescent="0.25">
      <c r="A154" s="1">
        <v>43344</v>
      </c>
      <c r="B154" s="3">
        <v>301</v>
      </c>
      <c r="C154" s="3">
        <f t="shared" si="9"/>
        <v>3494</v>
      </c>
      <c r="D154" s="4">
        <f t="shared" si="10"/>
        <v>291.16666666666669</v>
      </c>
      <c r="E154" s="4">
        <f t="shared" si="11"/>
        <v>11.378879453242547</v>
      </c>
      <c r="H154">
        <f t="shared" si="8"/>
        <v>0</v>
      </c>
      <c r="I154" s="2"/>
    </row>
    <row r="155" spans="1:10" x14ac:dyDescent="0.25">
      <c r="A155" s="1">
        <v>43374</v>
      </c>
      <c r="B155" s="3">
        <v>302</v>
      </c>
      <c r="C155" s="3">
        <f t="shared" si="9"/>
        <v>3509</v>
      </c>
      <c r="D155" s="4">
        <f t="shared" si="10"/>
        <v>292.41666666666669</v>
      </c>
      <c r="E155" s="4">
        <f t="shared" si="11"/>
        <v>11.857037207048684</v>
      </c>
      <c r="H155">
        <f t="shared" si="8"/>
        <v>1</v>
      </c>
      <c r="I155" s="2"/>
    </row>
    <row r="156" spans="1:10" x14ac:dyDescent="0.25">
      <c r="A156" s="1">
        <v>43405</v>
      </c>
      <c r="B156" s="3">
        <v>302</v>
      </c>
      <c r="C156" s="3">
        <f t="shared" si="9"/>
        <v>3523</v>
      </c>
      <c r="D156" s="4">
        <f t="shared" si="10"/>
        <v>293.58333333333331</v>
      </c>
      <c r="E156" s="4">
        <f t="shared" si="11"/>
        <v>12.303317777267729</v>
      </c>
      <c r="H156">
        <f t="shared" si="8"/>
        <v>0</v>
      </c>
      <c r="I156" s="2"/>
    </row>
    <row r="157" spans="1:10" x14ac:dyDescent="0.25">
      <c r="A157" s="17">
        <v>43435</v>
      </c>
      <c r="B157" s="3">
        <v>301</v>
      </c>
      <c r="C157" s="3">
        <f t="shared" si="9"/>
        <v>3538</v>
      </c>
      <c r="D157" s="4">
        <f t="shared" si="10"/>
        <v>294.83333333333331</v>
      </c>
      <c r="E157" s="4">
        <f t="shared" si="11"/>
        <v>12.781475531073863</v>
      </c>
      <c r="H157">
        <f t="shared" si="8"/>
        <v>-1</v>
      </c>
      <c r="I157" s="2">
        <f>E157-ROUNDDOWN(E151,0)</f>
        <v>3.7814755310738626</v>
      </c>
      <c r="J157" s="2">
        <f>ROUNDDOWN(I157,0)</f>
        <v>3</v>
      </c>
    </row>
    <row r="158" spans="1:10" x14ac:dyDescent="0.25">
      <c r="A158" s="49">
        <v>43466</v>
      </c>
      <c r="B158" s="3">
        <v>307</v>
      </c>
      <c r="C158" s="3">
        <f t="shared" si="9"/>
        <v>3557</v>
      </c>
      <c r="D158" s="4">
        <f t="shared" si="10"/>
        <v>296.41666666666669</v>
      </c>
      <c r="E158" s="4">
        <f t="shared" si="11"/>
        <v>13.387142019228317</v>
      </c>
      <c r="H158">
        <f t="shared" si="8"/>
        <v>6</v>
      </c>
      <c r="I158" s="2"/>
      <c r="J158" s="2"/>
    </row>
    <row r="159" spans="1:10" x14ac:dyDescent="0.25">
      <c r="A159" s="1">
        <v>43497</v>
      </c>
      <c r="B159" s="3">
        <v>307</v>
      </c>
      <c r="C159" s="3">
        <f t="shared" si="9"/>
        <v>3577</v>
      </c>
      <c r="D159" s="4">
        <f t="shared" si="10"/>
        <v>298.08333333333331</v>
      </c>
      <c r="E159" s="4">
        <f t="shared" si="11"/>
        <v>14.024685690969818</v>
      </c>
      <c r="H159">
        <f t="shared" si="8"/>
        <v>0</v>
      </c>
      <c r="I159" s="2"/>
    </row>
    <row r="160" spans="1:10" x14ac:dyDescent="0.25">
      <c r="A160" s="1">
        <v>43525</v>
      </c>
      <c r="B160" s="3">
        <v>309</v>
      </c>
      <c r="C160" s="3">
        <f t="shared" si="9"/>
        <v>3599</v>
      </c>
      <c r="D160" s="4">
        <f t="shared" si="10"/>
        <v>299.91666666666669</v>
      </c>
      <c r="E160" s="4">
        <f t="shared" si="11"/>
        <v>14.725983729885497</v>
      </c>
      <c r="H160">
        <f t="shared" si="8"/>
        <v>2</v>
      </c>
      <c r="I160" s="2"/>
    </row>
    <row r="161" spans="1:10" x14ac:dyDescent="0.25">
      <c r="A161" s="1">
        <v>43556</v>
      </c>
      <c r="B161" s="3">
        <v>312</v>
      </c>
      <c r="C161" s="3">
        <f t="shared" si="9"/>
        <v>3623</v>
      </c>
      <c r="D161" s="4">
        <f t="shared" si="10"/>
        <v>301.91666666666669</v>
      </c>
      <c r="E161" s="4">
        <f t="shared" si="11"/>
        <v>15.491036135975314</v>
      </c>
      <c r="H161">
        <f t="shared" si="8"/>
        <v>3</v>
      </c>
      <c r="I161" s="2"/>
    </row>
    <row r="162" spans="1:10" x14ac:dyDescent="0.25">
      <c r="A162" s="1">
        <v>43586</v>
      </c>
      <c r="B162" s="3">
        <v>314</v>
      </c>
      <c r="C162" s="3">
        <f t="shared" si="9"/>
        <v>3648</v>
      </c>
      <c r="D162" s="4">
        <f t="shared" si="10"/>
        <v>304</v>
      </c>
      <c r="E162" s="4">
        <f t="shared" si="11"/>
        <v>16.287965725652199</v>
      </c>
      <c r="H162">
        <f t="shared" si="8"/>
        <v>2</v>
      </c>
      <c r="I162" s="2"/>
    </row>
    <row r="163" spans="1:10" x14ac:dyDescent="0.25">
      <c r="A163" s="17">
        <v>43617</v>
      </c>
      <c r="B163" s="3">
        <v>316</v>
      </c>
      <c r="C163" s="3">
        <f t="shared" si="9"/>
        <v>3673</v>
      </c>
      <c r="D163" s="4">
        <f t="shared" si="10"/>
        <v>306.08333333333331</v>
      </c>
      <c r="E163" s="4">
        <f t="shared" si="11"/>
        <v>17.084895315329085</v>
      </c>
      <c r="H163">
        <f t="shared" si="8"/>
        <v>2</v>
      </c>
      <c r="I163" s="2">
        <f>E163-ROUNDDOWN(E157,0)</f>
        <v>5.084895315329085</v>
      </c>
      <c r="J163" s="2">
        <f>ROUNDDOWN(I163,0)</f>
        <v>5</v>
      </c>
    </row>
    <row r="164" spans="1:10" x14ac:dyDescent="0.25">
      <c r="A164" s="49">
        <v>43647</v>
      </c>
      <c r="B164" s="3">
        <v>319</v>
      </c>
      <c r="C164" s="3">
        <f>SUM(B153:B164)</f>
        <v>3691</v>
      </c>
      <c r="D164" s="4">
        <f>C164/12</f>
        <v>307.58333333333331</v>
      </c>
      <c r="E164" s="4">
        <f>((D164-261.42)/261.42)*100</f>
        <v>17.658684619896448</v>
      </c>
      <c r="H164">
        <f t="shared" si="8"/>
        <v>3</v>
      </c>
      <c r="I164" s="2"/>
      <c r="J164" s="2"/>
    </row>
    <row r="165" spans="1:10" x14ac:dyDescent="0.25">
      <c r="A165" s="1">
        <v>43678</v>
      </c>
      <c r="B165" s="3">
        <v>320</v>
      </c>
      <c r="C165" s="3">
        <f t="shared" ref="C165:C228" si="12">SUM(B154:B165)</f>
        <v>3710</v>
      </c>
      <c r="D165" s="4">
        <f t="shared" ref="D165:D228" si="13">C165/12</f>
        <v>309.16666666666669</v>
      </c>
      <c r="E165" s="4">
        <f t="shared" ref="E165:E228" si="14">((D165-261.42)/261.42)*100</f>
        <v>18.264351108050903</v>
      </c>
      <c r="H165">
        <f t="shared" si="8"/>
        <v>1</v>
      </c>
      <c r="I165" s="2"/>
    </row>
    <row r="166" spans="1:10" x14ac:dyDescent="0.25">
      <c r="A166" s="1">
        <v>43709</v>
      </c>
      <c r="B166" s="3">
        <v>322</v>
      </c>
      <c r="C166" s="3">
        <f t="shared" si="12"/>
        <v>3731</v>
      </c>
      <c r="D166" s="4">
        <f t="shared" si="13"/>
        <v>310.91666666666669</v>
      </c>
      <c r="E166" s="4">
        <f t="shared" si="14"/>
        <v>18.933771963379492</v>
      </c>
      <c r="H166">
        <f t="shared" si="8"/>
        <v>2</v>
      </c>
      <c r="I166" s="2"/>
    </row>
    <row r="167" spans="1:10" x14ac:dyDescent="0.25">
      <c r="A167" s="1">
        <v>43739</v>
      </c>
      <c r="B167" s="3">
        <v>325</v>
      </c>
      <c r="C167" s="3">
        <f t="shared" si="12"/>
        <v>3754</v>
      </c>
      <c r="D167" s="4">
        <f t="shared" si="13"/>
        <v>312.83333333333331</v>
      </c>
      <c r="E167" s="4">
        <f t="shared" si="14"/>
        <v>19.666947185882218</v>
      </c>
      <c r="H167">
        <f t="shared" si="8"/>
        <v>3</v>
      </c>
      <c r="I167" s="2"/>
    </row>
    <row r="168" spans="1:10" x14ac:dyDescent="0.25">
      <c r="A168" s="1">
        <v>43770</v>
      </c>
      <c r="B168" s="3">
        <v>328</v>
      </c>
      <c r="C168" s="3">
        <f t="shared" si="12"/>
        <v>3780</v>
      </c>
      <c r="D168" s="4">
        <f t="shared" si="13"/>
        <v>315</v>
      </c>
      <c r="E168" s="4">
        <f t="shared" si="14"/>
        <v>20.495753959146192</v>
      </c>
      <c r="H168">
        <f t="shared" si="8"/>
        <v>3</v>
      </c>
      <c r="I168" s="2"/>
    </row>
    <row r="169" spans="1:10" x14ac:dyDescent="0.25">
      <c r="A169" s="17">
        <v>43800</v>
      </c>
      <c r="B169" s="3">
        <v>330</v>
      </c>
      <c r="C169" s="3">
        <f t="shared" si="12"/>
        <v>3809</v>
      </c>
      <c r="D169" s="4">
        <f t="shared" si="13"/>
        <v>317.41666666666669</v>
      </c>
      <c r="E169" s="4">
        <f t="shared" si="14"/>
        <v>21.420192283171396</v>
      </c>
      <c r="H169">
        <f t="shared" si="8"/>
        <v>2</v>
      </c>
      <c r="I169" s="2">
        <f>E169-ROUNDDOWN(E163,0)</f>
        <v>4.4201922831713958</v>
      </c>
      <c r="J169" s="2">
        <f>ROUNDDOWN(I169,0)</f>
        <v>4</v>
      </c>
    </row>
    <row r="170" spans="1:10" x14ac:dyDescent="0.25">
      <c r="A170" s="49">
        <v>43831</v>
      </c>
      <c r="B170" s="3">
        <v>330</v>
      </c>
      <c r="C170" s="3">
        <f t="shared" si="12"/>
        <v>3832</v>
      </c>
      <c r="D170" s="4">
        <f t="shared" si="13"/>
        <v>319.33333333333331</v>
      </c>
      <c r="E170" s="4">
        <f t="shared" si="14"/>
        <v>22.153367505674122</v>
      </c>
      <c r="H170">
        <f t="shared" si="8"/>
        <v>0</v>
      </c>
      <c r="I170" s="2"/>
      <c r="J170" s="2"/>
    </row>
    <row r="171" spans="1:10" x14ac:dyDescent="0.25">
      <c r="A171" s="1">
        <v>43862</v>
      </c>
      <c r="B171" s="3">
        <v>328</v>
      </c>
      <c r="C171" s="3">
        <f t="shared" si="12"/>
        <v>3853</v>
      </c>
      <c r="D171" s="4">
        <f t="shared" si="13"/>
        <v>321.08333333333331</v>
      </c>
      <c r="E171" s="4">
        <f t="shared" si="14"/>
        <v>22.822788361002715</v>
      </c>
      <c r="H171">
        <f t="shared" si="8"/>
        <v>-2</v>
      </c>
      <c r="I171" s="2"/>
    </row>
    <row r="172" spans="1:10" x14ac:dyDescent="0.25">
      <c r="A172" s="1">
        <v>43891</v>
      </c>
      <c r="B172" s="3">
        <v>326</v>
      </c>
      <c r="C172" s="3">
        <f t="shared" si="12"/>
        <v>3870</v>
      </c>
      <c r="D172" s="4">
        <f t="shared" si="13"/>
        <v>322.5</v>
      </c>
      <c r="E172" s="4">
        <f t="shared" si="14"/>
        <v>23.364700481983007</v>
      </c>
      <c r="H172">
        <f t="shared" si="8"/>
        <v>-2</v>
      </c>
      <c r="I172" s="2"/>
    </row>
    <row r="173" spans="1:10" x14ac:dyDescent="0.25">
      <c r="A173" s="1">
        <v>43922</v>
      </c>
      <c r="B173" s="3">
        <v>329</v>
      </c>
      <c r="C173" s="3">
        <f t="shared" si="12"/>
        <v>3887</v>
      </c>
      <c r="D173" s="4">
        <f t="shared" si="13"/>
        <v>323.91666666666669</v>
      </c>
      <c r="E173" s="4">
        <f t="shared" si="14"/>
        <v>23.906612602963303</v>
      </c>
      <c r="H173">
        <f t="shared" si="8"/>
        <v>3</v>
      </c>
      <c r="I173" s="2"/>
    </row>
    <row r="174" spans="1:10" x14ac:dyDescent="0.25">
      <c r="A174" s="1">
        <v>43952</v>
      </c>
      <c r="B174" s="3">
        <v>330</v>
      </c>
      <c r="C174" s="3">
        <f t="shared" si="12"/>
        <v>3903</v>
      </c>
      <c r="D174" s="4">
        <f t="shared" si="13"/>
        <v>325.25</v>
      </c>
      <c r="E174" s="4">
        <f t="shared" si="14"/>
        <v>24.416647540356507</v>
      </c>
      <c r="H174">
        <f t="shared" si="8"/>
        <v>1</v>
      </c>
      <c r="I174" s="2"/>
    </row>
    <row r="175" spans="1:10" x14ac:dyDescent="0.25">
      <c r="A175" s="17">
        <v>43983</v>
      </c>
      <c r="B175" s="3">
        <v>332</v>
      </c>
      <c r="C175" s="3">
        <f t="shared" si="12"/>
        <v>3919</v>
      </c>
      <c r="D175" s="4">
        <f t="shared" si="13"/>
        <v>326.58333333333331</v>
      </c>
      <c r="E175" s="4">
        <f t="shared" si="14"/>
        <v>24.926682477749711</v>
      </c>
      <c r="H175">
        <f t="shared" si="8"/>
        <v>2</v>
      </c>
      <c r="I175" s="2">
        <f>E175-ROUNDDOWN(E169,0)</f>
        <v>3.9266824777497114</v>
      </c>
      <c r="J175" s="2">
        <f>ROUNDDOWN(I175,0)</f>
        <v>3</v>
      </c>
    </row>
    <row r="176" spans="1:10" x14ac:dyDescent="0.25">
      <c r="A176" s="49">
        <v>44013</v>
      </c>
      <c r="B176" s="3">
        <v>336</v>
      </c>
      <c r="C176" s="3">
        <f t="shared" si="12"/>
        <v>3936</v>
      </c>
      <c r="D176" s="4">
        <f t="shared" si="13"/>
        <v>328</v>
      </c>
      <c r="E176" s="4">
        <f t="shared" si="14"/>
        <v>25.468594598730004</v>
      </c>
      <c r="H176">
        <f t="shared" si="8"/>
        <v>4</v>
      </c>
      <c r="I176" s="2"/>
      <c r="J176" s="2"/>
    </row>
    <row r="177" spans="1:17" x14ac:dyDescent="0.25">
      <c r="A177" s="1">
        <v>44044</v>
      </c>
      <c r="B177" s="3">
        <v>338</v>
      </c>
      <c r="C177" s="3">
        <f t="shared" si="12"/>
        <v>3954</v>
      </c>
      <c r="D177" s="4">
        <f t="shared" si="13"/>
        <v>329.5</v>
      </c>
      <c r="E177" s="4">
        <f t="shared" si="14"/>
        <v>26.042383903297367</v>
      </c>
      <c r="H177">
        <f t="shared" si="8"/>
        <v>2</v>
      </c>
      <c r="I177" s="2"/>
    </row>
    <row r="178" spans="1:17" x14ac:dyDescent="0.25">
      <c r="A178" s="1">
        <v>44075</v>
      </c>
      <c r="B178" s="13">
        <v>340.12799999999999</v>
      </c>
      <c r="C178" s="3">
        <f t="shared" si="12"/>
        <v>3972.1280000000002</v>
      </c>
      <c r="D178" s="4">
        <f t="shared" si="13"/>
        <v>331.01066666666668</v>
      </c>
      <c r="E178" s="4">
        <f t="shared" si="14"/>
        <v>26.620253487363883</v>
      </c>
      <c r="H178">
        <f t="shared" si="8"/>
        <v>2.1279999999999859</v>
      </c>
      <c r="I178" s="2"/>
    </row>
    <row r="179" spans="1:17" x14ac:dyDescent="0.25">
      <c r="A179" s="1">
        <v>44105</v>
      </c>
      <c r="B179" s="13">
        <v>344.16</v>
      </c>
      <c r="C179" s="3">
        <f t="shared" si="12"/>
        <v>3991.288</v>
      </c>
      <c r="D179" s="4">
        <f t="shared" si="13"/>
        <v>332.60733333333332</v>
      </c>
      <c r="E179" s="4">
        <f t="shared" si="14"/>
        <v>27.231020324892242</v>
      </c>
      <c r="H179">
        <f t="shared" si="8"/>
        <v>4.0320000000000391</v>
      </c>
      <c r="I179" s="2"/>
    </row>
    <row r="180" spans="1:17" x14ac:dyDescent="0.25">
      <c r="A180" s="1">
        <v>44136</v>
      </c>
      <c r="B180" s="13">
        <v>345.31200000000001</v>
      </c>
      <c r="C180" s="3">
        <f t="shared" si="12"/>
        <v>4008.6</v>
      </c>
      <c r="D180" s="4">
        <f t="shared" si="13"/>
        <v>334.05</v>
      </c>
      <c r="E180" s="4">
        <f t="shared" si="14"/>
        <v>27.782878127151704</v>
      </c>
      <c r="H180">
        <f t="shared" si="8"/>
        <v>1.1519999999999868</v>
      </c>
      <c r="I180" s="2"/>
    </row>
    <row r="181" spans="1:17" x14ac:dyDescent="0.25">
      <c r="A181" s="17">
        <v>44166</v>
      </c>
      <c r="B181" s="13">
        <v>342.14400000000001</v>
      </c>
      <c r="C181" s="3">
        <f t="shared" si="12"/>
        <v>4020.7439999999997</v>
      </c>
      <c r="D181" s="4">
        <f t="shared" si="13"/>
        <v>335.06199999999995</v>
      </c>
      <c r="E181" s="4">
        <f t="shared" si="14"/>
        <v>28.169994644633135</v>
      </c>
      <c r="H181">
        <f t="shared" si="8"/>
        <v>-3.1680000000000064</v>
      </c>
      <c r="I181" s="2">
        <f>E181-ROUNDDOWN(E175,0)</f>
        <v>4.1699946446331353</v>
      </c>
      <c r="J181" s="2">
        <f>ROUNDDOWN(I181,0)</f>
        <v>4</v>
      </c>
    </row>
    <row r="182" spans="1:17" x14ac:dyDescent="0.25">
      <c r="A182" s="49">
        <v>44197</v>
      </c>
      <c r="B182" s="13">
        <v>340.416</v>
      </c>
      <c r="C182" s="3">
        <f t="shared" si="12"/>
        <v>4031.16</v>
      </c>
      <c r="D182" s="4">
        <f t="shared" si="13"/>
        <v>335.93</v>
      </c>
      <c r="E182" s="4">
        <f t="shared" si="14"/>
        <v>28.502027388876133</v>
      </c>
      <c r="F182" s="5"/>
      <c r="G182" s="5"/>
      <c r="H182">
        <f t="shared" si="8"/>
        <v>-1.7280000000000086</v>
      </c>
      <c r="I182" s="2"/>
      <c r="J182" s="2"/>
      <c r="L182" s="5"/>
      <c r="M182" s="5"/>
      <c r="N182" s="5"/>
      <c r="O182" s="5"/>
      <c r="P182" s="5"/>
      <c r="Q182" s="5"/>
    </row>
    <row r="183" spans="1:17" x14ac:dyDescent="0.25">
      <c r="A183" s="1">
        <v>44228</v>
      </c>
      <c r="B183" s="13">
        <v>342.72</v>
      </c>
      <c r="C183" s="3">
        <f t="shared" si="12"/>
        <v>4045.88</v>
      </c>
      <c r="D183" s="4">
        <f t="shared" si="13"/>
        <v>337.15666666666669</v>
      </c>
      <c r="E183" s="4">
        <f t="shared" si="14"/>
        <v>28.971259531277894</v>
      </c>
      <c r="H183">
        <f t="shared" si="8"/>
        <v>2.3040000000000305</v>
      </c>
      <c r="I183" s="2"/>
    </row>
    <row r="184" spans="1:17" x14ac:dyDescent="0.25">
      <c r="A184" s="1">
        <v>44256</v>
      </c>
      <c r="B184" s="13">
        <v>344.44799999999998</v>
      </c>
      <c r="C184" s="3">
        <f t="shared" si="12"/>
        <v>4064.328</v>
      </c>
      <c r="D184" s="4">
        <f t="shared" si="13"/>
        <v>338.69400000000002</v>
      </c>
      <c r="E184" s="4">
        <f t="shared" si="14"/>
        <v>29.559329814092262</v>
      </c>
      <c r="H184">
        <f t="shared" si="8"/>
        <v>1.7279999999999518</v>
      </c>
      <c r="I184" s="2"/>
    </row>
    <row r="185" spans="1:17" x14ac:dyDescent="0.25">
      <c r="A185" s="1">
        <v>44287</v>
      </c>
      <c r="B185" s="13">
        <v>345.88799999999998</v>
      </c>
      <c r="C185" s="3">
        <f t="shared" si="12"/>
        <v>4081.2159999999999</v>
      </c>
      <c r="D185" s="4">
        <f t="shared" si="13"/>
        <v>340.10133333333334</v>
      </c>
      <c r="E185" s="4">
        <f t="shared" si="14"/>
        <v>30.097671690510797</v>
      </c>
      <c r="H185">
        <f t="shared" si="8"/>
        <v>1.4399999999999977</v>
      </c>
      <c r="I185" s="2"/>
    </row>
    <row r="186" spans="1:17" x14ac:dyDescent="0.25">
      <c r="A186" s="1">
        <v>44317</v>
      </c>
      <c r="B186" s="13">
        <v>347.32799999999997</v>
      </c>
      <c r="C186" s="3">
        <f t="shared" si="12"/>
        <v>4098.5439999999999</v>
      </c>
      <c r="D186" s="4">
        <f t="shared" si="13"/>
        <v>341.5453333333333</v>
      </c>
      <c r="E186" s="4">
        <f t="shared" si="14"/>
        <v>30.65003952770763</v>
      </c>
      <c r="H186">
        <f t="shared" si="8"/>
        <v>1.4399999999999977</v>
      </c>
      <c r="I186" s="2"/>
    </row>
    <row r="187" spans="1:17" x14ac:dyDescent="0.25">
      <c r="A187" s="17">
        <v>44348</v>
      </c>
      <c r="B187" s="13">
        <v>350.49599999999998</v>
      </c>
      <c r="C187" s="3">
        <f t="shared" si="12"/>
        <v>4117.04</v>
      </c>
      <c r="D187" s="4">
        <f t="shared" si="13"/>
        <v>343.08666666666664</v>
      </c>
      <c r="E187" s="4">
        <f t="shared" si="14"/>
        <v>31.239639915334184</v>
      </c>
      <c r="H187">
        <f t="shared" si="8"/>
        <v>3.1680000000000064</v>
      </c>
      <c r="I187" s="2">
        <f>E187-ROUNDDOWN(E181,0)</f>
        <v>3.2396399153341839</v>
      </c>
      <c r="J187" s="2">
        <f>ROUNDDOWN(I187,0)</f>
        <v>3</v>
      </c>
    </row>
    <row r="188" spans="1:17" x14ac:dyDescent="0.25">
      <c r="A188" s="49">
        <v>44378</v>
      </c>
      <c r="B188" s="13">
        <v>353.66399999999999</v>
      </c>
      <c r="C188" s="3">
        <f t="shared" si="12"/>
        <v>4134.7039999999997</v>
      </c>
      <c r="D188" s="4">
        <f t="shared" si="13"/>
        <v>344.55866666666662</v>
      </c>
      <c r="E188" s="4">
        <f t="shared" si="14"/>
        <v>31.802718486216282</v>
      </c>
      <c r="H188">
        <f t="shared" si="8"/>
        <v>3.1680000000000064</v>
      </c>
      <c r="I188" s="2"/>
      <c r="J188" s="2"/>
    </row>
    <row r="189" spans="1:17" x14ac:dyDescent="0.25">
      <c r="A189" s="1">
        <v>44409</v>
      </c>
      <c r="B189" s="13">
        <v>354.24</v>
      </c>
      <c r="C189" s="3">
        <f t="shared" si="12"/>
        <v>4150.9439999999995</v>
      </c>
      <c r="D189" s="4">
        <f t="shared" si="13"/>
        <v>345.91199999999998</v>
      </c>
      <c r="E189" s="4">
        <f t="shared" si="14"/>
        <v>32.3204039476704</v>
      </c>
      <c r="H189">
        <f t="shared" si="8"/>
        <v>0.57600000000002183</v>
      </c>
      <c r="I189" s="2"/>
    </row>
    <row r="190" spans="1:17" x14ac:dyDescent="0.25">
      <c r="A190" s="1">
        <v>44440</v>
      </c>
      <c r="B190" s="13">
        <v>355.10399999999998</v>
      </c>
      <c r="C190" s="3">
        <f t="shared" si="12"/>
        <v>4165.92</v>
      </c>
      <c r="D190" s="4">
        <f t="shared" si="13"/>
        <v>347.16</v>
      </c>
      <c r="E190" s="4">
        <f t="shared" si="14"/>
        <v>32.797796649070463</v>
      </c>
      <c r="H190">
        <f t="shared" si="8"/>
        <v>0.8639999999999759</v>
      </c>
      <c r="I190" s="2"/>
    </row>
    <row r="191" spans="1:17" x14ac:dyDescent="0.25">
      <c r="A191" s="1">
        <v>44470</v>
      </c>
      <c r="B191" s="13">
        <v>359.71199999999999</v>
      </c>
      <c r="C191" s="3">
        <f t="shared" si="12"/>
        <v>4181.4719999999998</v>
      </c>
      <c r="D191" s="4">
        <f t="shared" si="13"/>
        <v>348.45599999999996</v>
      </c>
      <c r="E191" s="4">
        <f t="shared" si="14"/>
        <v>33.293550608216634</v>
      </c>
      <c r="H191">
        <f t="shared" si="8"/>
        <v>4.6080000000000041</v>
      </c>
      <c r="I191" s="2"/>
    </row>
    <row r="192" spans="1:17" x14ac:dyDescent="0.25">
      <c r="A192" s="1">
        <v>44501</v>
      </c>
      <c r="B192" s="13">
        <v>362.01600000000002</v>
      </c>
      <c r="C192" s="3">
        <f t="shared" si="12"/>
        <v>4198.1759999999995</v>
      </c>
      <c r="D192" s="4">
        <f t="shared" si="13"/>
        <v>349.84799999999996</v>
      </c>
      <c r="E192" s="4">
        <f t="shared" si="14"/>
        <v>33.826027082855155</v>
      </c>
      <c r="H192">
        <f t="shared" si="8"/>
        <v>2.3040000000000305</v>
      </c>
      <c r="I192" s="2"/>
    </row>
    <row r="193" spans="1:10" x14ac:dyDescent="0.25">
      <c r="A193" s="17">
        <v>44531</v>
      </c>
      <c r="B193" s="13">
        <v>361.15199999999999</v>
      </c>
      <c r="C193" s="3">
        <f t="shared" si="12"/>
        <v>4217.1839999999993</v>
      </c>
      <c r="D193" s="4">
        <f t="shared" si="13"/>
        <v>351.43199999999996</v>
      </c>
      <c r="E193" s="4">
        <f t="shared" si="14"/>
        <v>34.431948588478292</v>
      </c>
      <c r="H193">
        <f t="shared" si="8"/>
        <v>-0.86400000000003274</v>
      </c>
      <c r="I193" s="2">
        <f>E193-ROUNDDOWN(E187,0)</f>
        <v>3.4319485884782921</v>
      </c>
      <c r="J193" s="2">
        <f>ROUNDDOWN(I193,0)</f>
        <v>3</v>
      </c>
    </row>
    <row r="194" spans="1:10" x14ac:dyDescent="0.25">
      <c r="A194" s="49">
        <v>44562</v>
      </c>
      <c r="B194" s="13">
        <v>360.28800000000001</v>
      </c>
      <c r="C194" s="3">
        <f t="shared" si="12"/>
        <v>4237.0559999999996</v>
      </c>
      <c r="D194" s="4">
        <f t="shared" si="13"/>
        <v>353.08799999999997</v>
      </c>
      <c r="E194" s="4">
        <f t="shared" si="14"/>
        <v>35.065411980720654</v>
      </c>
      <c r="H194">
        <f t="shared" si="8"/>
        <v>-0.8639999999999759</v>
      </c>
      <c r="I194" s="2"/>
      <c r="J194" s="2"/>
    </row>
    <row r="195" spans="1:10" x14ac:dyDescent="0.25">
      <c r="A195" s="1">
        <v>44593</v>
      </c>
      <c r="B195" s="13">
        <v>360</v>
      </c>
      <c r="C195" s="3">
        <f t="shared" si="12"/>
        <v>4254.3359999999993</v>
      </c>
      <c r="D195" s="4">
        <f t="shared" si="13"/>
        <v>354.52799999999996</v>
      </c>
      <c r="E195" s="4">
        <f t="shared" si="14"/>
        <v>35.616249713105326</v>
      </c>
      <c r="H195">
        <f t="shared" si="8"/>
        <v>-0.28800000000001091</v>
      </c>
      <c r="I195" s="2"/>
    </row>
    <row r="196" spans="1:10" x14ac:dyDescent="0.25">
      <c r="A196" s="1">
        <v>44621</v>
      </c>
      <c r="B196" s="13">
        <v>362.88</v>
      </c>
      <c r="C196" s="3">
        <f t="shared" si="12"/>
        <v>4272.768</v>
      </c>
      <c r="D196" s="4">
        <f t="shared" si="13"/>
        <v>356.06400000000002</v>
      </c>
      <c r="E196" s="4">
        <f t="shared" si="14"/>
        <v>36.203809960982326</v>
      </c>
      <c r="H196">
        <f t="shared" si="8"/>
        <v>2.8799999999999955</v>
      </c>
      <c r="I196" s="2"/>
    </row>
    <row r="197" spans="1:10" x14ac:dyDescent="0.25">
      <c r="A197" s="1">
        <v>44652</v>
      </c>
      <c r="B197" s="13">
        <v>367.77600000000001</v>
      </c>
      <c r="C197" s="3">
        <f t="shared" si="12"/>
        <v>4294.6559999999999</v>
      </c>
      <c r="D197" s="4">
        <f t="shared" si="13"/>
        <v>357.88799999999998</v>
      </c>
      <c r="E197" s="4">
        <f t="shared" si="14"/>
        <v>36.901537755336221</v>
      </c>
      <c r="H197">
        <f t="shared" si="8"/>
        <v>4.896000000000015</v>
      </c>
      <c r="I197" s="2"/>
    </row>
    <row r="198" spans="1:10" x14ac:dyDescent="0.25">
      <c r="A198" s="1">
        <v>44682</v>
      </c>
      <c r="B198" s="13">
        <v>371.52</v>
      </c>
      <c r="C198" s="3">
        <f t="shared" si="12"/>
        <v>4318.848</v>
      </c>
      <c r="D198" s="4">
        <f t="shared" si="13"/>
        <v>359.904</v>
      </c>
      <c r="E198" s="4">
        <f t="shared" si="14"/>
        <v>37.672710580674767</v>
      </c>
      <c r="H198">
        <f t="shared" si="8"/>
        <v>3.7439999999999714</v>
      </c>
      <c r="I198" s="2"/>
    </row>
    <row r="199" spans="1:10" x14ac:dyDescent="0.25">
      <c r="A199" s="17">
        <v>44713</v>
      </c>
      <c r="B199" s="15">
        <v>372.096</v>
      </c>
      <c r="C199" s="3">
        <f t="shared" si="12"/>
        <v>4340.4480000000003</v>
      </c>
      <c r="D199" s="4">
        <f t="shared" si="13"/>
        <v>361.70400000000001</v>
      </c>
      <c r="E199" s="4">
        <f t="shared" si="14"/>
        <v>38.361257746155609</v>
      </c>
      <c r="H199">
        <f t="shared" si="8"/>
        <v>0.57600000000002183</v>
      </c>
      <c r="I199" s="2">
        <f>E199-ROUNDDOWN(E193,0)</f>
        <v>4.3612577461556086</v>
      </c>
      <c r="J199" s="2">
        <f>ROUNDDOWN(I199,0)</f>
        <v>4</v>
      </c>
    </row>
    <row r="200" spans="1:10" x14ac:dyDescent="0.25">
      <c r="A200" s="49">
        <v>44743</v>
      </c>
      <c r="B200" s="15">
        <v>374.11200000000002</v>
      </c>
      <c r="C200" s="3">
        <f t="shared" si="12"/>
        <v>4360.8959999999997</v>
      </c>
      <c r="D200" s="4">
        <f t="shared" si="13"/>
        <v>363.40799999999996</v>
      </c>
      <c r="E200" s="4">
        <f t="shared" si="14"/>
        <v>39.013082396144114</v>
      </c>
      <c r="H200">
        <f t="shared" ref="H200:H263" si="15">B200-B199</f>
        <v>2.0160000000000196</v>
      </c>
      <c r="I200" s="2"/>
      <c r="J200" s="2"/>
    </row>
    <row r="201" spans="1:10" x14ac:dyDescent="0.25">
      <c r="A201" s="1">
        <v>44774</v>
      </c>
      <c r="B201" s="15">
        <v>374.976</v>
      </c>
      <c r="C201" s="3">
        <f t="shared" si="12"/>
        <v>4381.6319999999996</v>
      </c>
      <c r="D201" s="4">
        <f t="shared" si="13"/>
        <v>365.13599999999997</v>
      </c>
      <c r="E201" s="4">
        <f t="shared" si="14"/>
        <v>39.674087675005715</v>
      </c>
      <c r="H201">
        <f t="shared" si="15"/>
        <v>0.8639999999999759</v>
      </c>
      <c r="I201" s="2"/>
    </row>
    <row r="202" spans="1:10" x14ac:dyDescent="0.25">
      <c r="A202" s="1">
        <v>44805</v>
      </c>
      <c r="B202" s="15">
        <v>378.14400000000001</v>
      </c>
      <c r="C202" s="3">
        <f t="shared" si="12"/>
        <v>4404.6720000000005</v>
      </c>
      <c r="D202" s="4">
        <f t="shared" si="13"/>
        <v>367.05600000000004</v>
      </c>
      <c r="E202" s="4">
        <f t="shared" si="14"/>
        <v>40.408537984851968</v>
      </c>
      <c r="H202">
        <f t="shared" si="15"/>
        <v>3.1680000000000064</v>
      </c>
      <c r="I202" s="2"/>
    </row>
    <row r="203" spans="1:10" x14ac:dyDescent="0.25">
      <c r="A203" s="1">
        <v>44835</v>
      </c>
      <c r="B203" s="15">
        <v>381.6</v>
      </c>
      <c r="C203" s="3">
        <f t="shared" si="12"/>
        <v>4426.5600000000004</v>
      </c>
      <c r="D203" s="4">
        <f t="shared" si="13"/>
        <v>368.88000000000005</v>
      </c>
      <c r="E203" s="4">
        <f t="shared" si="14"/>
        <v>41.106265779205884</v>
      </c>
      <c r="H203">
        <f t="shared" si="15"/>
        <v>3.4560000000000173</v>
      </c>
      <c r="I203" s="2"/>
    </row>
    <row r="204" spans="1:10" x14ac:dyDescent="0.25">
      <c r="A204" s="1">
        <v>44866</v>
      </c>
      <c r="B204" s="15">
        <v>381.6</v>
      </c>
      <c r="C204" s="3">
        <f t="shared" si="12"/>
        <v>4446.1440000000002</v>
      </c>
      <c r="D204" s="4">
        <f t="shared" si="13"/>
        <v>370.512</v>
      </c>
      <c r="E204" s="4">
        <f t="shared" si="14"/>
        <v>41.730548542575157</v>
      </c>
      <c r="H204">
        <f t="shared" si="15"/>
        <v>0</v>
      </c>
      <c r="I204" s="2"/>
    </row>
    <row r="205" spans="1:10" x14ac:dyDescent="0.25">
      <c r="A205" s="17">
        <v>44896</v>
      </c>
      <c r="B205" s="15">
        <v>381.024</v>
      </c>
      <c r="C205" s="3">
        <f t="shared" si="12"/>
        <v>4466.0160000000005</v>
      </c>
      <c r="D205" s="4">
        <f t="shared" si="13"/>
        <v>372.16800000000006</v>
      </c>
      <c r="E205" s="4">
        <f t="shared" si="14"/>
        <v>42.364011934817555</v>
      </c>
      <c r="H205">
        <f t="shared" si="15"/>
        <v>-0.57600000000002183</v>
      </c>
      <c r="I205" s="2">
        <f>E205-ROUNDDOWN(E199,0)</f>
        <v>4.3640119348175546</v>
      </c>
      <c r="J205" s="2">
        <f>ROUNDDOWN(I205,0)</f>
        <v>4</v>
      </c>
    </row>
    <row r="206" spans="1:10" x14ac:dyDescent="0.25">
      <c r="A206" s="49">
        <v>44927</v>
      </c>
      <c r="B206" s="15">
        <v>382.464</v>
      </c>
      <c r="C206" s="3">
        <f t="shared" si="12"/>
        <v>4488.192</v>
      </c>
      <c r="D206" s="4">
        <f t="shared" si="13"/>
        <v>374.01600000000002</v>
      </c>
      <c r="E206" s="4">
        <f t="shared" si="14"/>
        <v>43.070920358044525</v>
      </c>
      <c r="H206">
        <f t="shared" si="15"/>
        <v>1.4399999999999977</v>
      </c>
      <c r="I206" s="2"/>
      <c r="J206" s="2"/>
    </row>
    <row r="207" spans="1:10" x14ac:dyDescent="0.25">
      <c r="A207" s="1">
        <v>44958</v>
      </c>
      <c r="B207" s="15">
        <v>382.17599999999999</v>
      </c>
      <c r="C207" s="3">
        <f t="shared" si="12"/>
        <v>4510.3680000000004</v>
      </c>
      <c r="D207" s="4">
        <f t="shared" si="13"/>
        <v>375.86400000000003</v>
      </c>
      <c r="E207" s="4">
        <f t="shared" si="14"/>
        <v>43.777828781271523</v>
      </c>
      <c r="H207">
        <f t="shared" si="15"/>
        <v>-0.28800000000001091</v>
      </c>
      <c r="I207" s="2"/>
    </row>
    <row r="208" spans="1:10" x14ac:dyDescent="0.25">
      <c r="A208" s="1">
        <v>44986</v>
      </c>
      <c r="B208" s="15">
        <v>383.904</v>
      </c>
      <c r="C208" s="3">
        <f t="shared" si="12"/>
        <v>4531.3919999999998</v>
      </c>
      <c r="D208" s="4">
        <f t="shared" si="13"/>
        <v>377.61599999999999</v>
      </c>
      <c r="E208" s="4">
        <f t="shared" si="14"/>
        <v>44.448014689006179</v>
      </c>
      <c r="H208">
        <f t="shared" si="15"/>
        <v>1.7280000000000086</v>
      </c>
      <c r="I208" s="2"/>
    </row>
    <row r="209" spans="1:10" x14ac:dyDescent="0.25">
      <c r="A209" s="1">
        <v>45017</v>
      </c>
      <c r="B209" s="15">
        <v>386.49599999999998</v>
      </c>
      <c r="C209" s="3">
        <f t="shared" si="12"/>
        <v>4550.1120000000001</v>
      </c>
      <c r="D209" s="4">
        <f t="shared" si="13"/>
        <v>379.17599999999999</v>
      </c>
      <c r="E209" s="4">
        <f t="shared" si="14"/>
        <v>45.04475556575624</v>
      </c>
      <c r="H209">
        <f t="shared" si="15"/>
        <v>2.5919999999999845</v>
      </c>
      <c r="I209" s="2"/>
    </row>
    <row r="210" spans="1:10" x14ac:dyDescent="0.25">
      <c r="A210" s="1">
        <v>45047</v>
      </c>
      <c r="B210" s="15">
        <v>387.93599999999998</v>
      </c>
      <c r="C210" s="3">
        <f t="shared" si="12"/>
        <v>4566.5279999999993</v>
      </c>
      <c r="D210" s="4">
        <f t="shared" si="13"/>
        <v>380.54399999999993</v>
      </c>
      <c r="E210" s="4">
        <f t="shared" si="14"/>
        <v>45.568051411521651</v>
      </c>
      <c r="H210">
        <f t="shared" si="15"/>
        <v>1.4399999999999977</v>
      </c>
      <c r="I210" s="2"/>
    </row>
    <row r="211" spans="1:10" x14ac:dyDescent="0.25">
      <c r="A211" s="17">
        <v>45078</v>
      </c>
      <c r="B211" s="15">
        <v>392.83199999999999</v>
      </c>
      <c r="C211" s="3">
        <f t="shared" si="12"/>
        <v>4587.2640000000001</v>
      </c>
      <c r="D211" s="4">
        <f t="shared" si="13"/>
        <v>382.27199999999999</v>
      </c>
      <c r="E211" s="4">
        <f t="shared" si="14"/>
        <v>46.229056690383281</v>
      </c>
      <c r="H211">
        <f t="shared" si="15"/>
        <v>4.896000000000015</v>
      </c>
      <c r="I211" s="2">
        <f>E211-ROUNDDOWN(E205,0)</f>
        <v>4.2290566903832811</v>
      </c>
      <c r="J211" s="2">
        <f>ROUNDDOWN(I211,0)</f>
        <v>4</v>
      </c>
    </row>
    <row r="212" spans="1:10" x14ac:dyDescent="0.25">
      <c r="A212" s="49">
        <v>45108</v>
      </c>
      <c r="B212" s="15">
        <v>402.33600000000001</v>
      </c>
      <c r="C212" s="3">
        <f t="shared" si="12"/>
        <v>4615.4880000000003</v>
      </c>
      <c r="D212" s="4">
        <f t="shared" si="13"/>
        <v>384.62400000000002</v>
      </c>
      <c r="E212" s="4">
        <f t="shared" si="14"/>
        <v>47.128758319944922</v>
      </c>
      <c r="H212">
        <f t="shared" si="15"/>
        <v>9.5040000000000191</v>
      </c>
      <c r="I212" s="2"/>
      <c r="J212" s="2"/>
    </row>
    <row r="213" spans="1:10" x14ac:dyDescent="0.25">
      <c r="A213" s="1">
        <v>45139</v>
      </c>
      <c r="B213" s="15">
        <v>400.89600000000002</v>
      </c>
      <c r="C213" s="3">
        <f t="shared" si="12"/>
        <v>4641.4079999999994</v>
      </c>
      <c r="D213" s="4">
        <f t="shared" si="13"/>
        <v>386.78399999999993</v>
      </c>
      <c r="E213" s="4">
        <f t="shared" si="14"/>
        <v>47.955014918521883</v>
      </c>
      <c r="H213">
        <f t="shared" si="15"/>
        <v>-1.4399999999999977</v>
      </c>
      <c r="I213" s="2"/>
    </row>
    <row r="214" spans="1:10" x14ac:dyDescent="0.25">
      <c r="A214" s="1">
        <v>45170</v>
      </c>
      <c r="B214" s="15">
        <v>396</v>
      </c>
      <c r="C214" s="3">
        <f t="shared" si="12"/>
        <v>4659.2640000000001</v>
      </c>
      <c r="D214" s="4">
        <f t="shared" si="13"/>
        <v>388.27199999999999</v>
      </c>
      <c r="E214" s="4">
        <f t="shared" si="14"/>
        <v>48.524213908652733</v>
      </c>
      <c r="H214">
        <f t="shared" si="15"/>
        <v>-4.896000000000015</v>
      </c>
      <c r="I214" s="2"/>
    </row>
    <row r="215" spans="1:10" x14ac:dyDescent="0.25">
      <c r="A215" s="1">
        <v>45200</v>
      </c>
      <c r="B215" s="15">
        <v>398.59199999999998</v>
      </c>
      <c r="C215" s="3">
        <f t="shared" si="12"/>
        <v>4676.2560000000003</v>
      </c>
      <c r="D215" s="4">
        <f t="shared" si="13"/>
        <v>389.68800000000005</v>
      </c>
      <c r="E215" s="4">
        <f t="shared" si="14"/>
        <v>49.065871012164344</v>
      </c>
      <c r="H215">
        <f t="shared" si="15"/>
        <v>2.5919999999999845</v>
      </c>
      <c r="I215" s="2"/>
    </row>
    <row r="216" spans="1:10" x14ac:dyDescent="0.25">
      <c r="A216" s="1">
        <v>45231</v>
      </c>
      <c r="B216" s="15">
        <v>400.608</v>
      </c>
      <c r="C216" s="3">
        <f t="shared" si="12"/>
        <v>4695.2640000000001</v>
      </c>
      <c r="D216" s="4">
        <f t="shared" si="13"/>
        <v>391.27199999999999</v>
      </c>
      <c r="E216" s="4">
        <f t="shared" si="14"/>
        <v>49.671792517787452</v>
      </c>
      <c r="H216">
        <f t="shared" si="15"/>
        <v>2.0160000000000196</v>
      </c>
      <c r="I216" s="2"/>
    </row>
    <row r="217" spans="1:10" x14ac:dyDescent="0.25">
      <c r="A217" s="17">
        <v>45261</v>
      </c>
      <c r="B217" s="15">
        <v>399.74400000000003</v>
      </c>
      <c r="C217" s="3">
        <f t="shared" si="12"/>
        <v>4713.9840000000004</v>
      </c>
      <c r="D217" s="4">
        <f t="shared" si="13"/>
        <v>392.83200000000005</v>
      </c>
      <c r="E217" s="4">
        <f t="shared" si="14"/>
        <v>50.268533394537542</v>
      </c>
      <c r="H217">
        <f t="shared" si="15"/>
        <v>-0.8639999999999759</v>
      </c>
      <c r="I217" s="2">
        <f>E217-ROUNDDOWN(E211,0)</f>
        <v>4.2685333945375419</v>
      </c>
      <c r="J217" s="2">
        <f>ROUNDDOWN(I217,0)</f>
        <v>4</v>
      </c>
    </row>
    <row r="218" spans="1:10" x14ac:dyDescent="0.25">
      <c r="A218" s="49">
        <v>45292</v>
      </c>
      <c r="B218" s="15">
        <v>400.03199999999998</v>
      </c>
      <c r="C218" s="3">
        <f t="shared" si="12"/>
        <v>4731.5520000000006</v>
      </c>
      <c r="D218" s="4">
        <f t="shared" si="13"/>
        <v>394.29600000000005</v>
      </c>
      <c r="E218" s="4">
        <f t="shared" si="14"/>
        <v>50.828551755795282</v>
      </c>
      <c r="H218">
        <f t="shared" si="15"/>
        <v>0.28799999999995407</v>
      </c>
      <c r="I218" s="2"/>
      <c r="J218" s="2"/>
    </row>
    <row r="219" spans="1:10" x14ac:dyDescent="0.25">
      <c r="A219" s="1">
        <v>45323</v>
      </c>
      <c r="B219" s="15">
        <v>400.89600000000002</v>
      </c>
      <c r="C219" s="3">
        <f t="shared" si="12"/>
        <v>4750.2719999999999</v>
      </c>
      <c r="D219" s="4">
        <f t="shared" si="13"/>
        <v>395.85599999999999</v>
      </c>
      <c r="E219" s="4">
        <f t="shared" si="14"/>
        <v>51.425292632545315</v>
      </c>
      <c r="H219">
        <f t="shared" si="15"/>
        <v>0.86400000000003274</v>
      </c>
      <c r="I219" s="2"/>
    </row>
    <row r="220" spans="1:10" x14ac:dyDescent="0.25">
      <c r="A220" s="1">
        <v>45352</v>
      </c>
      <c r="B220" s="15">
        <v>400.03199999999998</v>
      </c>
      <c r="C220" s="3">
        <f t="shared" si="12"/>
        <v>4766.4000000000005</v>
      </c>
      <c r="D220" s="4">
        <f t="shared" si="13"/>
        <v>397.20000000000005</v>
      </c>
      <c r="E220" s="4">
        <f t="shared" si="14"/>
        <v>51.939407849437693</v>
      </c>
      <c r="H220">
        <f t="shared" si="15"/>
        <v>-0.86400000000003274</v>
      </c>
      <c r="I220" s="2"/>
    </row>
    <row r="221" spans="1:10" x14ac:dyDescent="0.25">
      <c r="A221" s="1">
        <v>45383</v>
      </c>
      <c r="B221" s="15">
        <v>401.47199999999998</v>
      </c>
      <c r="C221" s="3">
        <f t="shared" si="12"/>
        <v>4781.3760000000002</v>
      </c>
      <c r="D221" s="4">
        <f t="shared" si="13"/>
        <v>398.44800000000004</v>
      </c>
      <c r="E221" s="4">
        <f t="shared" si="14"/>
        <v>52.416800550837742</v>
      </c>
      <c r="H221">
        <f t="shared" si="15"/>
        <v>1.4399999999999977</v>
      </c>
      <c r="I221" s="2"/>
    </row>
    <row r="222" spans="1:10" x14ac:dyDescent="0.25">
      <c r="A222" s="1">
        <v>45413</v>
      </c>
      <c r="B222" s="15">
        <v>402.91199999999998</v>
      </c>
      <c r="C222" s="3">
        <f t="shared" si="12"/>
        <v>4796.3520000000008</v>
      </c>
      <c r="D222" s="4">
        <f t="shared" si="13"/>
        <v>399.69600000000008</v>
      </c>
      <c r="E222" s="4">
        <f t="shared" si="14"/>
        <v>52.894193252237798</v>
      </c>
      <c r="H222">
        <f t="shared" si="15"/>
        <v>1.4399999999999977</v>
      </c>
      <c r="I222" s="2"/>
    </row>
    <row r="223" spans="1:10" x14ac:dyDescent="0.25">
      <c r="A223" s="17">
        <v>45444</v>
      </c>
      <c r="B223" s="15">
        <v>407.23200000000003</v>
      </c>
      <c r="C223" s="3">
        <f t="shared" si="12"/>
        <v>4810.7520000000004</v>
      </c>
      <c r="D223" s="4">
        <f t="shared" si="13"/>
        <v>400.89600000000002</v>
      </c>
      <c r="E223" s="4">
        <f t="shared" si="14"/>
        <v>53.353224695891669</v>
      </c>
      <c r="H223">
        <f t="shared" si="15"/>
        <v>4.32000000000005</v>
      </c>
      <c r="I223" s="2">
        <f>E223-ROUNDDOWN(E217,0)</f>
        <v>3.3532246958916687</v>
      </c>
      <c r="J223" s="2">
        <f>ROUNDDOWN(I223,0)</f>
        <v>3</v>
      </c>
    </row>
    <row r="224" spans="1:10" x14ac:dyDescent="0.25">
      <c r="A224" s="49">
        <v>45474</v>
      </c>
      <c r="B224" s="15">
        <v>410.976</v>
      </c>
      <c r="C224" s="3">
        <f t="shared" si="12"/>
        <v>4819.3919999999998</v>
      </c>
      <c r="D224" s="4">
        <f t="shared" si="13"/>
        <v>401.61599999999999</v>
      </c>
      <c r="E224" s="4">
        <f t="shared" si="14"/>
        <v>53.628643562083987</v>
      </c>
      <c r="H224">
        <f t="shared" si="15"/>
        <v>3.7439999999999714</v>
      </c>
      <c r="I224" s="2"/>
      <c r="J224" s="2"/>
    </row>
    <row r="225" spans="1:10" x14ac:dyDescent="0.25">
      <c r="A225" s="1">
        <v>45505</v>
      </c>
      <c r="B225" s="15">
        <v>410.68799999999999</v>
      </c>
      <c r="C225" s="3">
        <f t="shared" si="12"/>
        <v>4829.1840000000002</v>
      </c>
      <c r="D225" s="4">
        <f t="shared" si="13"/>
        <v>402.43200000000002</v>
      </c>
      <c r="E225" s="4">
        <f t="shared" si="14"/>
        <v>53.940784943768648</v>
      </c>
      <c r="H225">
        <f t="shared" si="15"/>
        <v>-0.28800000000001091</v>
      </c>
      <c r="I225" s="2"/>
    </row>
    <row r="226" spans="1:10" x14ac:dyDescent="0.25">
      <c r="A226" s="1">
        <v>45536</v>
      </c>
      <c r="B226" s="15">
        <v>412.70400000000001</v>
      </c>
      <c r="C226" s="3">
        <f t="shared" si="12"/>
        <v>4845.8879999999999</v>
      </c>
      <c r="D226" s="4">
        <f t="shared" si="13"/>
        <v>403.82400000000001</v>
      </c>
      <c r="E226" s="4">
        <f t="shared" si="14"/>
        <v>54.473261418407162</v>
      </c>
      <c r="H226">
        <f t="shared" si="15"/>
        <v>2.0160000000000196</v>
      </c>
      <c r="I226" s="2"/>
    </row>
    <row r="227" spans="1:10" x14ac:dyDescent="0.25">
      <c r="A227" s="1">
        <v>45566</v>
      </c>
      <c r="B227" s="15">
        <v>416.16</v>
      </c>
      <c r="C227" s="3">
        <f t="shared" si="12"/>
        <v>4863.4559999999992</v>
      </c>
      <c r="D227" s="4">
        <f t="shared" si="13"/>
        <v>405.28799999999995</v>
      </c>
      <c r="E227" s="4">
        <f t="shared" si="14"/>
        <v>55.03327977966488</v>
      </c>
      <c r="H227">
        <f t="shared" si="15"/>
        <v>3.4560000000000173</v>
      </c>
      <c r="I227" s="2"/>
    </row>
    <row r="228" spans="1:10" x14ac:dyDescent="0.25">
      <c r="A228" s="1">
        <v>45597</v>
      </c>
      <c r="B228" s="15">
        <v>416.16</v>
      </c>
      <c r="C228" s="3">
        <f t="shared" si="12"/>
        <v>4879.0079999999998</v>
      </c>
      <c r="D228" s="4">
        <f t="shared" si="13"/>
        <v>406.584</v>
      </c>
      <c r="E228" s="4">
        <f t="shared" si="14"/>
        <v>55.529033738811094</v>
      </c>
      <c r="H228">
        <f t="shared" si="15"/>
        <v>0</v>
      </c>
      <c r="I228" s="2"/>
    </row>
    <row r="229" spans="1:10" x14ac:dyDescent="0.25">
      <c r="A229" s="17">
        <v>45627</v>
      </c>
      <c r="B229" s="15">
        <v>413.85599999999999</v>
      </c>
      <c r="C229" s="3">
        <f t="shared" ref="C229:C277" si="16">SUM(B218:B229)</f>
        <v>4893.12</v>
      </c>
      <c r="D229" s="4">
        <f t="shared" ref="D229:D277" si="17">C229/12</f>
        <v>407.76</v>
      </c>
      <c r="E229" s="4">
        <f t="shared" ref="E229:E277" si="18">((D229-261.42)/261.42)*100</f>
        <v>55.978884553591911</v>
      </c>
      <c r="H229">
        <f t="shared" si="15"/>
        <v>-2.3040000000000305</v>
      </c>
      <c r="I229" s="2">
        <f>E229-ROUNDDOWN(E223,0)</f>
        <v>2.9788845535919108</v>
      </c>
      <c r="J229" s="2">
        <f>ROUNDDOWN(I229,0)</f>
        <v>2</v>
      </c>
    </row>
    <row r="230" spans="1:10" x14ac:dyDescent="0.25">
      <c r="A230" s="49">
        <v>45658</v>
      </c>
      <c r="B230" s="15">
        <v>412.416</v>
      </c>
      <c r="C230" s="3">
        <f t="shared" si="16"/>
        <v>4905.5039999999999</v>
      </c>
      <c r="D230" s="4">
        <f t="shared" si="17"/>
        <v>408.79199999999997</v>
      </c>
      <c r="E230" s="4">
        <f t="shared" si="18"/>
        <v>56.373651595134241</v>
      </c>
      <c r="H230">
        <f t="shared" si="15"/>
        <v>-1.4399999999999977</v>
      </c>
      <c r="I230" s="2"/>
      <c r="J230" s="2"/>
    </row>
    <row r="231" spans="1:10" x14ac:dyDescent="0.25">
      <c r="A231" s="1">
        <v>45689</v>
      </c>
      <c r="B231" s="15">
        <v>411.26400000000001</v>
      </c>
      <c r="C231" s="3">
        <f t="shared" si="16"/>
        <v>4915.8720000000003</v>
      </c>
      <c r="D231" s="4">
        <f t="shared" si="17"/>
        <v>409.65600000000001</v>
      </c>
      <c r="E231" s="4">
        <f t="shared" si="18"/>
        <v>56.70415423456506</v>
      </c>
      <c r="H231">
        <f t="shared" si="15"/>
        <v>-1.1519999999999868</v>
      </c>
      <c r="I231" s="2"/>
    </row>
    <row r="232" spans="1:10" x14ac:dyDescent="0.25">
      <c r="A232" s="1">
        <v>45717</v>
      </c>
      <c r="B232" s="15">
        <v>411.84</v>
      </c>
      <c r="C232" s="3">
        <f t="shared" si="16"/>
        <v>4927.68</v>
      </c>
      <c r="D232" s="4">
        <f t="shared" si="17"/>
        <v>410.64000000000004</v>
      </c>
      <c r="E232" s="4">
        <f t="shared" si="18"/>
        <v>57.080560018361261</v>
      </c>
      <c r="H232">
        <f t="shared" si="15"/>
        <v>0.57599999999996498</v>
      </c>
      <c r="I232" s="2"/>
    </row>
    <row r="233" spans="1:10" x14ac:dyDescent="0.25">
      <c r="A233" s="1">
        <v>45748</v>
      </c>
      <c r="B233" s="15">
        <v>413.28</v>
      </c>
      <c r="C233" s="3">
        <f t="shared" si="16"/>
        <v>4939.4880000000003</v>
      </c>
      <c r="D233" s="4">
        <f t="shared" si="17"/>
        <v>411.62400000000002</v>
      </c>
      <c r="E233" s="4">
        <f t="shared" si="18"/>
        <v>57.456965802157441</v>
      </c>
      <c r="H233">
        <f t="shared" si="15"/>
        <v>1.4399999999999977</v>
      </c>
      <c r="I233" s="2"/>
    </row>
    <row r="234" spans="1:10" x14ac:dyDescent="0.25">
      <c r="A234" s="1">
        <v>45778</v>
      </c>
      <c r="B234" s="15">
        <v>414.72</v>
      </c>
      <c r="C234" s="3">
        <f t="shared" si="16"/>
        <v>4951.2960000000003</v>
      </c>
      <c r="D234" s="4">
        <f t="shared" si="17"/>
        <v>412.608</v>
      </c>
      <c r="E234" s="4">
        <f t="shared" si="18"/>
        <v>57.833371585953628</v>
      </c>
      <c r="H234">
        <f t="shared" si="15"/>
        <v>1.4400000000000546</v>
      </c>
      <c r="I234" s="2"/>
    </row>
    <row r="235" spans="1:10" x14ac:dyDescent="0.25">
      <c r="A235" s="17">
        <v>45809</v>
      </c>
      <c r="B235" s="15">
        <v>417.6</v>
      </c>
      <c r="C235" s="3">
        <f t="shared" si="16"/>
        <v>4961.6640000000007</v>
      </c>
      <c r="D235" s="4">
        <f t="shared" si="17"/>
        <v>413.47200000000004</v>
      </c>
      <c r="E235" s="4">
        <f t="shared" si="18"/>
        <v>58.163874225384447</v>
      </c>
      <c r="H235">
        <f t="shared" si="15"/>
        <v>2.8799999999999955</v>
      </c>
      <c r="I235" s="2">
        <f>E235-ROUNDDOWN(E229,0)</f>
        <v>3.163874225384447</v>
      </c>
      <c r="J235" s="2">
        <f>ROUNDDOWN(I235,0)</f>
        <v>3</v>
      </c>
    </row>
    <row r="236" spans="1:10" x14ac:dyDescent="0.25">
      <c r="A236" s="49">
        <v>45839</v>
      </c>
      <c r="B236" s="15">
        <v>421.92</v>
      </c>
      <c r="C236" s="3">
        <f t="shared" si="16"/>
        <v>4972.6080000000011</v>
      </c>
      <c r="D236" s="4">
        <f t="shared" si="17"/>
        <v>414.38400000000007</v>
      </c>
      <c r="E236" s="4">
        <f t="shared" si="18"/>
        <v>58.512738122561416</v>
      </c>
      <c r="H236">
        <f t="shared" si="15"/>
        <v>4.3199999999999932</v>
      </c>
      <c r="I236" s="2"/>
      <c r="J236" s="2"/>
    </row>
    <row r="237" spans="1:10" x14ac:dyDescent="0.25">
      <c r="A237" s="1">
        <v>45870</v>
      </c>
      <c r="B237" s="15">
        <v>423.64800000000002</v>
      </c>
      <c r="C237" s="3">
        <f t="shared" si="16"/>
        <v>4985.5680000000011</v>
      </c>
      <c r="D237" s="4">
        <f t="shared" si="17"/>
        <v>415.46400000000011</v>
      </c>
      <c r="E237" s="4">
        <f t="shared" si="18"/>
        <v>58.925866421849925</v>
      </c>
      <c r="H237">
        <f t="shared" si="15"/>
        <v>1.7280000000000086</v>
      </c>
      <c r="I237" s="2"/>
    </row>
    <row r="238" spans="1:10" x14ac:dyDescent="0.25">
      <c r="A238" s="1">
        <v>45901</v>
      </c>
      <c r="B238" s="15">
        <v>424.22399999999999</v>
      </c>
      <c r="C238" s="3">
        <f t="shared" si="16"/>
        <v>4997.0879999999997</v>
      </c>
      <c r="D238" s="4">
        <f t="shared" si="17"/>
        <v>416.42399999999998</v>
      </c>
      <c r="E238" s="4">
        <f t="shared" si="18"/>
        <v>59.293091576772994</v>
      </c>
      <c r="H238">
        <f t="shared" si="15"/>
        <v>0.57599999999996498</v>
      </c>
      <c r="I238" s="2"/>
    </row>
    <row r="239" spans="1:10" x14ac:dyDescent="0.25">
      <c r="A239" s="1">
        <v>45931</v>
      </c>
      <c r="B239" s="15">
        <v>425.37599999999998</v>
      </c>
      <c r="C239" s="3">
        <f t="shared" si="16"/>
        <v>5006.3040000000001</v>
      </c>
      <c r="D239" s="4">
        <f t="shared" si="17"/>
        <v>417.19200000000001</v>
      </c>
      <c r="E239" s="4">
        <f t="shared" si="18"/>
        <v>59.586871700711498</v>
      </c>
      <c r="H239">
        <f t="shared" si="15"/>
        <v>1.1519999999999868</v>
      </c>
      <c r="I239" s="2"/>
    </row>
    <row r="240" spans="1:10" x14ac:dyDescent="0.25">
      <c r="A240" s="1">
        <v>45962</v>
      </c>
      <c r="B240" s="15">
        <v>426.81599999999997</v>
      </c>
      <c r="C240" s="3">
        <f t="shared" si="16"/>
        <v>5016.96</v>
      </c>
      <c r="D240" s="4">
        <f t="shared" si="17"/>
        <v>418.08</v>
      </c>
      <c r="E240" s="4">
        <f t="shared" si="18"/>
        <v>59.926554969015363</v>
      </c>
      <c r="H240">
        <f t="shared" si="15"/>
        <v>1.4399999999999977</v>
      </c>
      <c r="I240" s="2"/>
    </row>
    <row r="241" spans="1:13" x14ac:dyDescent="0.25">
      <c r="A241" s="17">
        <v>45992</v>
      </c>
      <c r="B241" s="15">
        <v>426.81599999999997</v>
      </c>
      <c r="C241" s="3">
        <f t="shared" si="16"/>
        <v>5029.92</v>
      </c>
      <c r="D241" s="4">
        <f t="shared" si="17"/>
        <v>419.16</v>
      </c>
      <c r="E241" s="4">
        <f t="shared" si="18"/>
        <v>60.33968326830388</v>
      </c>
      <c r="H241">
        <f t="shared" si="15"/>
        <v>0</v>
      </c>
      <c r="I241" s="2">
        <f>E241-ROUNDDOWN(E235,0)</f>
        <v>2.3396832683038795</v>
      </c>
      <c r="J241" s="2">
        <f>ROUNDDOWN(I241,0)</f>
        <v>2</v>
      </c>
      <c r="M241" s="14" t="s">
        <v>1</v>
      </c>
    </row>
    <row r="242" spans="1:13" x14ac:dyDescent="0.25">
      <c r="A242" s="49">
        <v>46023</v>
      </c>
      <c r="B242" s="15">
        <v>427.96800000000002</v>
      </c>
      <c r="C242" s="3">
        <f t="shared" si="16"/>
        <v>5045.4719999999998</v>
      </c>
      <c r="D242" s="4">
        <f t="shared" si="17"/>
        <v>420.45599999999996</v>
      </c>
      <c r="E242" s="4">
        <f t="shared" si="18"/>
        <v>60.835437227450051</v>
      </c>
      <c r="H242">
        <f t="shared" si="15"/>
        <v>1.1520000000000437</v>
      </c>
      <c r="I242" s="2"/>
      <c r="J242" s="2"/>
    </row>
    <row r="243" spans="1:13" x14ac:dyDescent="0.25">
      <c r="A243" s="1">
        <v>46054</v>
      </c>
      <c r="B243" s="16">
        <f t="shared" ref="B241:B271" si="19">B242</f>
        <v>427.96800000000002</v>
      </c>
      <c r="C243" s="3">
        <f t="shared" si="16"/>
        <v>5062.1759999999995</v>
      </c>
      <c r="D243" s="4">
        <f t="shared" si="17"/>
        <v>421.84799999999996</v>
      </c>
      <c r="E243" s="4">
        <f t="shared" si="18"/>
        <v>61.367913702088558</v>
      </c>
      <c r="H243">
        <f t="shared" si="15"/>
        <v>0</v>
      </c>
      <c r="I243" s="2"/>
    </row>
    <row r="244" spans="1:13" x14ac:dyDescent="0.25">
      <c r="A244" s="1">
        <v>46082</v>
      </c>
      <c r="B244" s="16">
        <f t="shared" si="19"/>
        <v>427.96800000000002</v>
      </c>
      <c r="C244" s="3">
        <f t="shared" si="16"/>
        <v>5078.3039999999992</v>
      </c>
      <c r="D244" s="4">
        <f t="shared" si="17"/>
        <v>423.19199999999995</v>
      </c>
      <c r="E244" s="4">
        <f t="shared" si="18"/>
        <v>61.882028918980922</v>
      </c>
      <c r="H244">
        <f t="shared" si="15"/>
        <v>0</v>
      </c>
      <c r="I244" s="2"/>
    </row>
    <row r="245" spans="1:13" x14ac:dyDescent="0.25">
      <c r="A245" s="1">
        <v>46113</v>
      </c>
      <c r="B245" s="16">
        <f t="shared" si="19"/>
        <v>427.96800000000002</v>
      </c>
      <c r="C245" s="3">
        <f t="shared" si="16"/>
        <v>5092.9919999999993</v>
      </c>
      <c r="D245" s="4">
        <f t="shared" si="17"/>
        <v>424.41599999999994</v>
      </c>
      <c r="E245" s="4">
        <f t="shared" si="18"/>
        <v>62.350240991507889</v>
      </c>
      <c r="H245">
        <f t="shared" si="15"/>
        <v>0</v>
      </c>
      <c r="I245" s="2"/>
    </row>
    <row r="246" spans="1:13" x14ac:dyDescent="0.25">
      <c r="A246" s="1">
        <v>46143</v>
      </c>
      <c r="B246" s="16">
        <f t="shared" si="19"/>
        <v>427.96800000000002</v>
      </c>
      <c r="C246" s="3">
        <f t="shared" si="16"/>
        <v>5106.2399999999989</v>
      </c>
      <c r="D246" s="4">
        <f t="shared" si="17"/>
        <v>425.51999999999992</v>
      </c>
      <c r="E246" s="4">
        <f t="shared" si="18"/>
        <v>62.772549919669466</v>
      </c>
      <c r="H246">
        <f t="shared" si="15"/>
        <v>0</v>
      </c>
      <c r="I246" s="2"/>
    </row>
    <row r="247" spans="1:13" x14ac:dyDescent="0.25">
      <c r="A247" s="17">
        <v>46174</v>
      </c>
      <c r="B247" s="16">
        <f t="shared" si="19"/>
        <v>427.96800000000002</v>
      </c>
      <c r="C247" s="3">
        <f t="shared" si="16"/>
        <v>5116.6079999999993</v>
      </c>
      <c r="D247" s="4">
        <f t="shared" si="17"/>
        <v>426.38399999999996</v>
      </c>
      <c r="E247" s="4">
        <f t="shared" si="18"/>
        <v>63.10305255910027</v>
      </c>
      <c r="H247">
        <f t="shared" si="15"/>
        <v>0</v>
      </c>
      <c r="I247" s="2">
        <f>E247-ROUNDDOWN(E241,0)</f>
        <v>3.10305255910027</v>
      </c>
      <c r="J247" s="2">
        <f>ROUNDDOWN(I247,0)</f>
        <v>3</v>
      </c>
    </row>
    <row r="248" spans="1:13" x14ac:dyDescent="0.25">
      <c r="A248" s="49">
        <v>46204</v>
      </c>
      <c r="B248" s="16">
        <f t="shared" si="19"/>
        <v>427.96800000000002</v>
      </c>
      <c r="C248" s="3">
        <f t="shared" si="16"/>
        <v>5122.655999999999</v>
      </c>
      <c r="D248" s="4">
        <f t="shared" si="17"/>
        <v>426.88799999999992</v>
      </c>
      <c r="E248" s="4">
        <f t="shared" si="18"/>
        <v>63.29584576543489</v>
      </c>
      <c r="H248">
        <f t="shared" si="15"/>
        <v>0</v>
      </c>
      <c r="I248" s="2"/>
      <c r="J248" s="2"/>
    </row>
    <row r="249" spans="1:13" x14ac:dyDescent="0.25">
      <c r="A249" s="1">
        <v>46235</v>
      </c>
      <c r="B249" s="16">
        <f t="shared" si="19"/>
        <v>427.96800000000002</v>
      </c>
      <c r="C249" s="3">
        <f t="shared" si="16"/>
        <v>5126.9759999999987</v>
      </c>
      <c r="D249" s="4">
        <f t="shared" si="17"/>
        <v>427.24799999999988</v>
      </c>
      <c r="E249" s="4">
        <f t="shared" si="18"/>
        <v>63.433555198531046</v>
      </c>
      <c r="H249">
        <f t="shared" si="15"/>
        <v>0</v>
      </c>
      <c r="I249" s="2"/>
    </row>
    <row r="250" spans="1:13" x14ac:dyDescent="0.25">
      <c r="A250" s="1">
        <v>46266</v>
      </c>
      <c r="B250" s="16">
        <f t="shared" si="19"/>
        <v>427.96800000000002</v>
      </c>
      <c r="C250" s="3">
        <f t="shared" si="16"/>
        <v>5130.7199999999993</v>
      </c>
      <c r="D250" s="4">
        <f t="shared" si="17"/>
        <v>427.55999999999995</v>
      </c>
      <c r="E250" s="4">
        <f t="shared" si="18"/>
        <v>63.552903373881072</v>
      </c>
      <c r="H250">
        <f t="shared" si="15"/>
        <v>0</v>
      </c>
      <c r="I250" s="2"/>
    </row>
    <row r="251" spans="1:13" x14ac:dyDescent="0.25">
      <c r="A251" s="1">
        <v>46296</v>
      </c>
      <c r="B251" s="16">
        <f t="shared" si="19"/>
        <v>427.96800000000002</v>
      </c>
      <c r="C251" s="3">
        <f t="shared" si="16"/>
        <v>5133.311999999999</v>
      </c>
      <c r="D251" s="4">
        <f t="shared" si="17"/>
        <v>427.7759999999999</v>
      </c>
      <c r="E251" s="4">
        <f t="shared" si="18"/>
        <v>63.635529033738756</v>
      </c>
      <c r="H251">
        <f t="shared" si="15"/>
        <v>0</v>
      </c>
      <c r="I251" s="2"/>
    </row>
    <row r="252" spans="1:13" x14ac:dyDescent="0.25">
      <c r="A252" s="1">
        <v>46327</v>
      </c>
      <c r="B252" s="16">
        <f t="shared" si="19"/>
        <v>427.96800000000002</v>
      </c>
      <c r="C252" s="3">
        <f t="shared" si="16"/>
        <v>5134.463999999999</v>
      </c>
      <c r="D252" s="4">
        <f t="shared" si="17"/>
        <v>427.8719999999999</v>
      </c>
      <c r="E252" s="4">
        <f t="shared" si="18"/>
        <v>63.672251549231071</v>
      </c>
      <c r="H252">
        <f t="shared" si="15"/>
        <v>0</v>
      </c>
      <c r="I252" s="2"/>
    </row>
    <row r="253" spans="1:13" x14ac:dyDescent="0.25">
      <c r="A253" s="17">
        <v>46357</v>
      </c>
      <c r="B253" s="16">
        <f t="shared" si="19"/>
        <v>427.96800000000002</v>
      </c>
      <c r="C253" s="3">
        <f t="shared" si="16"/>
        <v>5135.6159999999991</v>
      </c>
      <c r="D253" s="4">
        <f t="shared" si="17"/>
        <v>427.9679999999999</v>
      </c>
      <c r="E253" s="4">
        <f t="shared" si="18"/>
        <v>63.708974064723392</v>
      </c>
      <c r="H253">
        <f t="shared" si="15"/>
        <v>0</v>
      </c>
      <c r="I253" s="2">
        <f>E253-ROUNDDOWN(E247,0)</f>
        <v>0.70897406472339242</v>
      </c>
      <c r="J253" s="2">
        <f>ROUNDDOWN(I253,0)</f>
        <v>0</v>
      </c>
    </row>
    <row r="254" spans="1:13" x14ac:dyDescent="0.25">
      <c r="A254" s="49">
        <v>46388</v>
      </c>
      <c r="B254" s="16">
        <f t="shared" si="19"/>
        <v>427.96800000000002</v>
      </c>
      <c r="C254" s="3">
        <f t="shared" si="16"/>
        <v>5135.6159999999991</v>
      </c>
      <c r="D254" s="4">
        <f t="shared" si="17"/>
        <v>427.9679999999999</v>
      </c>
      <c r="E254" s="4">
        <f t="shared" si="18"/>
        <v>63.708974064723392</v>
      </c>
      <c r="H254">
        <f t="shared" si="15"/>
        <v>0</v>
      </c>
      <c r="I254" s="2"/>
      <c r="J254" s="2"/>
    </row>
    <row r="255" spans="1:13" x14ac:dyDescent="0.25">
      <c r="A255" s="1">
        <v>46419</v>
      </c>
      <c r="B255" s="16">
        <f t="shared" si="19"/>
        <v>427.96800000000002</v>
      </c>
      <c r="C255" s="3">
        <f t="shared" si="16"/>
        <v>5135.6159999999991</v>
      </c>
      <c r="D255" s="4">
        <f t="shared" si="17"/>
        <v>427.9679999999999</v>
      </c>
      <c r="E255" s="4">
        <f t="shared" si="18"/>
        <v>63.708974064723392</v>
      </c>
      <c r="H255">
        <f t="shared" si="15"/>
        <v>0</v>
      </c>
      <c r="I255" s="2"/>
    </row>
    <row r="256" spans="1:13" x14ac:dyDescent="0.25">
      <c r="A256" s="1">
        <v>46447</v>
      </c>
      <c r="B256" s="16">
        <f t="shared" si="19"/>
        <v>427.96800000000002</v>
      </c>
      <c r="C256" s="3">
        <f t="shared" si="16"/>
        <v>5135.6159999999991</v>
      </c>
      <c r="D256" s="4">
        <f t="shared" si="17"/>
        <v>427.9679999999999</v>
      </c>
      <c r="E256" s="4">
        <f t="shared" si="18"/>
        <v>63.708974064723392</v>
      </c>
      <c r="H256">
        <f t="shared" si="15"/>
        <v>0</v>
      </c>
      <c r="I256" s="2"/>
    </row>
    <row r="257" spans="1:10" x14ac:dyDescent="0.25">
      <c r="A257" s="1">
        <v>46478</v>
      </c>
      <c r="B257" s="16">
        <f t="shared" si="19"/>
        <v>427.96800000000002</v>
      </c>
      <c r="C257" s="3">
        <f t="shared" si="16"/>
        <v>5135.6159999999991</v>
      </c>
      <c r="D257" s="4">
        <f t="shared" si="17"/>
        <v>427.9679999999999</v>
      </c>
      <c r="E257" s="4">
        <f t="shared" si="18"/>
        <v>63.708974064723392</v>
      </c>
      <c r="H257">
        <f t="shared" si="15"/>
        <v>0</v>
      </c>
      <c r="I257" s="2"/>
    </row>
    <row r="258" spans="1:10" x14ac:dyDescent="0.25">
      <c r="A258" s="1">
        <v>46508</v>
      </c>
      <c r="B258" s="16">
        <f t="shared" si="19"/>
        <v>427.96800000000002</v>
      </c>
      <c r="C258" s="3">
        <f t="shared" si="16"/>
        <v>5135.6159999999991</v>
      </c>
      <c r="D258" s="4">
        <f t="shared" si="17"/>
        <v>427.9679999999999</v>
      </c>
      <c r="E258" s="4">
        <f t="shared" si="18"/>
        <v>63.708974064723392</v>
      </c>
      <c r="H258">
        <f t="shared" si="15"/>
        <v>0</v>
      </c>
      <c r="I258" s="2"/>
    </row>
    <row r="259" spans="1:10" x14ac:dyDescent="0.25">
      <c r="A259" s="17">
        <v>46539</v>
      </c>
      <c r="B259" s="16">
        <f t="shared" si="19"/>
        <v>427.96800000000002</v>
      </c>
      <c r="C259" s="3">
        <f t="shared" si="16"/>
        <v>5135.6159999999991</v>
      </c>
      <c r="D259" s="4">
        <f t="shared" si="17"/>
        <v>427.9679999999999</v>
      </c>
      <c r="E259" s="4">
        <f t="shared" si="18"/>
        <v>63.708974064723392</v>
      </c>
      <c r="H259">
        <f t="shared" si="15"/>
        <v>0</v>
      </c>
      <c r="I259" s="2">
        <f>E259-ROUNDDOWN(E253,0)</f>
        <v>0.70897406472339242</v>
      </c>
      <c r="J259" s="2">
        <f>ROUNDDOWN(I259,0)</f>
        <v>0</v>
      </c>
    </row>
    <row r="260" spans="1:10" x14ac:dyDescent="0.25">
      <c r="A260" s="49">
        <v>46569</v>
      </c>
      <c r="B260" s="16">
        <f t="shared" si="19"/>
        <v>427.96800000000002</v>
      </c>
      <c r="C260" s="3">
        <f t="shared" si="16"/>
        <v>5135.6159999999991</v>
      </c>
      <c r="D260" s="4">
        <f t="shared" si="17"/>
        <v>427.9679999999999</v>
      </c>
      <c r="E260" s="4">
        <f t="shared" si="18"/>
        <v>63.708974064723392</v>
      </c>
      <c r="H260">
        <f t="shared" si="15"/>
        <v>0</v>
      </c>
      <c r="I260" s="2"/>
      <c r="J260" s="2"/>
    </row>
    <row r="261" spans="1:10" x14ac:dyDescent="0.25">
      <c r="A261" s="1">
        <v>46600</v>
      </c>
      <c r="B261" s="16">
        <f t="shared" si="19"/>
        <v>427.96800000000002</v>
      </c>
      <c r="C261" s="3">
        <f t="shared" si="16"/>
        <v>5135.6159999999991</v>
      </c>
      <c r="D261" s="4">
        <f t="shared" si="17"/>
        <v>427.9679999999999</v>
      </c>
      <c r="E261" s="4">
        <f t="shared" si="18"/>
        <v>63.708974064723392</v>
      </c>
      <c r="H261">
        <f t="shared" si="15"/>
        <v>0</v>
      </c>
      <c r="I261" s="2"/>
    </row>
    <row r="262" spans="1:10" x14ac:dyDescent="0.25">
      <c r="A262" s="1">
        <v>46631</v>
      </c>
      <c r="B262" s="16">
        <f t="shared" si="19"/>
        <v>427.96800000000002</v>
      </c>
      <c r="C262" s="3">
        <f t="shared" si="16"/>
        <v>5135.6159999999991</v>
      </c>
      <c r="D262" s="4">
        <f t="shared" si="17"/>
        <v>427.9679999999999</v>
      </c>
      <c r="E262" s="4">
        <f t="shared" si="18"/>
        <v>63.708974064723392</v>
      </c>
      <c r="H262">
        <f t="shared" si="15"/>
        <v>0</v>
      </c>
      <c r="I262" s="2"/>
    </row>
    <row r="263" spans="1:10" x14ac:dyDescent="0.25">
      <c r="A263" s="1">
        <v>46661</v>
      </c>
      <c r="B263" s="16">
        <f t="shared" si="19"/>
        <v>427.96800000000002</v>
      </c>
      <c r="C263" s="3">
        <f t="shared" si="16"/>
        <v>5135.6159999999991</v>
      </c>
      <c r="D263" s="4">
        <f t="shared" si="17"/>
        <v>427.9679999999999</v>
      </c>
      <c r="E263" s="4">
        <f t="shared" si="18"/>
        <v>63.708974064723392</v>
      </c>
      <c r="H263">
        <f t="shared" si="15"/>
        <v>0</v>
      </c>
      <c r="I263" s="2"/>
    </row>
    <row r="264" spans="1:10" x14ac:dyDescent="0.25">
      <c r="A264" s="1">
        <v>46692</v>
      </c>
      <c r="B264" s="16">
        <f t="shared" si="19"/>
        <v>427.96800000000002</v>
      </c>
      <c r="C264" s="3">
        <f t="shared" si="16"/>
        <v>5135.6159999999991</v>
      </c>
      <c r="D264" s="4">
        <f t="shared" si="17"/>
        <v>427.9679999999999</v>
      </c>
      <c r="E264" s="4">
        <f t="shared" si="18"/>
        <v>63.708974064723392</v>
      </c>
      <c r="H264">
        <f t="shared" ref="H264:H277" si="20">B264-B263</f>
        <v>0</v>
      </c>
      <c r="I264" s="2"/>
    </row>
    <row r="265" spans="1:10" x14ac:dyDescent="0.25">
      <c r="A265" s="17">
        <v>46722</v>
      </c>
      <c r="B265" s="16">
        <f t="shared" si="19"/>
        <v>427.96800000000002</v>
      </c>
      <c r="C265" s="3">
        <f t="shared" si="16"/>
        <v>5135.6159999999991</v>
      </c>
      <c r="D265" s="4">
        <f t="shared" si="17"/>
        <v>427.9679999999999</v>
      </c>
      <c r="E265" s="4">
        <f t="shared" si="18"/>
        <v>63.708974064723392</v>
      </c>
      <c r="H265">
        <f t="shared" si="20"/>
        <v>0</v>
      </c>
      <c r="I265" s="2">
        <f>E265-ROUNDDOWN(E259,0)</f>
        <v>0.70897406472339242</v>
      </c>
      <c r="J265" s="2">
        <f>ROUNDDOWN(I265,0)</f>
        <v>0</v>
      </c>
    </row>
    <row r="266" spans="1:10" x14ac:dyDescent="0.25">
      <c r="A266" s="49">
        <v>46753</v>
      </c>
      <c r="B266" s="16">
        <f t="shared" si="19"/>
        <v>427.96800000000002</v>
      </c>
      <c r="C266" s="3">
        <f t="shared" si="16"/>
        <v>5135.6159999999991</v>
      </c>
      <c r="D266" s="4">
        <f t="shared" si="17"/>
        <v>427.9679999999999</v>
      </c>
      <c r="E266" s="4">
        <f t="shared" si="18"/>
        <v>63.708974064723392</v>
      </c>
      <c r="H266">
        <f t="shared" si="20"/>
        <v>0</v>
      </c>
      <c r="I266" s="2"/>
      <c r="J266" s="2"/>
    </row>
    <row r="267" spans="1:10" x14ac:dyDescent="0.25">
      <c r="A267" s="1">
        <v>46784</v>
      </c>
      <c r="B267" s="16">
        <f t="shared" si="19"/>
        <v>427.96800000000002</v>
      </c>
      <c r="C267" s="3">
        <f t="shared" si="16"/>
        <v>5135.6159999999991</v>
      </c>
      <c r="D267" s="4">
        <f t="shared" si="17"/>
        <v>427.9679999999999</v>
      </c>
      <c r="E267" s="4">
        <f t="shared" si="18"/>
        <v>63.708974064723392</v>
      </c>
      <c r="H267">
        <f t="shared" si="20"/>
        <v>0</v>
      </c>
      <c r="I267" s="2"/>
    </row>
    <row r="268" spans="1:10" x14ac:dyDescent="0.25">
      <c r="A268" s="1">
        <v>46813</v>
      </c>
      <c r="B268" s="16">
        <f t="shared" si="19"/>
        <v>427.96800000000002</v>
      </c>
      <c r="C268" s="3">
        <f t="shared" si="16"/>
        <v>5135.6159999999991</v>
      </c>
      <c r="D268" s="4">
        <f t="shared" si="17"/>
        <v>427.9679999999999</v>
      </c>
      <c r="E268" s="4">
        <f t="shared" si="18"/>
        <v>63.708974064723392</v>
      </c>
      <c r="H268">
        <f t="shared" si="20"/>
        <v>0</v>
      </c>
      <c r="I268" s="2"/>
    </row>
    <row r="269" spans="1:10" x14ac:dyDescent="0.25">
      <c r="A269" s="1">
        <v>46844</v>
      </c>
      <c r="B269" s="16">
        <f t="shared" si="19"/>
        <v>427.96800000000002</v>
      </c>
      <c r="C269" s="3">
        <f t="shared" si="16"/>
        <v>5135.6159999999991</v>
      </c>
      <c r="D269" s="4">
        <f t="shared" si="17"/>
        <v>427.9679999999999</v>
      </c>
      <c r="E269" s="4">
        <f t="shared" si="18"/>
        <v>63.708974064723392</v>
      </c>
      <c r="H269">
        <f t="shared" si="20"/>
        <v>0</v>
      </c>
      <c r="I269" s="2"/>
    </row>
    <row r="270" spans="1:10" x14ac:dyDescent="0.25">
      <c r="A270" s="1">
        <v>46874</v>
      </c>
      <c r="B270" s="16">
        <f t="shared" si="19"/>
        <v>427.96800000000002</v>
      </c>
      <c r="C270" s="3">
        <f t="shared" si="16"/>
        <v>5135.6159999999991</v>
      </c>
      <c r="D270" s="4">
        <f t="shared" si="17"/>
        <v>427.9679999999999</v>
      </c>
      <c r="E270" s="4">
        <f t="shared" si="18"/>
        <v>63.708974064723392</v>
      </c>
      <c r="H270">
        <f t="shared" si="20"/>
        <v>0</v>
      </c>
      <c r="I270" s="2"/>
    </row>
    <row r="271" spans="1:10" x14ac:dyDescent="0.25">
      <c r="A271" s="17">
        <v>46905</v>
      </c>
      <c r="B271" s="16">
        <f t="shared" si="19"/>
        <v>427.96800000000002</v>
      </c>
      <c r="C271" s="3">
        <f t="shared" si="16"/>
        <v>5135.6159999999991</v>
      </c>
      <c r="D271" s="4">
        <f t="shared" si="17"/>
        <v>427.9679999999999</v>
      </c>
      <c r="E271" s="4">
        <f t="shared" si="18"/>
        <v>63.708974064723392</v>
      </c>
      <c r="H271">
        <f t="shared" si="20"/>
        <v>0</v>
      </c>
      <c r="I271" s="2">
        <f>E271-ROUNDDOWN(E265,0)</f>
        <v>0.70897406472339242</v>
      </c>
      <c r="J271" s="2">
        <f>ROUNDDOWN(I271,0)</f>
        <v>0</v>
      </c>
    </row>
    <row r="272" spans="1:10" x14ac:dyDescent="0.25">
      <c r="A272" s="49">
        <v>46935</v>
      </c>
      <c r="B272" s="16">
        <f t="shared" ref="B272:B277" si="21">B271</f>
        <v>427.96800000000002</v>
      </c>
      <c r="C272" s="3">
        <f t="shared" si="16"/>
        <v>5135.6159999999991</v>
      </c>
      <c r="D272" s="4">
        <f t="shared" si="17"/>
        <v>427.9679999999999</v>
      </c>
      <c r="E272" s="4">
        <f t="shared" si="18"/>
        <v>63.708974064723392</v>
      </c>
      <c r="H272">
        <f t="shared" si="20"/>
        <v>0</v>
      </c>
      <c r="I272" s="2"/>
      <c r="J272" s="2"/>
    </row>
    <row r="273" spans="1:10" x14ac:dyDescent="0.25">
      <c r="A273" s="1">
        <v>46966</v>
      </c>
      <c r="B273" s="16">
        <f t="shared" si="21"/>
        <v>427.96800000000002</v>
      </c>
      <c r="C273" s="3">
        <f t="shared" si="16"/>
        <v>5135.6159999999991</v>
      </c>
      <c r="D273" s="4">
        <f t="shared" si="17"/>
        <v>427.9679999999999</v>
      </c>
      <c r="E273" s="4">
        <f t="shared" si="18"/>
        <v>63.708974064723392</v>
      </c>
      <c r="H273">
        <f t="shared" si="20"/>
        <v>0</v>
      </c>
      <c r="I273" s="2"/>
    </row>
    <row r="274" spans="1:10" x14ac:dyDescent="0.25">
      <c r="A274" s="1">
        <v>46997</v>
      </c>
      <c r="B274" s="16">
        <f t="shared" si="21"/>
        <v>427.96800000000002</v>
      </c>
      <c r="C274" s="3">
        <f t="shared" si="16"/>
        <v>5135.6159999999991</v>
      </c>
      <c r="D274" s="4">
        <f t="shared" si="17"/>
        <v>427.9679999999999</v>
      </c>
      <c r="E274" s="4">
        <f t="shared" si="18"/>
        <v>63.708974064723392</v>
      </c>
      <c r="H274">
        <f t="shared" si="20"/>
        <v>0</v>
      </c>
      <c r="I274" s="2"/>
    </row>
    <row r="275" spans="1:10" x14ac:dyDescent="0.25">
      <c r="A275" s="1">
        <v>47027</v>
      </c>
      <c r="B275" s="16">
        <f t="shared" si="21"/>
        <v>427.96800000000002</v>
      </c>
      <c r="C275" s="3">
        <f t="shared" si="16"/>
        <v>5135.6159999999991</v>
      </c>
      <c r="D275" s="4">
        <f t="shared" si="17"/>
        <v>427.9679999999999</v>
      </c>
      <c r="E275" s="4">
        <f t="shared" si="18"/>
        <v>63.708974064723392</v>
      </c>
      <c r="H275">
        <f t="shared" si="20"/>
        <v>0</v>
      </c>
      <c r="I275" s="2"/>
    </row>
    <row r="276" spans="1:10" x14ac:dyDescent="0.25">
      <c r="A276" s="1">
        <v>47058</v>
      </c>
      <c r="B276" s="16">
        <f t="shared" si="21"/>
        <v>427.96800000000002</v>
      </c>
      <c r="C276" s="3">
        <f t="shared" si="16"/>
        <v>5135.6159999999991</v>
      </c>
      <c r="D276" s="4">
        <f t="shared" si="17"/>
        <v>427.9679999999999</v>
      </c>
      <c r="E276" s="4">
        <f t="shared" si="18"/>
        <v>63.708974064723392</v>
      </c>
      <c r="H276">
        <f t="shared" si="20"/>
        <v>0</v>
      </c>
      <c r="I276" s="2"/>
    </row>
    <row r="277" spans="1:10" x14ac:dyDescent="0.25">
      <c r="A277" s="17">
        <v>47088</v>
      </c>
      <c r="B277" s="16">
        <f t="shared" si="21"/>
        <v>427.96800000000002</v>
      </c>
      <c r="C277" s="3">
        <f t="shared" si="16"/>
        <v>5135.6159999999991</v>
      </c>
      <c r="D277" s="4">
        <f t="shared" si="17"/>
        <v>427.9679999999999</v>
      </c>
      <c r="E277" s="4">
        <f t="shared" si="18"/>
        <v>63.708974064723392</v>
      </c>
      <c r="H277">
        <f t="shared" si="20"/>
        <v>0</v>
      </c>
      <c r="I277" s="2">
        <f>E277-ROUNDDOWN(E271,0)</f>
        <v>0.70897406472339242</v>
      </c>
      <c r="J277" s="2">
        <f>ROUNDDOWN(I277,0)</f>
        <v>0</v>
      </c>
    </row>
  </sheetData>
  <hyperlinks>
    <hyperlink ref="E1" r:id="rId1" xr:uid="{90D0E2FF-C2B5-45EC-A9DF-9C6656F66086}"/>
    <hyperlink ref="M241" r:id="rId2" xr:uid="{85A0FF34-ED58-4127-89D2-39E9271071EB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330E-9CF2-4D0E-81E3-5EBEFAC1B431}">
  <dimension ref="A1:H78"/>
  <sheetViews>
    <sheetView topLeftCell="A49" workbookViewId="0">
      <selection activeCell="E65" sqref="E65"/>
    </sheetView>
  </sheetViews>
  <sheetFormatPr defaultRowHeight="15" x14ac:dyDescent="0.25"/>
  <sheetData>
    <row r="1" spans="1:6" x14ac:dyDescent="0.25">
      <c r="E1" s="14" t="s">
        <v>0</v>
      </c>
    </row>
    <row r="2" spans="1:6" ht="16.5" thickBot="1" x14ac:dyDescent="0.3">
      <c r="A2" s="7">
        <v>44075</v>
      </c>
      <c r="B2" s="6">
        <v>118.1</v>
      </c>
      <c r="C2" s="3"/>
      <c r="D2" s="4"/>
      <c r="E2" s="4"/>
    </row>
    <row r="3" spans="1:6" ht="16.5" thickBot="1" x14ac:dyDescent="0.3">
      <c r="A3" s="8">
        <v>44105</v>
      </c>
      <c r="B3" s="6">
        <v>119.5</v>
      </c>
      <c r="C3" s="3"/>
      <c r="D3" s="4"/>
      <c r="E3" s="18" t="s">
        <v>40</v>
      </c>
    </row>
    <row r="4" spans="1:6" ht="16.5" thickBot="1" x14ac:dyDescent="0.3">
      <c r="A4" s="8">
        <v>44136</v>
      </c>
      <c r="B4" s="6">
        <v>119.9</v>
      </c>
      <c r="C4" s="3"/>
      <c r="D4" s="4"/>
      <c r="E4" s="4"/>
    </row>
    <row r="5" spans="1:6" ht="16.5" thickBot="1" x14ac:dyDescent="0.3">
      <c r="A5" s="9">
        <v>44166</v>
      </c>
      <c r="B5" s="6">
        <v>118.8</v>
      </c>
      <c r="C5" s="3"/>
      <c r="D5" s="4"/>
      <c r="E5" s="4"/>
    </row>
    <row r="6" spans="1:6" ht="15.75" thickBot="1" x14ac:dyDescent="0.3">
      <c r="A6" s="10">
        <v>44197</v>
      </c>
      <c r="B6" s="11">
        <v>118.2</v>
      </c>
      <c r="C6" s="3"/>
      <c r="D6" s="4"/>
      <c r="E6" s="4"/>
    </row>
    <row r="7" spans="1:6" ht="16.5" thickBot="1" x14ac:dyDescent="0.3">
      <c r="A7" s="12">
        <v>44228</v>
      </c>
      <c r="B7" s="11">
        <v>119</v>
      </c>
      <c r="C7" s="3"/>
      <c r="D7" s="4"/>
      <c r="E7" s="4"/>
    </row>
    <row r="8" spans="1:6" ht="16.5" thickBot="1" x14ac:dyDescent="0.3">
      <c r="A8" s="12">
        <v>44256</v>
      </c>
      <c r="B8" s="11">
        <v>119.6</v>
      </c>
      <c r="C8" s="3"/>
      <c r="D8" s="4"/>
      <c r="E8" s="4"/>
    </row>
    <row r="9" spans="1:6" ht="16.5" thickBot="1" x14ac:dyDescent="0.3">
      <c r="A9" s="12">
        <v>44287</v>
      </c>
      <c r="B9" s="11">
        <v>120.1</v>
      </c>
      <c r="C9" s="3"/>
      <c r="D9" s="4"/>
      <c r="E9" s="4"/>
    </row>
    <row r="10" spans="1:6" ht="16.5" thickBot="1" x14ac:dyDescent="0.3">
      <c r="A10" s="12">
        <v>44317</v>
      </c>
      <c r="B10" s="11">
        <v>120.6</v>
      </c>
      <c r="C10" s="3"/>
      <c r="D10" s="4"/>
      <c r="E10" s="4"/>
    </row>
    <row r="11" spans="1:6" ht="16.5" thickBot="1" x14ac:dyDescent="0.3">
      <c r="A11" s="12">
        <v>44348</v>
      </c>
      <c r="B11" s="11">
        <v>121.7</v>
      </c>
      <c r="C11" s="3"/>
      <c r="D11" s="4"/>
      <c r="E11" s="4"/>
    </row>
    <row r="12" spans="1:6" ht="16.5" thickBot="1" x14ac:dyDescent="0.3">
      <c r="A12" s="12">
        <v>44378</v>
      </c>
      <c r="B12" s="11">
        <v>122.8</v>
      </c>
      <c r="C12" s="3"/>
      <c r="D12" s="4"/>
      <c r="E12" s="4"/>
    </row>
    <row r="13" spans="1:6" ht="16.5" thickBot="1" x14ac:dyDescent="0.3">
      <c r="A13" s="12">
        <v>44409</v>
      </c>
      <c r="B13" s="11">
        <v>123</v>
      </c>
      <c r="C13" s="3"/>
      <c r="D13" s="4"/>
      <c r="E13" s="4"/>
    </row>
    <row r="14" spans="1:6" ht="16.5" thickBot="1" x14ac:dyDescent="0.3">
      <c r="A14" s="12">
        <v>44440</v>
      </c>
      <c r="B14" s="11">
        <v>123.3</v>
      </c>
      <c r="C14" s="3">
        <f>SUM(B3:B14)*2.88</f>
        <v>4165.92</v>
      </c>
      <c r="D14" s="4">
        <f t="shared" ref="D14:D29" si="0">C14/12</f>
        <v>347.16</v>
      </c>
      <c r="E14" s="4">
        <f t="shared" ref="E14:E29" si="1">((D14-261.42)/261.42)*100</f>
        <v>32.797796649070463</v>
      </c>
    </row>
    <row r="15" spans="1:6" ht="16.5" thickBot="1" x14ac:dyDescent="0.3">
      <c r="A15" s="12">
        <v>44470</v>
      </c>
      <c r="B15" s="11">
        <v>124.9</v>
      </c>
      <c r="C15" s="3">
        <f t="shared" ref="C15:C29" si="2">SUM(B4:B15)*2.88</f>
        <v>4181.4719999999998</v>
      </c>
      <c r="D15" s="4">
        <f t="shared" si="0"/>
        <v>348.45599999999996</v>
      </c>
      <c r="E15" s="4">
        <f t="shared" si="1"/>
        <v>33.293550608216634</v>
      </c>
      <c r="F15" s="2"/>
    </row>
    <row r="16" spans="1:6" ht="16.5" thickBot="1" x14ac:dyDescent="0.3">
      <c r="A16" s="12">
        <v>44501</v>
      </c>
      <c r="B16" s="11">
        <v>125.7</v>
      </c>
      <c r="C16" s="3">
        <f t="shared" si="2"/>
        <v>4198.1760000000004</v>
      </c>
      <c r="D16" s="4">
        <f t="shared" si="0"/>
        <v>349.84800000000001</v>
      </c>
      <c r="E16" s="4">
        <f t="shared" si="1"/>
        <v>33.82602708285517</v>
      </c>
      <c r="F16" s="2"/>
    </row>
    <row r="17" spans="1:6" ht="16.5" thickBot="1" x14ac:dyDescent="0.3">
      <c r="A17" s="12">
        <v>44531</v>
      </c>
      <c r="B17" s="11">
        <v>125.4</v>
      </c>
      <c r="C17" s="3">
        <f t="shared" si="2"/>
        <v>4217.1840000000002</v>
      </c>
      <c r="D17" s="4">
        <f t="shared" si="0"/>
        <v>351.43200000000002</v>
      </c>
      <c r="E17" s="4">
        <f t="shared" si="1"/>
        <v>34.431948588478306</v>
      </c>
      <c r="F17" s="2"/>
    </row>
    <row r="18" spans="1:6" ht="16.5" thickBot="1" x14ac:dyDescent="0.3">
      <c r="A18" s="12">
        <v>44562</v>
      </c>
      <c r="B18" s="11">
        <v>125.1</v>
      </c>
      <c r="C18" s="3">
        <f t="shared" si="2"/>
        <v>4237.0559999999996</v>
      </c>
      <c r="D18" s="4">
        <f t="shared" si="0"/>
        <v>353.08799999999997</v>
      </c>
      <c r="E18" s="4">
        <f t="shared" si="1"/>
        <v>35.065411980720654</v>
      </c>
      <c r="F18" s="2"/>
    </row>
    <row r="19" spans="1:6" ht="16.5" thickBot="1" x14ac:dyDescent="0.3">
      <c r="A19" s="12">
        <v>44593</v>
      </c>
      <c r="B19" s="11">
        <v>125</v>
      </c>
      <c r="C19" s="3">
        <f t="shared" si="2"/>
        <v>4254.3359999999993</v>
      </c>
      <c r="D19" s="4">
        <f t="shared" si="0"/>
        <v>354.52799999999996</v>
      </c>
      <c r="E19" s="4">
        <f t="shared" si="1"/>
        <v>35.616249713105326</v>
      </c>
      <c r="F19" s="2"/>
    </row>
    <row r="20" spans="1:6" ht="16.5" thickBot="1" x14ac:dyDescent="0.3">
      <c r="A20" s="12">
        <v>44621</v>
      </c>
      <c r="B20" s="11">
        <v>126</v>
      </c>
      <c r="C20" s="3">
        <f t="shared" si="2"/>
        <v>4272.768</v>
      </c>
      <c r="D20" s="4">
        <f t="shared" si="0"/>
        <v>356.06400000000002</v>
      </c>
      <c r="E20" s="4">
        <f t="shared" si="1"/>
        <v>36.203809960982326</v>
      </c>
      <c r="F20" s="2"/>
    </row>
    <row r="21" spans="1:6" ht="16.5" thickBot="1" x14ac:dyDescent="0.3">
      <c r="A21" s="12">
        <v>44652</v>
      </c>
      <c r="B21" s="11">
        <v>127.7</v>
      </c>
      <c r="C21" s="3">
        <f t="shared" si="2"/>
        <v>4294.6559999999999</v>
      </c>
      <c r="D21" s="4">
        <f t="shared" si="0"/>
        <v>357.88799999999998</v>
      </c>
      <c r="E21" s="4">
        <f t="shared" si="1"/>
        <v>36.901537755336221</v>
      </c>
      <c r="F21" s="2"/>
    </row>
    <row r="22" spans="1:6" ht="16.5" thickBot="1" x14ac:dyDescent="0.3">
      <c r="A22" s="12">
        <v>44682</v>
      </c>
      <c r="B22" s="11">
        <v>129</v>
      </c>
      <c r="C22" s="3">
        <f t="shared" si="2"/>
        <v>4318.848</v>
      </c>
      <c r="D22" s="4">
        <f t="shared" si="0"/>
        <v>359.904</v>
      </c>
      <c r="E22" s="4">
        <f t="shared" si="1"/>
        <v>37.672710580674767</v>
      </c>
      <c r="F22" s="2"/>
    </row>
    <row r="23" spans="1:6" ht="16.5" thickBot="1" x14ac:dyDescent="0.3">
      <c r="A23" s="12">
        <v>44713</v>
      </c>
      <c r="B23" s="11">
        <v>129.19999999999999</v>
      </c>
      <c r="C23" s="3">
        <f t="shared" si="2"/>
        <v>4340.4480000000003</v>
      </c>
      <c r="D23" s="4">
        <f t="shared" si="0"/>
        <v>361.70400000000001</v>
      </c>
      <c r="E23" s="4">
        <f t="shared" si="1"/>
        <v>38.361257746155609</v>
      </c>
      <c r="F23" s="2"/>
    </row>
    <row r="24" spans="1:6" ht="16.5" thickBot="1" x14ac:dyDescent="0.3">
      <c r="A24" s="12">
        <v>44743</v>
      </c>
      <c r="B24" s="11">
        <v>129.9</v>
      </c>
      <c r="C24" s="3">
        <f t="shared" si="2"/>
        <v>4360.8960000000006</v>
      </c>
      <c r="D24" s="4">
        <f t="shared" si="0"/>
        <v>363.40800000000007</v>
      </c>
      <c r="E24" s="4">
        <f t="shared" si="1"/>
        <v>39.013082396144156</v>
      </c>
      <c r="F24" s="2"/>
    </row>
    <row r="25" spans="1:6" ht="16.5" thickBot="1" x14ac:dyDescent="0.3">
      <c r="A25" s="12">
        <v>44774</v>
      </c>
      <c r="B25" s="34">
        <v>130.19999999999999</v>
      </c>
      <c r="C25" s="3">
        <f t="shared" si="2"/>
        <v>4381.6320000000005</v>
      </c>
      <c r="D25" s="4">
        <f t="shared" si="0"/>
        <v>365.13600000000002</v>
      </c>
      <c r="E25" s="4">
        <f t="shared" si="1"/>
        <v>39.674087675005737</v>
      </c>
      <c r="F25" s="2"/>
    </row>
    <row r="26" spans="1:6" ht="16.5" thickBot="1" x14ac:dyDescent="0.3">
      <c r="A26" s="12">
        <v>44805</v>
      </c>
      <c r="B26" s="34">
        <v>131.30000000000001</v>
      </c>
      <c r="C26" s="3">
        <f t="shared" si="2"/>
        <v>4404.6720000000005</v>
      </c>
      <c r="D26" s="4">
        <f t="shared" si="0"/>
        <v>367.05600000000004</v>
      </c>
      <c r="E26" s="4">
        <f t="shared" si="1"/>
        <v>40.408537984851968</v>
      </c>
      <c r="F26" s="2"/>
    </row>
    <row r="27" spans="1:6" ht="16.5" thickBot="1" x14ac:dyDescent="0.3">
      <c r="A27" s="12">
        <v>44835</v>
      </c>
      <c r="B27" s="35">
        <v>132.5</v>
      </c>
      <c r="C27" s="3">
        <f t="shared" si="2"/>
        <v>4426.5600000000004</v>
      </c>
      <c r="D27" s="4">
        <f t="shared" si="0"/>
        <v>368.88000000000005</v>
      </c>
      <c r="E27" s="4">
        <f t="shared" si="1"/>
        <v>41.106265779205884</v>
      </c>
      <c r="F27" s="2"/>
    </row>
    <row r="28" spans="1:6" ht="16.5" thickBot="1" x14ac:dyDescent="0.3">
      <c r="A28" s="12">
        <v>44866</v>
      </c>
      <c r="B28" s="35">
        <v>132.5</v>
      </c>
      <c r="C28" s="3">
        <f t="shared" si="2"/>
        <v>4446.1439999999993</v>
      </c>
      <c r="D28" s="4">
        <f t="shared" si="0"/>
        <v>370.51199999999994</v>
      </c>
      <c r="E28" s="4">
        <f t="shared" si="1"/>
        <v>41.730548542575136</v>
      </c>
      <c r="F28" s="2"/>
    </row>
    <row r="29" spans="1:6" ht="16.5" thickBot="1" x14ac:dyDescent="0.3">
      <c r="A29" s="12">
        <v>44896</v>
      </c>
      <c r="B29" s="35">
        <v>132.30000000000001</v>
      </c>
      <c r="C29" s="3">
        <f t="shared" si="2"/>
        <v>4466.0159999999996</v>
      </c>
      <c r="D29" s="4">
        <f t="shared" si="0"/>
        <v>372.16799999999995</v>
      </c>
      <c r="E29" s="4">
        <f t="shared" si="1"/>
        <v>42.364011934817505</v>
      </c>
      <c r="F29" s="2"/>
    </row>
    <row r="30" spans="1:6" ht="16.5" thickBot="1" x14ac:dyDescent="0.3">
      <c r="A30" s="12">
        <v>44927</v>
      </c>
      <c r="B30" s="36">
        <v>132.80000000000001</v>
      </c>
      <c r="C30" s="3">
        <f t="shared" ref="C30:C41" si="3">SUM(B19:B30)*2.88</f>
        <v>4488.1919999999991</v>
      </c>
      <c r="D30" s="4">
        <f t="shared" ref="D30:D41" si="4">C30/12</f>
        <v>374.01599999999991</v>
      </c>
      <c r="E30" s="4">
        <f t="shared" ref="E30:E41" si="5">((D30-261.42)/261.42)*100</f>
        <v>43.070920358044482</v>
      </c>
      <c r="F30" s="2"/>
    </row>
    <row r="31" spans="1:6" ht="16.5" thickBot="1" x14ac:dyDescent="0.3">
      <c r="A31" s="12">
        <v>44958</v>
      </c>
      <c r="B31" s="36">
        <v>132.69999999999999</v>
      </c>
      <c r="C31" s="3">
        <f t="shared" si="3"/>
        <v>4510.3679999999995</v>
      </c>
      <c r="D31" s="4">
        <f t="shared" si="4"/>
        <v>375.86399999999998</v>
      </c>
      <c r="E31" s="4">
        <f t="shared" si="5"/>
        <v>43.777828781271502</v>
      </c>
      <c r="F31" s="2"/>
    </row>
    <row r="32" spans="1:6" ht="16.5" thickBot="1" x14ac:dyDescent="0.3">
      <c r="A32" s="12">
        <v>44986</v>
      </c>
      <c r="B32" s="36">
        <v>133.69999999999999</v>
      </c>
      <c r="C32" s="3">
        <f t="shared" si="3"/>
        <v>4532.5439999999999</v>
      </c>
      <c r="D32" s="4">
        <f t="shared" si="4"/>
        <v>377.71199999999999</v>
      </c>
      <c r="E32" s="4">
        <f t="shared" si="5"/>
        <v>44.484737204498501</v>
      </c>
      <c r="F32" s="2"/>
    </row>
    <row r="33" spans="1:6" ht="16.5" thickBot="1" x14ac:dyDescent="0.3">
      <c r="A33" s="12">
        <v>45017</v>
      </c>
      <c r="B33" s="36">
        <v>134.19999999999999</v>
      </c>
      <c r="C33" s="3">
        <f t="shared" si="3"/>
        <v>4551.2640000000001</v>
      </c>
      <c r="D33" s="4">
        <f t="shared" si="4"/>
        <v>379.27199999999999</v>
      </c>
      <c r="E33" s="4">
        <f t="shared" si="5"/>
        <v>45.081478081248555</v>
      </c>
      <c r="F33" s="2"/>
    </row>
    <row r="34" spans="1:6" ht="16.5" thickBot="1" x14ac:dyDescent="0.3">
      <c r="A34" s="12">
        <v>45047</v>
      </c>
      <c r="B34" s="36">
        <v>134.69999999999999</v>
      </c>
      <c r="C34" s="3">
        <f t="shared" si="3"/>
        <v>4567.68</v>
      </c>
      <c r="D34" s="4">
        <f t="shared" si="4"/>
        <v>380.64000000000004</v>
      </c>
      <c r="E34" s="4">
        <f t="shared" si="5"/>
        <v>45.604773927014008</v>
      </c>
      <c r="F34" s="2"/>
    </row>
    <row r="35" spans="1:6" ht="16.5" thickBot="1" x14ac:dyDescent="0.3">
      <c r="A35" s="12">
        <v>45078</v>
      </c>
      <c r="B35" s="36">
        <v>136.4</v>
      </c>
      <c r="C35" s="3">
        <f t="shared" si="3"/>
        <v>4588.4160000000002</v>
      </c>
      <c r="D35" s="4">
        <f t="shared" si="4"/>
        <v>382.36799999999999</v>
      </c>
      <c r="E35" s="4">
        <f t="shared" si="5"/>
        <v>46.265779205875589</v>
      </c>
      <c r="F35" s="2"/>
    </row>
    <row r="36" spans="1:6" ht="16.5" thickBot="1" x14ac:dyDescent="0.3">
      <c r="A36" s="12">
        <v>45108</v>
      </c>
      <c r="B36" s="36">
        <v>139.69999999999999</v>
      </c>
      <c r="C36" s="3">
        <f t="shared" si="3"/>
        <v>4616.6400000000003</v>
      </c>
      <c r="D36" s="4">
        <f t="shared" si="4"/>
        <v>384.72</v>
      </c>
      <c r="E36" s="4">
        <f t="shared" si="5"/>
        <v>47.165480835437229</v>
      </c>
      <c r="F36" s="2"/>
    </row>
    <row r="37" spans="1:6" ht="16.5" thickBot="1" x14ac:dyDescent="0.3">
      <c r="A37" s="12">
        <v>45139</v>
      </c>
      <c r="B37" s="36">
        <v>139.19999999999999</v>
      </c>
      <c r="C37" s="3">
        <f t="shared" si="3"/>
        <v>4642.5600000000013</v>
      </c>
      <c r="D37" s="4">
        <f t="shared" si="4"/>
        <v>386.88000000000011</v>
      </c>
      <c r="E37" s="4">
        <f t="shared" si="5"/>
        <v>47.991737434014262</v>
      </c>
      <c r="F37" s="2"/>
    </row>
    <row r="38" spans="1:6" ht="16.5" thickBot="1" x14ac:dyDescent="0.3">
      <c r="A38" s="12">
        <v>45170</v>
      </c>
      <c r="B38" s="36">
        <v>137.5</v>
      </c>
      <c r="C38" s="3">
        <f t="shared" si="3"/>
        <v>4660.4160000000002</v>
      </c>
      <c r="D38" s="4">
        <f t="shared" si="4"/>
        <v>388.36799999999999</v>
      </c>
      <c r="E38" s="4">
        <f t="shared" si="5"/>
        <v>48.560936424145041</v>
      </c>
      <c r="F38" s="2"/>
    </row>
    <row r="39" spans="1:6" ht="16.5" thickBot="1" x14ac:dyDescent="0.3">
      <c r="A39" s="12">
        <v>45200</v>
      </c>
      <c r="B39" s="36">
        <v>138.4</v>
      </c>
      <c r="C39" s="3">
        <f t="shared" si="3"/>
        <v>4677.4080000000013</v>
      </c>
      <c r="D39" s="4">
        <f t="shared" si="4"/>
        <v>389.78400000000011</v>
      </c>
      <c r="E39" s="4">
        <f t="shared" si="5"/>
        <v>49.102593527656673</v>
      </c>
      <c r="F39" s="2"/>
    </row>
    <row r="40" spans="1:6" ht="16.5" thickBot="1" x14ac:dyDescent="0.3">
      <c r="A40" s="12">
        <v>45231</v>
      </c>
      <c r="B40" s="36">
        <v>139.1</v>
      </c>
      <c r="C40" s="3">
        <f t="shared" si="3"/>
        <v>4696.4160000000002</v>
      </c>
      <c r="D40" s="4">
        <f t="shared" si="4"/>
        <v>391.36799999999999</v>
      </c>
      <c r="E40" s="4">
        <f t="shared" si="5"/>
        <v>49.708515033279774</v>
      </c>
      <c r="F40" s="2"/>
    </row>
    <row r="41" spans="1:6" ht="16.5" thickBot="1" x14ac:dyDescent="0.3">
      <c r="A41" s="12">
        <v>45261</v>
      </c>
      <c r="B41" s="36">
        <v>138.80000000000001</v>
      </c>
      <c r="C41" s="3">
        <f t="shared" si="3"/>
        <v>4715.1359999999995</v>
      </c>
      <c r="D41" s="4">
        <f t="shared" si="4"/>
        <v>392.92799999999994</v>
      </c>
      <c r="E41" s="4">
        <f t="shared" si="5"/>
        <v>50.3052559100298</v>
      </c>
      <c r="F41" s="2"/>
    </row>
    <row r="42" spans="1:6" ht="16.5" thickBot="1" x14ac:dyDescent="0.3">
      <c r="A42" s="12">
        <v>45292</v>
      </c>
      <c r="B42" s="36">
        <v>138.9</v>
      </c>
      <c r="C42" s="3">
        <f t="shared" ref="C42:C53" si="6">SUM(B31:B42)*2.88</f>
        <v>4732.7039999999997</v>
      </c>
      <c r="D42" s="4">
        <f t="shared" ref="D42:D54" si="7">C42/12</f>
        <v>394.392</v>
      </c>
      <c r="E42" s="4">
        <f t="shared" ref="E42:E54" si="8">((D42-261.42)/261.42)*100</f>
        <v>50.865274271287575</v>
      </c>
      <c r="F42" s="2"/>
    </row>
    <row r="43" spans="1:6" ht="16.5" thickBot="1" x14ac:dyDescent="0.3">
      <c r="A43" s="12">
        <v>45323</v>
      </c>
      <c r="B43" s="36">
        <v>139.19999999999999</v>
      </c>
      <c r="C43" s="3">
        <f t="shared" si="6"/>
        <v>4751.424</v>
      </c>
      <c r="D43" s="4">
        <f t="shared" si="7"/>
        <v>395.952</v>
      </c>
      <c r="E43" s="4">
        <f t="shared" si="8"/>
        <v>51.462015148037629</v>
      </c>
      <c r="F43" s="2"/>
    </row>
    <row r="44" spans="1:6" ht="16.5" thickBot="1" x14ac:dyDescent="0.3">
      <c r="A44" s="12">
        <v>45352</v>
      </c>
      <c r="B44" s="36">
        <v>138.9</v>
      </c>
      <c r="C44" s="3">
        <f t="shared" si="6"/>
        <v>4766.4000000000005</v>
      </c>
      <c r="D44" s="4">
        <f t="shared" si="7"/>
        <v>397.20000000000005</v>
      </c>
      <c r="E44" s="4">
        <f t="shared" si="8"/>
        <v>51.939407849437693</v>
      </c>
      <c r="F44" s="2"/>
    </row>
    <row r="45" spans="1:6" ht="16.5" thickBot="1" x14ac:dyDescent="0.3">
      <c r="A45" s="12">
        <v>45383</v>
      </c>
      <c r="B45" s="36">
        <v>139.4</v>
      </c>
      <c r="C45" s="3">
        <f t="shared" si="6"/>
        <v>4781.3760000000002</v>
      </c>
      <c r="D45" s="4">
        <f t="shared" si="7"/>
        <v>398.44800000000004</v>
      </c>
      <c r="E45" s="4">
        <f t="shared" si="8"/>
        <v>52.416800550837742</v>
      </c>
      <c r="F45" s="2"/>
    </row>
    <row r="46" spans="1:6" ht="16.5" thickBot="1" x14ac:dyDescent="0.3">
      <c r="A46" s="12">
        <v>45413</v>
      </c>
      <c r="B46" s="36">
        <v>139.9</v>
      </c>
      <c r="C46" s="3">
        <f t="shared" si="6"/>
        <v>4796.3520000000008</v>
      </c>
      <c r="D46" s="4">
        <f t="shared" si="7"/>
        <v>399.69600000000008</v>
      </c>
      <c r="E46" s="4">
        <f t="shared" si="8"/>
        <v>52.894193252237798</v>
      </c>
      <c r="F46" s="2"/>
    </row>
    <row r="47" spans="1:6" ht="16.5" thickBot="1" x14ac:dyDescent="0.3">
      <c r="A47" s="12">
        <v>45444</v>
      </c>
      <c r="B47" s="36">
        <v>141.4</v>
      </c>
      <c r="C47" s="3">
        <f t="shared" si="6"/>
        <v>4810.7520000000004</v>
      </c>
      <c r="D47" s="4">
        <f t="shared" si="7"/>
        <v>400.89600000000002</v>
      </c>
      <c r="E47" s="4">
        <f t="shared" si="8"/>
        <v>53.353224695891669</v>
      </c>
      <c r="F47" s="2"/>
    </row>
    <row r="48" spans="1:6" ht="16.5" thickBot="1" x14ac:dyDescent="0.3">
      <c r="A48" s="12">
        <v>45474</v>
      </c>
      <c r="B48" s="36">
        <v>142.69999999999999</v>
      </c>
      <c r="C48" s="3">
        <f t="shared" si="6"/>
        <v>4819.3920000000007</v>
      </c>
      <c r="D48" s="4">
        <f t="shared" si="7"/>
        <v>401.61600000000004</v>
      </c>
      <c r="E48" s="4">
        <f t="shared" si="8"/>
        <v>53.628643562084008</v>
      </c>
      <c r="F48" s="2"/>
    </row>
    <row r="49" spans="1:8" ht="16.5" thickBot="1" x14ac:dyDescent="0.3">
      <c r="A49" s="12">
        <v>45505</v>
      </c>
      <c r="B49" s="36">
        <v>142.6</v>
      </c>
      <c r="C49" s="3">
        <f t="shared" si="6"/>
        <v>4829.1839999999993</v>
      </c>
      <c r="D49" s="4">
        <f t="shared" si="7"/>
        <v>402.43199999999996</v>
      </c>
      <c r="E49" s="4">
        <f t="shared" si="8"/>
        <v>53.940784943768627</v>
      </c>
      <c r="F49" s="2"/>
    </row>
    <row r="50" spans="1:8" ht="16.5" thickBot="1" x14ac:dyDescent="0.3">
      <c r="A50" s="12">
        <v>45536</v>
      </c>
      <c r="B50" s="36">
        <v>143.30000000000001</v>
      </c>
      <c r="C50" s="3">
        <f t="shared" si="6"/>
        <v>4845.8879999999999</v>
      </c>
      <c r="D50" s="4">
        <f t="shared" si="7"/>
        <v>403.82400000000001</v>
      </c>
      <c r="E50" s="4">
        <f t="shared" si="8"/>
        <v>54.473261418407162</v>
      </c>
      <c r="F50" s="2"/>
    </row>
    <row r="51" spans="1:8" ht="16.5" thickBot="1" x14ac:dyDescent="0.3">
      <c r="A51" s="12">
        <v>45566</v>
      </c>
      <c r="B51" s="36">
        <v>144.5</v>
      </c>
      <c r="C51" s="3">
        <f t="shared" si="6"/>
        <v>4863.4559999999992</v>
      </c>
      <c r="D51" s="4">
        <f t="shared" si="7"/>
        <v>405.28799999999995</v>
      </c>
      <c r="E51" s="4">
        <f t="shared" si="8"/>
        <v>55.03327977966488</v>
      </c>
      <c r="F51" s="2"/>
    </row>
    <row r="52" spans="1:8" ht="16.5" thickBot="1" x14ac:dyDescent="0.3">
      <c r="A52" s="12">
        <v>45597</v>
      </c>
      <c r="B52" s="36">
        <v>144.5</v>
      </c>
      <c r="C52" s="3">
        <f t="shared" si="6"/>
        <v>4879.0079999999998</v>
      </c>
      <c r="D52" s="4">
        <f t="shared" si="7"/>
        <v>406.584</v>
      </c>
      <c r="E52" s="4">
        <f t="shared" si="8"/>
        <v>55.529033738811094</v>
      </c>
      <c r="F52" s="2"/>
    </row>
    <row r="53" spans="1:8" ht="16.5" thickBot="1" x14ac:dyDescent="0.3">
      <c r="A53" s="12">
        <v>45627</v>
      </c>
      <c r="B53" s="36">
        <v>143.69999999999999</v>
      </c>
      <c r="C53" s="3">
        <f t="shared" si="6"/>
        <v>4893.119999999999</v>
      </c>
      <c r="D53" s="4">
        <f t="shared" si="7"/>
        <v>407.75999999999993</v>
      </c>
      <c r="E53" s="4">
        <f t="shared" si="8"/>
        <v>55.97888455359189</v>
      </c>
      <c r="F53" s="2"/>
    </row>
    <row r="54" spans="1:8" ht="16.5" thickBot="1" x14ac:dyDescent="0.3">
      <c r="A54" s="12">
        <v>45658</v>
      </c>
      <c r="B54" s="47">
        <v>143.19999999999999</v>
      </c>
      <c r="C54" s="3">
        <f>SUM(B43:B54)*2.88</f>
        <v>4905.5039999999999</v>
      </c>
      <c r="D54" s="4">
        <f t="shared" si="7"/>
        <v>408.79199999999997</v>
      </c>
      <c r="E54" s="4">
        <f t="shared" si="8"/>
        <v>56.373651595134241</v>
      </c>
      <c r="F54" s="2"/>
    </row>
    <row r="55" spans="1:8" ht="16.5" thickBot="1" x14ac:dyDescent="0.3">
      <c r="A55" s="12">
        <v>45689</v>
      </c>
      <c r="B55" s="47">
        <v>142.80000000000001</v>
      </c>
      <c r="C55" s="3">
        <f t="shared" ref="C55:C78" si="9">SUM(B44:B55)*2.88</f>
        <v>4915.8720000000003</v>
      </c>
      <c r="D55" s="4">
        <f t="shared" ref="D55:D78" si="10">C55/12</f>
        <v>409.65600000000001</v>
      </c>
      <c r="E55" s="4">
        <f t="shared" ref="E55:E78" si="11">((D55-261.42)/261.42)*100</f>
        <v>56.70415423456506</v>
      </c>
      <c r="F55" s="2"/>
    </row>
    <row r="56" spans="1:8" ht="16.5" thickBot="1" x14ac:dyDescent="0.3">
      <c r="A56" s="12">
        <v>45717</v>
      </c>
      <c r="B56" s="47">
        <v>143</v>
      </c>
      <c r="C56" s="3">
        <f t="shared" si="9"/>
        <v>4927.68</v>
      </c>
      <c r="D56" s="4">
        <f t="shared" si="10"/>
        <v>410.64000000000004</v>
      </c>
      <c r="E56" s="4">
        <f t="shared" si="11"/>
        <v>57.080560018361261</v>
      </c>
      <c r="F56" s="2"/>
      <c r="H56" s="18"/>
    </row>
    <row r="57" spans="1:8" ht="16.5" thickBot="1" x14ac:dyDescent="0.3">
      <c r="A57" s="12">
        <v>45748</v>
      </c>
      <c r="B57" s="47">
        <v>143.5</v>
      </c>
      <c r="C57" s="3">
        <f t="shared" si="9"/>
        <v>4939.4880000000003</v>
      </c>
      <c r="D57" s="4">
        <f t="shared" si="10"/>
        <v>411.62400000000002</v>
      </c>
      <c r="E57" s="4">
        <f t="shared" si="11"/>
        <v>57.456965802157441</v>
      </c>
      <c r="F57" s="2"/>
      <c r="H57" s="18" t="s">
        <v>40</v>
      </c>
    </row>
    <row r="58" spans="1:8" ht="16.5" thickBot="1" x14ac:dyDescent="0.3">
      <c r="A58" s="12">
        <v>45778</v>
      </c>
      <c r="B58" s="47">
        <v>144</v>
      </c>
      <c r="C58" s="3">
        <f t="shared" si="9"/>
        <v>4951.2960000000003</v>
      </c>
      <c r="D58" s="4">
        <f t="shared" si="10"/>
        <v>412.608</v>
      </c>
      <c r="E58" s="4">
        <f t="shared" si="11"/>
        <v>57.833371585953628</v>
      </c>
      <c r="F58" s="2"/>
    </row>
    <row r="59" spans="1:8" ht="16.5" thickBot="1" x14ac:dyDescent="0.3">
      <c r="A59" s="12">
        <v>45809</v>
      </c>
      <c r="B59" s="47">
        <v>145</v>
      </c>
      <c r="C59" s="3">
        <f t="shared" si="9"/>
        <v>4961.6639999999998</v>
      </c>
      <c r="D59" s="4">
        <f t="shared" si="10"/>
        <v>413.47199999999998</v>
      </c>
      <c r="E59" s="4">
        <f t="shared" si="11"/>
        <v>58.163874225384426</v>
      </c>
      <c r="F59" s="2"/>
    </row>
    <row r="60" spans="1:8" ht="16.5" thickBot="1" x14ac:dyDescent="0.3">
      <c r="A60" s="12">
        <v>45839</v>
      </c>
      <c r="B60" s="47">
        <v>146.5</v>
      </c>
      <c r="C60" s="3">
        <f t="shared" si="9"/>
        <v>4972.6079999999993</v>
      </c>
      <c r="D60" s="4">
        <f t="shared" si="10"/>
        <v>414.38399999999996</v>
      </c>
      <c r="E60" s="4">
        <f t="shared" si="11"/>
        <v>58.512738122561373</v>
      </c>
      <c r="F60" s="2"/>
    </row>
    <row r="61" spans="1:8" ht="16.5" thickBot="1" x14ac:dyDescent="0.3">
      <c r="A61" s="12">
        <v>45870</v>
      </c>
      <c r="B61" s="47">
        <v>147.1</v>
      </c>
      <c r="C61" s="3">
        <f t="shared" si="9"/>
        <v>4985.5679999999993</v>
      </c>
      <c r="D61" s="4">
        <f t="shared" si="10"/>
        <v>415.46399999999994</v>
      </c>
      <c r="E61" s="4">
        <f t="shared" si="11"/>
        <v>58.925866421849861</v>
      </c>
      <c r="F61" s="2"/>
    </row>
    <row r="62" spans="1:8" ht="16.5" thickBot="1" x14ac:dyDescent="0.3">
      <c r="A62" s="12">
        <v>45901</v>
      </c>
      <c r="B62" s="47">
        <v>147.30000000000001</v>
      </c>
      <c r="C62" s="3">
        <f t="shared" si="9"/>
        <v>4997.0879999999997</v>
      </c>
      <c r="D62" s="4">
        <f t="shared" si="10"/>
        <v>416.42399999999998</v>
      </c>
      <c r="E62" s="4">
        <f t="shared" si="11"/>
        <v>59.293091576772994</v>
      </c>
      <c r="F62" s="2"/>
    </row>
    <row r="63" spans="1:8" ht="16.5" thickBot="1" x14ac:dyDescent="0.3">
      <c r="A63" s="12">
        <v>45931</v>
      </c>
      <c r="B63" s="47">
        <v>147.69999999999999</v>
      </c>
      <c r="C63" s="3">
        <f t="shared" si="9"/>
        <v>5006.3040000000001</v>
      </c>
      <c r="D63" s="4">
        <f t="shared" si="10"/>
        <v>417.19200000000001</v>
      </c>
      <c r="E63" s="4">
        <f t="shared" si="11"/>
        <v>59.586871700711498</v>
      </c>
      <c r="F63" s="2"/>
    </row>
    <row r="64" spans="1:8" ht="16.5" thickBot="1" x14ac:dyDescent="0.3">
      <c r="A64" s="12">
        <v>45962</v>
      </c>
      <c r="B64" s="47">
        <v>148.19999999999999</v>
      </c>
      <c r="C64" s="3">
        <f t="shared" si="9"/>
        <v>5016.96</v>
      </c>
      <c r="D64" s="4">
        <f t="shared" si="10"/>
        <v>418.08</v>
      </c>
      <c r="E64" s="4">
        <f t="shared" si="11"/>
        <v>59.926554969015363</v>
      </c>
      <c r="F64" s="2"/>
    </row>
    <row r="65" spans="1:6" ht="16.5" thickBot="1" x14ac:dyDescent="0.3">
      <c r="A65" s="12">
        <v>45992</v>
      </c>
      <c r="B65" s="47">
        <v>148.19999999999999</v>
      </c>
      <c r="C65" s="3">
        <f t="shared" si="9"/>
        <v>5029.92</v>
      </c>
      <c r="D65" s="4">
        <f t="shared" si="10"/>
        <v>419.16</v>
      </c>
      <c r="E65" s="4">
        <f t="shared" si="11"/>
        <v>60.33968326830388</v>
      </c>
      <c r="F65" s="2"/>
    </row>
    <row r="66" spans="1:6" ht="16.5" thickBot="1" x14ac:dyDescent="0.3">
      <c r="A66" s="12">
        <v>46023</v>
      </c>
      <c r="B66" s="47">
        <v>148.6</v>
      </c>
      <c r="C66" s="3">
        <f t="shared" si="9"/>
        <v>5045.4719999999998</v>
      </c>
      <c r="D66" s="4">
        <f t="shared" si="10"/>
        <v>420.45599999999996</v>
      </c>
      <c r="E66" s="4">
        <f t="shared" si="11"/>
        <v>60.835437227450051</v>
      </c>
      <c r="F66" s="2"/>
    </row>
    <row r="67" spans="1:6" ht="16.5" thickBot="1" x14ac:dyDescent="0.3">
      <c r="A67" s="12">
        <v>46054</v>
      </c>
      <c r="B67" s="46"/>
      <c r="C67" s="3">
        <f t="shared" si="9"/>
        <v>4634.2080000000005</v>
      </c>
      <c r="D67" s="4">
        <f t="shared" si="10"/>
        <v>386.18400000000003</v>
      </c>
      <c r="E67" s="4">
        <f t="shared" si="11"/>
        <v>47.725499196694976</v>
      </c>
      <c r="F67" s="2"/>
    </row>
    <row r="68" spans="1:6" ht="16.5" thickBot="1" x14ac:dyDescent="0.3">
      <c r="A68" s="12">
        <v>46082</v>
      </c>
      <c r="B68" s="46"/>
      <c r="C68" s="3">
        <f t="shared" si="9"/>
        <v>4222.3680000000004</v>
      </c>
      <c r="D68" s="4">
        <f t="shared" si="10"/>
        <v>351.86400000000003</v>
      </c>
      <c r="E68" s="4">
        <f t="shared" si="11"/>
        <v>34.597199908193716</v>
      </c>
      <c r="F68" s="2"/>
    </row>
    <row r="69" spans="1:6" ht="16.5" thickBot="1" x14ac:dyDescent="0.3">
      <c r="A69" s="12">
        <v>46113</v>
      </c>
      <c r="B69" s="46"/>
      <c r="C69" s="3">
        <f t="shared" si="9"/>
        <v>3809.0880000000002</v>
      </c>
      <c r="D69" s="4">
        <f t="shared" si="10"/>
        <v>317.42400000000004</v>
      </c>
      <c r="E69" s="4">
        <f t="shared" si="11"/>
        <v>21.422997475327065</v>
      </c>
      <c r="F69" s="2"/>
    </row>
    <row r="70" spans="1:6" ht="16.5" thickBot="1" x14ac:dyDescent="0.3">
      <c r="A70" s="12">
        <v>46143</v>
      </c>
      <c r="B70" s="46"/>
      <c r="C70" s="3">
        <f t="shared" si="9"/>
        <v>3394.3680000000004</v>
      </c>
      <c r="D70" s="4">
        <f t="shared" si="10"/>
        <v>282.86400000000003</v>
      </c>
      <c r="E70" s="4">
        <f t="shared" si="11"/>
        <v>8.2028918980950252</v>
      </c>
      <c r="F70" s="2"/>
    </row>
    <row r="71" spans="1:6" ht="16.5" thickBot="1" x14ac:dyDescent="0.3">
      <c r="A71" s="12">
        <v>46174</v>
      </c>
      <c r="B71" s="46"/>
      <c r="C71" s="3">
        <f t="shared" si="9"/>
        <v>2976.7679999999996</v>
      </c>
      <c r="D71" s="4">
        <f t="shared" si="10"/>
        <v>248.06399999999996</v>
      </c>
      <c r="E71" s="4">
        <f t="shared" si="11"/>
        <v>-5.1090199678678188</v>
      </c>
      <c r="F71" s="2"/>
    </row>
    <row r="72" spans="1:6" ht="16.5" thickBot="1" x14ac:dyDescent="0.3">
      <c r="A72" s="12">
        <v>46204</v>
      </c>
      <c r="B72" s="46"/>
      <c r="C72" s="3">
        <f t="shared" si="9"/>
        <v>2554.848</v>
      </c>
      <c r="D72" s="4">
        <f t="shared" si="10"/>
        <v>212.904</v>
      </c>
      <c r="E72" s="4">
        <f t="shared" si="11"/>
        <v>-18.558641266926792</v>
      </c>
      <c r="F72" s="2"/>
    </row>
    <row r="73" spans="1:6" ht="16.5" thickBot="1" x14ac:dyDescent="0.3">
      <c r="A73" s="12">
        <v>46235</v>
      </c>
      <c r="B73" s="46"/>
      <c r="C73" s="3">
        <f t="shared" si="9"/>
        <v>2131.1999999999998</v>
      </c>
      <c r="D73" s="4">
        <f t="shared" si="10"/>
        <v>177.6</v>
      </c>
      <c r="E73" s="4">
        <f t="shared" si="11"/>
        <v>-32.063346339224239</v>
      </c>
      <c r="F73" s="2"/>
    </row>
    <row r="74" spans="1:6" ht="16.5" thickBot="1" x14ac:dyDescent="0.3">
      <c r="A74" s="12">
        <v>46266</v>
      </c>
      <c r="B74" s="46"/>
      <c r="C74" s="3">
        <f t="shared" si="9"/>
        <v>1706.9759999999997</v>
      </c>
      <c r="D74" s="4">
        <f t="shared" si="10"/>
        <v>142.24799999999996</v>
      </c>
      <c r="E74" s="4">
        <f t="shared" si="11"/>
        <v>-45.586412669267858</v>
      </c>
      <c r="F74" s="2"/>
    </row>
    <row r="75" spans="1:6" ht="16.5" thickBot="1" x14ac:dyDescent="0.3">
      <c r="A75" s="12">
        <v>46296</v>
      </c>
      <c r="B75" s="46"/>
      <c r="C75" s="3">
        <f t="shared" si="9"/>
        <v>1281.5999999999999</v>
      </c>
      <c r="D75" s="4">
        <f t="shared" si="10"/>
        <v>106.8</v>
      </c>
      <c r="E75" s="4">
        <f t="shared" si="11"/>
        <v>-59.146201514803764</v>
      </c>
      <c r="F75" s="2"/>
    </row>
    <row r="76" spans="1:6" ht="16.5" thickBot="1" x14ac:dyDescent="0.3">
      <c r="A76" s="12">
        <v>46327</v>
      </c>
      <c r="B76" s="46"/>
      <c r="C76" s="3">
        <f t="shared" si="9"/>
        <v>854.78399999999988</v>
      </c>
      <c r="D76" s="4">
        <f t="shared" si="10"/>
        <v>71.231999999999985</v>
      </c>
      <c r="E76" s="4">
        <f t="shared" si="11"/>
        <v>-72.751893504705095</v>
      </c>
      <c r="F76" s="2"/>
    </row>
    <row r="77" spans="1:6" ht="16.5" thickBot="1" x14ac:dyDescent="0.3">
      <c r="A77" s="12">
        <v>46357</v>
      </c>
      <c r="B77" s="46"/>
      <c r="C77" s="3">
        <f t="shared" si="9"/>
        <v>427.96799999999996</v>
      </c>
      <c r="D77" s="4">
        <f t="shared" si="10"/>
        <v>35.663999999999994</v>
      </c>
      <c r="E77" s="4">
        <f t="shared" si="11"/>
        <v>-86.357585494606383</v>
      </c>
      <c r="F77" s="2"/>
    </row>
    <row r="78" spans="1:6" ht="16.5" thickBot="1" x14ac:dyDescent="0.3">
      <c r="A78" s="12">
        <v>46388</v>
      </c>
      <c r="B78" s="46"/>
      <c r="C78" s="3">
        <f t="shared" si="9"/>
        <v>0</v>
      </c>
      <c r="D78" s="4">
        <f t="shared" si="10"/>
        <v>0</v>
      </c>
      <c r="E78" s="4">
        <f t="shared" si="11"/>
        <v>-100</v>
      </c>
      <c r="F78" s="2"/>
    </row>
  </sheetData>
  <hyperlinks>
    <hyperlink ref="E1" r:id="rId1" xr:uid="{558B2F9F-842E-4CE9-BDD7-C5BDD3EA544D}"/>
    <hyperlink ref="E3" r:id="rId2" xr:uid="{F5BB60DD-BBA2-4F4A-810C-921DF611A4A4}"/>
    <hyperlink ref="H57" r:id="rId3" xr:uid="{E65132C9-DEFE-4706-8614-CBC6CD8DAE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F98F-9AD1-452C-AF21-D6592180C249}">
  <dimension ref="A1:P34"/>
  <sheetViews>
    <sheetView workbookViewId="0">
      <selection activeCell="M2" sqref="M2:P16"/>
    </sheetView>
  </sheetViews>
  <sheetFormatPr defaultRowHeight="15" x14ac:dyDescent="0.25"/>
  <cols>
    <col min="1" max="1" width="17" customWidth="1"/>
    <col min="2" max="2" width="19.85546875" customWidth="1"/>
    <col min="3" max="3" width="18.140625" customWidth="1"/>
    <col min="4" max="4" width="39.85546875" customWidth="1"/>
    <col min="6" max="6" width="15" customWidth="1"/>
    <col min="9" max="9" width="26.5703125" customWidth="1"/>
    <col min="10" max="10" width="13.85546875" customWidth="1"/>
  </cols>
  <sheetData>
    <row r="1" spans="1:16" ht="15.75" thickBot="1" x14ac:dyDescent="0.3">
      <c r="A1" s="14" t="s">
        <v>15</v>
      </c>
      <c r="F1" s="25" t="s">
        <v>14</v>
      </c>
      <c r="G1" s="25"/>
      <c r="H1" s="25"/>
      <c r="I1" s="25"/>
      <c r="J1" s="25"/>
      <c r="M1" t="s">
        <v>53</v>
      </c>
    </row>
    <row r="2" spans="1:16" ht="48" thickBot="1" x14ac:dyDescent="0.3">
      <c r="A2" s="26" t="s">
        <v>2</v>
      </c>
      <c r="B2" s="26" t="s">
        <v>16</v>
      </c>
      <c r="C2" s="26" t="s">
        <v>4</v>
      </c>
      <c r="D2" s="26" t="s">
        <v>5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6</v>
      </c>
      <c r="M2" s="37" t="s">
        <v>54</v>
      </c>
      <c r="N2" s="37" t="s">
        <v>6</v>
      </c>
      <c r="O2" s="37" t="s">
        <v>55</v>
      </c>
      <c r="P2" s="37" t="s">
        <v>56</v>
      </c>
    </row>
    <row r="3" spans="1:16" ht="15.75" thickBot="1" x14ac:dyDescent="0.3">
      <c r="A3" s="30">
        <v>39083</v>
      </c>
      <c r="B3" s="31">
        <v>0.06</v>
      </c>
      <c r="C3" s="31">
        <v>0.06</v>
      </c>
      <c r="D3" s="32">
        <v>0</v>
      </c>
      <c r="F3" s="27">
        <v>42736</v>
      </c>
      <c r="G3" s="28">
        <v>0.04</v>
      </c>
      <c r="H3" s="28">
        <v>0.04</v>
      </c>
      <c r="I3" s="29">
        <v>0</v>
      </c>
      <c r="J3" s="27">
        <v>43078</v>
      </c>
      <c r="M3" s="38">
        <v>42736</v>
      </c>
      <c r="N3" s="38">
        <v>43078</v>
      </c>
      <c r="O3" s="39">
        <v>4</v>
      </c>
      <c r="P3" s="39" t="s">
        <v>11</v>
      </c>
    </row>
    <row r="4" spans="1:16" ht="15.75" thickBot="1" x14ac:dyDescent="0.3">
      <c r="A4" s="30">
        <v>39264</v>
      </c>
      <c r="B4" s="31">
        <v>0.03</v>
      </c>
      <c r="C4" s="31">
        <v>0.09</v>
      </c>
      <c r="D4" s="32">
        <v>0</v>
      </c>
      <c r="F4" s="27">
        <v>42917</v>
      </c>
      <c r="G4" s="28">
        <v>0.01</v>
      </c>
      <c r="H4" s="28">
        <v>0.05</v>
      </c>
      <c r="I4" s="29">
        <v>0</v>
      </c>
      <c r="J4" s="27">
        <v>43078</v>
      </c>
      <c r="M4" s="40">
        <v>42917</v>
      </c>
      <c r="N4" s="40">
        <v>43078</v>
      </c>
      <c r="O4" s="42">
        <v>5</v>
      </c>
      <c r="P4" s="37" t="s">
        <v>11</v>
      </c>
    </row>
    <row r="5" spans="1:16" ht="43.5" thickBot="1" x14ac:dyDescent="0.3">
      <c r="A5" s="30">
        <v>39448</v>
      </c>
      <c r="B5" s="31">
        <v>0.03</v>
      </c>
      <c r="C5" s="31">
        <v>0.12</v>
      </c>
      <c r="D5" s="32">
        <v>0</v>
      </c>
      <c r="F5" s="27">
        <v>43101</v>
      </c>
      <c r="G5" s="28">
        <v>0.02</v>
      </c>
      <c r="H5" s="28">
        <v>7.0000000000000007E-2</v>
      </c>
      <c r="I5" s="29" t="s">
        <v>7</v>
      </c>
      <c r="J5" s="27">
        <v>43182</v>
      </c>
      <c r="M5" s="38">
        <v>43101</v>
      </c>
      <c r="N5" s="38">
        <v>43182</v>
      </c>
      <c r="O5" s="43">
        <v>7</v>
      </c>
      <c r="P5" s="44" t="s">
        <v>57</v>
      </c>
    </row>
    <row r="6" spans="1:16" ht="43.5" thickBot="1" x14ac:dyDescent="0.3">
      <c r="A6" s="30">
        <v>39630</v>
      </c>
      <c r="B6" s="31">
        <v>0.04</v>
      </c>
      <c r="C6" s="31">
        <v>0.16</v>
      </c>
      <c r="D6" s="32">
        <v>0</v>
      </c>
      <c r="F6" s="27">
        <v>43282</v>
      </c>
      <c r="G6" s="28">
        <v>0.02</v>
      </c>
      <c r="H6" s="28">
        <v>0.09</v>
      </c>
      <c r="I6" s="29" t="s">
        <v>8</v>
      </c>
      <c r="J6" s="27">
        <v>43353</v>
      </c>
      <c r="M6" s="40">
        <v>43282</v>
      </c>
      <c r="N6" s="40">
        <v>43353</v>
      </c>
      <c r="O6" s="42">
        <v>9</v>
      </c>
      <c r="P6" s="45" t="s">
        <v>58</v>
      </c>
    </row>
    <row r="7" spans="1:16" ht="43.5" thickBot="1" x14ac:dyDescent="0.3">
      <c r="A7" s="30">
        <v>39814</v>
      </c>
      <c r="B7" s="31">
        <v>0.06</v>
      </c>
      <c r="C7" s="31">
        <v>0.22</v>
      </c>
      <c r="D7" s="32">
        <v>0</v>
      </c>
      <c r="F7" s="27">
        <v>43466</v>
      </c>
      <c r="G7" s="28">
        <v>0.03</v>
      </c>
      <c r="H7" s="28">
        <v>0.12</v>
      </c>
      <c r="I7" s="29" t="s">
        <v>9</v>
      </c>
      <c r="J7" s="27">
        <v>43518</v>
      </c>
      <c r="M7" s="38">
        <v>43466</v>
      </c>
      <c r="N7" s="38">
        <v>43518</v>
      </c>
      <c r="O7" s="43">
        <v>12</v>
      </c>
      <c r="P7" s="44" t="s">
        <v>59</v>
      </c>
    </row>
    <row r="8" spans="1:16" ht="43.5" thickBot="1" x14ac:dyDescent="0.3">
      <c r="A8" s="30">
        <v>39995</v>
      </c>
      <c r="B8" s="31">
        <v>0.05</v>
      </c>
      <c r="C8" s="31">
        <v>0.27</v>
      </c>
      <c r="D8" s="32" t="s">
        <v>17</v>
      </c>
      <c r="F8" s="27">
        <v>43647</v>
      </c>
      <c r="G8" s="28">
        <v>0.05</v>
      </c>
      <c r="H8" s="28">
        <v>0.17</v>
      </c>
      <c r="I8" s="29" t="s">
        <v>10</v>
      </c>
      <c r="J8" s="27">
        <v>43917</v>
      </c>
      <c r="M8" s="40">
        <v>43647</v>
      </c>
      <c r="N8" s="40">
        <v>43917</v>
      </c>
      <c r="O8" s="42">
        <v>17</v>
      </c>
      <c r="P8" s="45" t="s">
        <v>60</v>
      </c>
    </row>
    <row r="9" spans="1:16" ht="15.75" thickBot="1" x14ac:dyDescent="0.3">
      <c r="A9" s="32" t="s">
        <v>18</v>
      </c>
      <c r="B9" s="31">
        <v>0.08</v>
      </c>
      <c r="C9" s="31">
        <v>0.35</v>
      </c>
      <c r="D9" s="32" t="s">
        <v>19</v>
      </c>
      <c r="F9" s="27">
        <v>43831</v>
      </c>
      <c r="G9" s="29" t="s">
        <v>11</v>
      </c>
      <c r="H9" s="28">
        <v>0.17</v>
      </c>
      <c r="I9" s="29" t="s">
        <v>11</v>
      </c>
      <c r="J9" s="29" t="s">
        <v>11</v>
      </c>
      <c r="M9" s="38">
        <v>44378</v>
      </c>
      <c r="N9" s="38">
        <v>44392</v>
      </c>
      <c r="O9" s="43">
        <v>28</v>
      </c>
      <c r="P9" s="44" t="s">
        <v>11</v>
      </c>
    </row>
    <row r="10" spans="1:16" ht="43.5" thickBot="1" x14ac:dyDescent="0.3">
      <c r="A10" s="30">
        <v>40360</v>
      </c>
      <c r="B10" s="31">
        <v>0.1</v>
      </c>
      <c r="C10" s="31">
        <v>0.45</v>
      </c>
      <c r="D10" s="32" t="s">
        <v>20</v>
      </c>
      <c r="F10" s="27">
        <v>44013</v>
      </c>
      <c r="G10" s="29" t="s">
        <v>11</v>
      </c>
      <c r="H10" s="28">
        <v>0.17</v>
      </c>
      <c r="I10" s="29" t="s">
        <v>11</v>
      </c>
      <c r="J10" s="29" t="s">
        <v>11</v>
      </c>
      <c r="M10" s="40">
        <v>44378</v>
      </c>
      <c r="N10" s="40">
        <v>44494</v>
      </c>
      <c r="O10" s="41" t="s">
        <v>61</v>
      </c>
      <c r="P10" s="45" t="s">
        <v>62</v>
      </c>
    </row>
    <row r="11" spans="1:16" ht="57.75" thickBot="1" x14ac:dyDescent="0.3">
      <c r="A11" s="30">
        <v>40544</v>
      </c>
      <c r="B11" s="31">
        <v>0.06</v>
      </c>
      <c r="C11" s="31">
        <v>0.51</v>
      </c>
      <c r="D11" s="32" t="s">
        <v>21</v>
      </c>
      <c r="F11" s="27">
        <v>44197</v>
      </c>
      <c r="G11" s="29" t="s">
        <v>11</v>
      </c>
      <c r="H11" s="28">
        <v>0.17</v>
      </c>
      <c r="I11" s="29" t="s">
        <v>11</v>
      </c>
      <c r="J11" s="29" t="s">
        <v>11</v>
      </c>
      <c r="M11" s="38">
        <v>44562</v>
      </c>
      <c r="N11" s="38">
        <v>44650</v>
      </c>
      <c r="O11" s="43">
        <v>34</v>
      </c>
      <c r="P11" s="44" t="s">
        <v>63</v>
      </c>
    </row>
    <row r="12" spans="1:16" ht="43.5" thickBot="1" x14ac:dyDescent="0.3">
      <c r="A12" s="30">
        <v>40725</v>
      </c>
      <c r="B12" s="31">
        <v>7.0000000000000007E-2</v>
      </c>
      <c r="C12" s="31">
        <v>0.57999999999999996</v>
      </c>
      <c r="D12" s="32" t="s">
        <v>22</v>
      </c>
      <c r="F12" s="27">
        <v>44378</v>
      </c>
      <c r="G12" s="29" t="s">
        <v>11</v>
      </c>
      <c r="H12" s="28">
        <v>0.31</v>
      </c>
      <c r="I12" s="29" t="s">
        <v>12</v>
      </c>
      <c r="J12" s="27">
        <v>44494</v>
      </c>
      <c r="M12" s="40">
        <v>44743</v>
      </c>
      <c r="N12" s="40">
        <v>44832</v>
      </c>
      <c r="O12" s="42">
        <v>38</v>
      </c>
      <c r="P12" s="45" t="s">
        <v>64</v>
      </c>
    </row>
    <row r="13" spans="1:16" ht="57.75" thickBot="1" x14ac:dyDescent="0.3">
      <c r="A13" s="30">
        <v>40909</v>
      </c>
      <c r="B13" s="31">
        <v>7.0000000000000007E-2</v>
      </c>
      <c r="C13" s="31">
        <v>0.65</v>
      </c>
      <c r="D13" s="32" t="s">
        <v>23</v>
      </c>
      <c r="F13" s="27">
        <v>44562</v>
      </c>
      <c r="G13" s="28">
        <v>0.03</v>
      </c>
      <c r="H13" s="28">
        <v>0.34</v>
      </c>
      <c r="I13" s="29" t="s">
        <v>13</v>
      </c>
      <c r="J13" s="27">
        <v>44650</v>
      </c>
      <c r="M13" s="38">
        <v>44927</v>
      </c>
      <c r="N13" s="38">
        <v>45010</v>
      </c>
      <c r="O13" s="43">
        <v>42</v>
      </c>
      <c r="P13" s="44" t="s">
        <v>65</v>
      </c>
    </row>
    <row r="14" spans="1:16" ht="43.5" thickBot="1" x14ac:dyDescent="0.3">
      <c r="A14" s="30">
        <v>41091</v>
      </c>
      <c r="B14" s="31">
        <v>7.0000000000000007E-2</v>
      </c>
      <c r="C14" s="31">
        <v>0.72</v>
      </c>
      <c r="D14" s="32" t="s">
        <v>24</v>
      </c>
      <c r="F14" s="27">
        <v>44743</v>
      </c>
      <c r="G14" s="28">
        <v>0.04</v>
      </c>
      <c r="H14" s="28">
        <v>0.38</v>
      </c>
      <c r="I14" s="29" t="s">
        <v>38</v>
      </c>
      <c r="J14" s="27">
        <v>44832</v>
      </c>
      <c r="M14" s="40">
        <v>45108</v>
      </c>
      <c r="N14" s="40">
        <v>45230</v>
      </c>
      <c r="O14" s="42">
        <v>46</v>
      </c>
      <c r="P14" s="45" t="s">
        <v>66</v>
      </c>
    </row>
    <row r="15" spans="1:16" ht="43.5" thickBot="1" x14ac:dyDescent="0.3">
      <c r="A15" s="30">
        <v>41275</v>
      </c>
      <c r="B15" s="31">
        <v>0.08</v>
      </c>
      <c r="C15" s="31">
        <v>0.8</v>
      </c>
      <c r="D15" s="32" t="s">
        <v>25</v>
      </c>
      <c r="F15" s="27">
        <v>44927</v>
      </c>
      <c r="G15" s="28">
        <v>0.04</v>
      </c>
      <c r="H15" s="28">
        <v>0.42</v>
      </c>
      <c r="I15" s="29" t="s">
        <v>39</v>
      </c>
      <c r="J15" s="27">
        <v>45010</v>
      </c>
      <c r="M15" s="38">
        <v>45292</v>
      </c>
      <c r="N15" s="38">
        <v>45365</v>
      </c>
      <c r="O15" s="43">
        <v>50</v>
      </c>
      <c r="P15" s="44" t="s">
        <v>67</v>
      </c>
    </row>
    <row r="16" spans="1:16" ht="43.5" thickBot="1" x14ac:dyDescent="0.3">
      <c r="A16" s="30">
        <v>41456</v>
      </c>
      <c r="B16" s="31">
        <v>0.1</v>
      </c>
      <c r="C16" s="31">
        <v>0.9</v>
      </c>
      <c r="D16" s="32" t="s">
        <v>26</v>
      </c>
      <c r="F16" s="27">
        <v>45108</v>
      </c>
      <c r="G16" s="28">
        <v>0.04</v>
      </c>
      <c r="H16" s="28">
        <v>0.46</v>
      </c>
      <c r="I16" s="29" t="s">
        <v>50</v>
      </c>
      <c r="J16" s="27">
        <v>45230</v>
      </c>
      <c r="M16" s="40">
        <v>45474</v>
      </c>
      <c r="N16" s="40">
        <v>45589</v>
      </c>
      <c r="O16" s="41" t="s">
        <v>68</v>
      </c>
      <c r="P16" s="45" t="s">
        <v>69</v>
      </c>
    </row>
    <row r="17" spans="1:10" x14ac:dyDescent="0.25">
      <c r="A17" s="30">
        <v>41640</v>
      </c>
      <c r="B17" s="31">
        <v>0.1</v>
      </c>
      <c r="C17" s="31">
        <v>1</v>
      </c>
      <c r="D17" s="32" t="s">
        <v>27</v>
      </c>
      <c r="F17" s="27">
        <v>45474</v>
      </c>
      <c r="G17" s="28">
        <v>0.04</v>
      </c>
      <c r="H17" s="28">
        <v>0.5</v>
      </c>
      <c r="I17" s="29" t="s">
        <v>51</v>
      </c>
      <c r="J17" s="27">
        <v>45365</v>
      </c>
    </row>
    <row r="18" spans="1:10" x14ac:dyDescent="0.25">
      <c r="A18" s="30">
        <v>41821</v>
      </c>
      <c r="B18" s="31">
        <v>7.0000000000000007E-2</v>
      </c>
      <c r="C18" s="31">
        <v>1.07</v>
      </c>
      <c r="D18" s="32" t="s">
        <v>28</v>
      </c>
    </row>
    <row r="19" spans="1:10" x14ac:dyDescent="0.25">
      <c r="A19" s="30">
        <v>42005</v>
      </c>
      <c r="B19" s="31">
        <v>0.06</v>
      </c>
      <c r="C19" s="31">
        <v>1.1299999999999999</v>
      </c>
      <c r="D19" s="32" t="s">
        <v>29</v>
      </c>
    </row>
    <row r="20" spans="1:10" x14ac:dyDescent="0.25">
      <c r="A20" s="30">
        <v>42186</v>
      </c>
      <c r="B20" s="31">
        <v>0.06</v>
      </c>
      <c r="C20" s="31">
        <v>1.19</v>
      </c>
      <c r="D20" s="32" t="s">
        <v>30</v>
      </c>
    </row>
    <row r="21" spans="1:10" x14ac:dyDescent="0.25">
      <c r="A21" s="30">
        <v>42370</v>
      </c>
      <c r="B21" s="31">
        <v>0.06</v>
      </c>
      <c r="C21" s="31">
        <v>1.25</v>
      </c>
      <c r="D21" s="32" t="s">
        <v>31</v>
      </c>
    </row>
    <row r="22" spans="1:10" x14ac:dyDescent="0.25">
      <c r="A22" s="30">
        <v>42552</v>
      </c>
      <c r="B22" s="31">
        <v>7.0000000000000007E-2</v>
      </c>
      <c r="C22" s="31">
        <v>1.32</v>
      </c>
      <c r="D22" s="32" t="s">
        <v>32</v>
      </c>
    </row>
    <row r="23" spans="1:10" x14ac:dyDescent="0.25">
      <c r="A23" s="30">
        <v>42736</v>
      </c>
      <c r="B23" s="31">
        <v>0.04</v>
      </c>
      <c r="C23" s="31">
        <v>1.36</v>
      </c>
      <c r="D23" s="32" t="s">
        <v>33</v>
      </c>
    </row>
    <row r="24" spans="1:10" x14ac:dyDescent="0.25">
      <c r="A24" s="30">
        <v>42917</v>
      </c>
      <c r="B24" s="31">
        <v>0.03</v>
      </c>
      <c r="C24" s="31">
        <v>1.39</v>
      </c>
      <c r="D24" s="32" t="s">
        <v>34</v>
      </c>
    </row>
    <row r="25" spans="1:10" x14ac:dyDescent="0.25">
      <c r="A25" s="30">
        <v>43101</v>
      </c>
      <c r="B25" s="31">
        <v>0.03</v>
      </c>
      <c r="C25" s="31">
        <v>1.42</v>
      </c>
      <c r="D25" s="32" t="s">
        <v>7</v>
      </c>
    </row>
    <row r="26" spans="1:10" x14ac:dyDescent="0.25">
      <c r="A26" s="30">
        <v>43282</v>
      </c>
      <c r="B26" s="31">
        <v>0.06</v>
      </c>
      <c r="C26" s="31">
        <v>1.48</v>
      </c>
      <c r="D26" s="32" t="s">
        <v>35</v>
      </c>
    </row>
    <row r="27" spans="1:10" x14ac:dyDescent="0.25">
      <c r="A27" s="30">
        <v>43466</v>
      </c>
      <c r="B27" s="31">
        <v>0.06</v>
      </c>
      <c r="C27" s="31">
        <v>1.54</v>
      </c>
      <c r="D27" s="32" t="s">
        <v>36</v>
      </c>
    </row>
    <row r="28" spans="1:10" x14ac:dyDescent="0.25">
      <c r="A28" s="30">
        <v>43647</v>
      </c>
      <c r="B28" s="31">
        <v>0.1</v>
      </c>
      <c r="C28" s="31">
        <v>1.64</v>
      </c>
      <c r="D28" s="32" t="s">
        <v>37</v>
      </c>
    </row>
    <row r="29" spans="1:10" x14ac:dyDescent="0.25">
      <c r="A29" s="30">
        <v>43831</v>
      </c>
      <c r="B29" s="32" t="s">
        <v>11</v>
      </c>
      <c r="C29" s="31">
        <v>1.64</v>
      </c>
      <c r="D29" s="32" t="s">
        <v>11</v>
      </c>
    </row>
    <row r="30" spans="1:10" x14ac:dyDescent="0.25">
      <c r="A30" s="30">
        <v>44013</v>
      </c>
      <c r="B30" s="32" t="s">
        <v>11</v>
      </c>
      <c r="C30" s="31">
        <v>1.64</v>
      </c>
      <c r="D30" s="32" t="s">
        <v>11</v>
      </c>
    </row>
    <row r="31" spans="1:10" ht="15.75" thickBot="1" x14ac:dyDescent="0.3">
      <c r="A31" s="30">
        <v>44197</v>
      </c>
      <c r="B31" s="32" t="s">
        <v>11</v>
      </c>
      <c r="C31" s="31">
        <v>1.64</v>
      </c>
      <c r="D31" s="32" t="s">
        <v>11</v>
      </c>
    </row>
    <row r="32" spans="1:10" x14ac:dyDescent="0.25">
      <c r="A32" s="30">
        <v>44378</v>
      </c>
      <c r="B32" s="31">
        <v>0.32</v>
      </c>
      <c r="C32" s="31">
        <v>1.96</v>
      </c>
      <c r="D32" s="32" t="s">
        <v>49</v>
      </c>
      <c r="E32" s="23"/>
      <c r="F32" s="23"/>
      <c r="G32" s="24"/>
    </row>
    <row r="33" spans="1:4" x14ac:dyDescent="0.25">
      <c r="A33" s="30">
        <v>44562</v>
      </c>
      <c r="B33" s="31">
        <v>7.0000000000000007E-2</v>
      </c>
      <c r="C33" s="31">
        <v>2.0299999999999998</v>
      </c>
      <c r="D33" s="32" t="s">
        <v>47</v>
      </c>
    </row>
    <row r="34" spans="1:4" x14ac:dyDescent="0.25">
      <c r="A34" s="30">
        <v>44743</v>
      </c>
      <c r="B34" s="31">
        <v>0.09</v>
      </c>
      <c r="C34" s="31">
        <v>2.12</v>
      </c>
      <c r="D34" s="32" t="s">
        <v>48</v>
      </c>
    </row>
  </sheetData>
  <hyperlinks>
    <hyperlink ref="A1" r:id="rId1" xr:uid="{C79C691A-27A2-435A-B8A1-7A0E94BD66DD}"/>
    <hyperlink ref="O4" r:id="rId2" display="https://www.rajemployee.com/wp-content/uploads/2022/12/F-RULES-7086-30102017.pdf" xr:uid="{B3D27B8A-FA97-4075-8FE9-FD7230DEB40D}"/>
    <hyperlink ref="O5" r:id="rId3" display="https://www.rajemployee.com/wp-content/uploads/2022/12/7.pdf" xr:uid="{DF03CFFB-1175-40B4-A2CC-4C1164104B63}"/>
    <hyperlink ref="O6" r:id="rId4" display="https://www.rajemployee.com/wp-content/uploads/2022/12/9.pdf" xr:uid="{5DD3AA93-776B-42FC-AE64-106EBDFF9EFA}"/>
    <hyperlink ref="O7" r:id="rId5" display="https://www.rajemployee.com/wp-content/uploads/2022/12/12.pdf" xr:uid="{1E4259C1-170F-4D42-A4DC-C17B4E0AF610}"/>
    <hyperlink ref="O8" r:id="rId6" display="https://www.rajemployee.com/wp-content/uploads/2020/04/17.pdf" xr:uid="{14137B4A-D721-452F-9FE6-4ED370CF2A48}"/>
    <hyperlink ref="O9" r:id="rId7" display="https://www.rajemployee.com/wp-content/uploads/2021/07/10059.pdf" xr:uid="{F2CDA5B1-CC07-45FD-9B59-BD88990E26DA}"/>
    <hyperlink ref="O11" r:id="rId8" display="https://www.rajemployee.com/wp-content/uploads/2022/03/10607.pdf" xr:uid="{C4B9ADF6-F36B-4E1F-A808-43411418E09C}"/>
    <hyperlink ref="O12" r:id="rId9" display="https://www.rajemployee.com/wp-content/uploads/2022/09/11365.pdf" xr:uid="{03C387B7-B4B4-4E93-87E8-77A13B2AB0CE}"/>
    <hyperlink ref="O13" r:id="rId10" display="https://www.rajemployee.com/wp-content/uploads/2023/03/11971.pdf" xr:uid="{0A70E5A7-3240-48E9-AC22-B94B9E5D632E}"/>
    <hyperlink ref="O14" r:id="rId11" display="https://www.rajemployee.com/wp-content/uploads/2023/10/12966.pdf" xr:uid="{FBF29BD7-E548-4D22-90AE-871CC7BE5413}"/>
    <hyperlink ref="O15" r:id="rId12" display="https://www.rajemployee.com/wp-content/uploads/2024/03/50.pdf" xr:uid="{E5AF2924-7957-4722-9F3C-5D497036A5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3586-F48A-4483-8038-5371B83823D7}">
  <dimension ref="A1:E87"/>
  <sheetViews>
    <sheetView tabSelected="1" topLeftCell="A79" workbookViewId="0">
      <selection activeCell="E86" sqref="E86"/>
    </sheetView>
  </sheetViews>
  <sheetFormatPr defaultColWidth="16.42578125" defaultRowHeight="15" x14ac:dyDescent="0.25"/>
  <sheetData>
    <row r="1" spans="1:5" ht="15.75" thickBot="1" x14ac:dyDescent="0.3">
      <c r="E1" s="14" t="s">
        <v>43</v>
      </c>
    </row>
    <row r="2" spans="1:5" ht="29.25" thickBot="1" x14ac:dyDescent="0.3">
      <c r="A2" s="19" t="s">
        <v>44</v>
      </c>
      <c r="B2" s="19" t="s">
        <v>45</v>
      </c>
      <c r="C2" s="19" t="s">
        <v>46</v>
      </c>
    </row>
    <row r="3" spans="1:5" ht="15.75" thickBot="1" x14ac:dyDescent="0.3">
      <c r="A3" s="20">
        <v>43466</v>
      </c>
      <c r="B3" s="19">
        <v>307</v>
      </c>
      <c r="C3" s="19">
        <v>13.4</v>
      </c>
    </row>
    <row r="4" spans="1:5" ht="15.75" thickBot="1" x14ac:dyDescent="0.3">
      <c r="A4" s="20">
        <v>43497</v>
      </c>
      <c r="B4" s="19">
        <v>307</v>
      </c>
      <c r="C4" s="19">
        <v>14.03</v>
      </c>
    </row>
    <row r="5" spans="1:5" ht="15.75" thickBot="1" x14ac:dyDescent="0.3">
      <c r="A5" s="20">
        <v>43525</v>
      </c>
      <c r="B5" s="19">
        <v>309</v>
      </c>
      <c r="C5" s="19">
        <v>14.73</v>
      </c>
    </row>
    <row r="6" spans="1:5" ht="15.75" thickBot="1" x14ac:dyDescent="0.3">
      <c r="A6" s="20">
        <v>43556</v>
      </c>
      <c r="B6" s="19">
        <v>312</v>
      </c>
      <c r="C6" s="19">
        <v>15.5</v>
      </c>
    </row>
    <row r="7" spans="1:5" ht="15.75" thickBot="1" x14ac:dyDescent="0.3">
      <c r="A7" s="20">
        <v>43586</v>
      </c>
      <c r="B7" s="19">
        <v>314</v>
      </c>
      <c r="C7" s="19">
        <v>16.3</v>
      </c>
    </row>
    <row r="8" spans="1:5" ht="18.75" thickBot="1" x14ac:dyDescent="0.3">
      <c r="A8" s="21">
        <v>43617</v>
      </c>
      <c r="B8" s="22">
        <v>316</v>
      </c>
      <c r="C8" s="22">
        <v>17.09</v>
      </c>
    </row>
    <row r="9" spans="1:5" ht="15.75" thickBot="1" x14ac:dyDescent="0.3">
      <c r="A9" s="20">
        <v>43647</v>
      </c>
      <c r="B9" s="19">
        <v>319</v>
      </c>
      <c r="C9" s="19">
        <v>17.670000000000002</v>
      </c>
    </row>
    <row r="10" spans="1:5" ht="15.75" thickBot="1" x14ac:dyDescent="0.3">
      <c r="A10" s="20">
        <v>43678</v>
      </c>
      <c r="B10" s="19">
        <v>320</v>
      </c>
      <c r="C10" s="19">
        <v>18.27</v>
      </c>
    </row>
    <row r="11" spans="1:5" ht="15.75" thickBot="1" x14ac:dyDescent="0.3">
      <c r="A11" s="20">
        <v>43709</v>
      </c>
      <c r="B11" s="19">
        <v>322</v>
      </c>
      <c r="C11" s="19">
        <v>18.940000000000001</v>
      </c>
    </row>
    <row r="12" spans="1:5" ht="15.75" thickBot="1" x14ac:dyDescent="0.3">
      <c r="A12" s="20">
        <v>43739</v>
      </c>
      <c r="B12" s="19">
        <v>325</v>
      </c>
      <c r="C12" s="19">
        <v>19.68</v>
      </c>
    </row>
    <row r="13" spans="1:5" ht="15.75" thickBot="1" x14ac:dyDescent="0.3">
      <c r="A13" s="20">
        <v>43770</v>
      </c>
      <c r="B13" s="19">
        <v>328</v>
      </c>
      <c r="C13" s="19">
        <v>20.5</v>
      </c>
    </row>
    <row r="14" spans="1:5" ht="18.75" thickBot="1" x14ac:dyDescent="0.3">
      <c r="A14" s="21">
        <v>43800</v>
      </c>
      <c r="B14" s="22">
        <v>330</v>
      </c>
      <c r="C14" s="22">
        <v>21.43</v>
      </c>
    </row>
    <row r="15" spans="1:5" ht="15.75" thickBot="1" x14ac:dyDescent="0.3">
      <c r="A15" s="20">
        <v>43831</v>
      </c>
      <c r="B15" s="19">
        <v>330</v>
      </c>
      <c r="C15" s="19">
        <v>22.16</v>
      </c>
    </row>
    <row r="16" spans="1:5" ht="15.75" thickBot="1" x14ac:dyDescent="0.3">
      <c r="A16" s="20">
        <v>43862</v>
      </c>
      <c r="B16" s="19">
        <v>328</v>
      </c>
      <c r="C16" s="19">
        <v>22.83</v>
      </c>
    </row>
    <row r="17" spans="1:3" ht="15.75" thickBot="1" x14ac:dyDescent="0.3">
      <c r="A17" s="20">
        <v>43891</v>
      </c>
      <c r="B17" s="19">
        <v>326</v>
      </c>
      <c r="C17" s="19">
        <v>23.37</v>
      </c>
    </row>
    <row r="18" spans="1:3" ht="15.75" thickBot="1" x14ac:dyDescent="0.3">
      <c r="A18" s="20">
        <v>43922</v>
      </c>
      <c r="B18" s="19">
        <v>329</v>
      </c>
      <c r="C18" s="19">
        <v>23.92</v>
      </c>
    </row>
    <row r="19" spans="1:3" ht="15.75" thickBot="1" x14ac:dyDescent="0.3">
      <c r="A19" s="20">
        <v>43952</v>
      </c>
      <c r="B19" s="19">
        <v>330</v>
      </c>
      <c r="C19" s="19">
        <v>24.43</v>
      </c>
    </row>
    <row r="20" spans="1:3" ht="18.75" thickBot="1" x14ac:dyDescent="0.3">
      <c r="A20" s="21">
        <v>43983</v>
      </c>
      <c r="B20" s="22">
        <v>332</v>
      </c>
      <c r="C20" s="22">
        <v>24.94</v>
      </c>
    </row>
    <row r="21" spans="1:3" ht="15.75" thickBot="1" x14ac:dyDescent="0.3">
      <c r="A21" s="20">
        <v>44013</v>
      </c>
      <c r="B21" s="19">
        <v>336</v>
      </c>
      <c r="C21" s="19">
        <v>25.48</v>
      </c>
    </row>
    <row r="22" spans="1:3" ht="15.75" thickBot="1" x14ac:dyDescent="0.3">
      <c r="A22" s="20">
        <v>44044</v>
      </c>
      <c r="B22" s="19">
        <v>338</v>
      </c>
      <c r="C22" s="19">
        <v>26.05</v>
      </c>
    </row>
    <row r="23" spans="1:3" ht="15.75" thickBot="1" x14ac:dyDescent="0.3">
      <c r="A23" s="20">
        <v>44075</v>
      </c>
      <c r="B23" s="19">
        <v>118.1</v>
      </c>
      <c r="C23" s="19">
        <v>26.63</v>
      </c>
    </row>
    <row r="24" spans="1:3" ht="15.75" thickBot="1" x14ac:dyDescent="0.3">
      <c r="A24" s="20">
        <v>44105</v>
      </c>
      <c r="B24" s="19">
        <v>119.5</v>
      </c>
      <c r="C24" s="19">
        <v>27.24</v>
      </c>
    </row>
    <row r="25" spans="1:3" ht="15.75" thickBot="1" x14ac:dyDescent="0.3">
      <c r="A25" s="20">
        <v>44136</v>
      </c>
      <c r="B25" s="19">
        <v>119.9</v>
      </c>
      <c r="C25" s="19">
        <v>27.79</v>
      </c>
    </row>
    <row r="26" spans="1:3" ht="18.75" thickBot="1" x14ac:dyDescent="0.3">
      <c r="A26" s="21">
        <v>44166</v>
      </c>
      <c r="B26" s="22">
        <v>118.8</v>
      </c>
      <c r="C26" s="22">
        <v>28.18</v>
      </c>
    </row>
    <row r="27" spans="1:3" ht="15.75" thickBot="1" x14ac:dyDescent="0.3">
      <c r="A27" s="20">
        <v>44197</v>
      </c>
      <c r="B27" s="19">
        <v>118.2</v>
      </c>
      <c r="C27" s="19">
        <v>28.51</v>
      </c>
    </row>
    <row r="28" spans="1:3" ht="15.75" thickBot="1" x14ac:dyDescent="0.3">
      <c r="A28" s="20">
        <v>44228</v>
      </c>
      <c r="B28" s="19">
        <v>119</v>
      </c>
      <c r="C28" s="19">
        <v>28.98</v>
      </c>
    </row>
    <row r="29" spans="1:3" ht="15.75" thickBot="1" x14ac:dyDescent="0.3">
      <c r="A29" s="20">
        <v>44256</v>
      </c>
      <c r="B29" s="19">
        <v>119.6</v>
      </c>
      <c r="C29" s="19">
        <v>29.57</v>
      </c>
    </row>
    <row r="30" spans="1:3" ht="15.75" thickBot="1" x14ac:dyDescent="0.3">
      <c r="A30" s="20">
        <v>44287</v>
      </c>
      <c r="B30" s="19">
        <v>120.1</v>
      </c>
      <c r="C30" s="19">
        <v>30.11</v>
      </c>
    </row>
    <row r="31" spans="1:3" ht="15.75" thickBot="1" x14ac:dyDescent="0.3">
      <c r="A31" s="20">
        <v>44317</v>
      </c>
      <c r="B31" s="19">
        <v>120.6</v>
      </c>
      <c r="C31" s="19">
        <v>30.66</v>
      </c>
    </row>
    <row r="32" spans="1:3" ht="18.75" thickBot="1" x14ac:dyDescent="0.3">
      <c r="A32" s="21">
        <v>44348</v>
      </c>
      <c r="B32" s="22">
        <v>121.7</v>
      </c>
      <c r="C32" s="22">
        <v>31.25</v>
      </c>
    </row>
    <row r="33" spans="1:3" ht="15.75" thickBot="1" x14ac:dyDescent="0.3">
      <c r="A33" s="20">
        <v>44378</v>
      </c>
      <c r="B33" s="19">
        <v>122.8</v>
      </c>
      <c r="C33" s="19">
        <v>31.81</v>
      </c>
    </row>
    <row r="34" spans="1:3" ht="15.75" thickBot="1" x14ac:dyDescent="0.3">
      <c r="A34" s="20">
        <v>44409</v>
      </c>
      <c r="B34" s="19">
        <v>123</v>
      </c>
      <c r="C34" s="19">
        <v>32.33</v>
      </c>
    </row>
    <row r="35" spans="1:3" ht="15.75" thickBot="1" x14ac:dyDescent="0.3">
      <c r="A35" s="20">
        <v>44440</v>
      </c>
      <c r="B35" s="19">
        <v>123.3</v>
      </c>
      <c r="C35" s="19">
        <v>32.81</v>
      </c>
    </row>
    <row r="36" spans="1:3" ht="15.75" thickBot="1" x14ac:dyDescent="0.3">
      <c r="A36" s="20">
        <v>44470</v>
      </c>
      <c r="B36" s="19">
        <v>124.9</v>
      </c>
      <c r="C36" s="19">
        <v>33.299999999999997</v>
      </c>
    </row>
    <row r="37" spans="1:3" ht="15.75" thickBot="1" x14ac:dyDescent="0.3">
      <c r="A37" s="20">
        <v>44501</v>
      </c>
      <c r="B37" s="19">
        <v>125.7</v>
      </c>
      <c r="C37" s="19">
        <v>33.840000000000003</v>
      </c>
    </row>
    <row r="38" spans="1:3" ht="18.75" thickBot="1" x14ac:dyDescent="0.3">
      <c r="A38" s="21">
        <v>44531</v>
      </c>
      <c r="B38" s="22">
        <v>125.4</v>
      </c>
      <c r="C38" s="22">
        <v>34.44</v>
      </c>
    </row>
    <row r="39" spans="1:3" ht="15.75" thickBot="1" x14ac:dyDescent="0.3">
      <c r="A39" s="20">
        <v>44562</v>
      </c>
      <c r="B39" s="19">
        <v>125.1</v>
      </c>
      <c r="C39" s="19">
        <v>35.08</v>
      </c>
    </row>
    <row r="40" spans="1:3" ht="15.75" thickBot="1" x14ac:dyDescent="0.3">
      <c r="A40" s="20">
        <v>44593</v>
      </c>
      <c r="B40" s="19">
        <v>125</v>
      </c>
      <c r="C40" s="19">
        <v>35.630000000000003</v>
      </c>
    </row>
    <row r="41" spans="1:3" ht="15.75" thickBot="1" x14ac:dyDescent="0.3">
      <c r="A41" s="20">
        <v>44621</v>
      </c>
      <c r="B41" s="19">
        <v>126</v>
      </c>
      <c r="C41" s="19">
        <v>36.21</v>
      </c>
    </row>
    <row r="42" spans="1:3" ht="15.75" thickBot="1" x14ac:dyDescent="0.3">
      <c r="A42" s="20">
        <v>44652</v>
      </c>
      <c r="B42" s="19">
        <v>127.7</v>
      </c>
      <c r="C42" s="19">
        <v>36.909999999999997</v>
      </c>
    </row>
    <row r="43" spans="1:3" ht="15.75" thickBot="1" x14ac:dyDescent="0.3">
      <c r="A43" s="20">
        <v>44682</v>
      </c>
      <c r="B43" s="19">
        <v>129</v>
      </c>
      <c r="C43" s="19">
        <v>37.68</v>
      </c>
    </row>
    <row r="44" spans="1:3" ht="18.75" thickBot="1" x14ac:dyDescent="0.3">
      <c r="A44" s="21">
        <v>44713</v>
      </c>
      <c r="B44" s="22">
        <v>129.19999999999999</v>
      </c>
      <c r="C44" s="22">
        <v>38.369999999999997</v>
      </c>
    </row>
    <row r="45" spans="1:3" ht="15.75" thickBot="1" x14ac:dyDescent="0.3">
      <c r="A45" s="20">
        <v>44743</v>
      </c>
      <c r="B45" s="19">
        <v>129.9</v>
      </c>
      <c r="C45" s="19">
        <v>39.020000000000003</v>
      </c>
    </row>
    <row r="46" spans="1:3" ht="15.75" thickBot="1" x14ac:dyDescent="0.3">
      <c r="A46" s="20">
        <v>44774</v>
      </c>
      <c r="B46" s="19">
        <v>130.19999999999999</v>
      </c>
      <c r="C46" s="19">
        <v>39.68</v>
      </c>
    </row>
    <row r="47" spans="1:3" ht="15.75" thickBot="1" x14ac:dyDescent="0.3">
      <c r="A47" s="20">
        <v>44805</v>
      </c>
      <c r="B47" s="19">
        <v>131.30000000000001</v>
      </c>
      <c r="C47" s="19">
        <v>40.42</v>
      </c>
    </row>
    <row r="48" spans="1:3" ht="15.75" thickBot="1" x14ac:dyDescent="0.3">
      <c r="A48" s="20">
        <v>44835</v>
      </c>
      <c r="B48" s="19">
        <v>132.5</v>
      </c>
      <c r="C48" s="19">
        <v>41.12</v>
      </c>
    </row>
    <row r="49" spans="1:3" ht="15.75" thickBot="1" x14ac:dyDescent="0.3">
      <c r="A49" s="20">
        <v>44866</v>
      </c>
      <c r="B49" s="19">
        <v>132.5</v>
      </c>
      <c r="C49" s="19">
        <v>41.74</v>
      </c>
    </row>
    <row r="50" spans="1:3" ht="18.75" thickBot="1" x14ac:dyDescent="0.3">
      <c r="A50" s="21">
        <v>44896</v>
      </c>
      <c r="B50" s="22">
        <v>132.30000000000001</v>
      </c>
      <c r="C50" s="22">
        <v>42.37</v>
      </c>
    </row>
    <row r="51" spans="1:3" ht="15.75" thickBot="1" x14ac:dyDescent="0.3">
      <c r="A51" s="20">
        <v>44927</v>
      </c>
      <c r="B51" s="19">
        <v>132.80000000000001</v>
      </c>
      <c r="C51" s="19">
        <v>43.08</v>
      </c>
    </row>
    <row r="52" spans="1:3" ht="15.75" thickBot="1" x14ac:dyDescent="0.3">
      <c r="A52" s="20">
        <v>44958</v>
      </c>
      <c r="B52" s="19">
        <v>132.69999999999999</v>
      </c>
      <c r="C52" s="19">
        <v>43.79</v>
      </c>
    </row>
    <row r="53" spans="1:3" ht="15.75" thickBot="1" x14ac:dyDescent="0.3">
      <c r="A53" s="20">
        <v>44986</v>
      </c>
      <c r="B53" s="19">
        <v>133.30000000000001</v>
      </c>
      <c r="C53" s="19">
        <v>44.46</v>
      </c>
    </row>
    <row r="54" spans="1:3" ht="15.75" thickBot="1" x14ac:dyDescent="0.3">
      <c r="A54" s="20">
        <v>45017</v>
      </c>
      <c r="B54" s="19">
        <v>134.19999999999999</v>
      </c>
      <c r="C54" s="19">
        <v>45.06</v>
      </c>
    </row>
    <row r="55" spans="1:3" ht="15.75" thickBot="1" x14ac:dyDescent="0.3">
      <c r="A55" s="20">
        <v>45047</v>
      </c>
      <c r="B55" s="19">
        <v>134.69999999999999</v>
      </c>
      <c r="C55" s="19">
        <v>45.58</v>
      </c>
    </row>
    <row r="56" spans="1:3" ht="18.75" thickBot="1" x14ac:dyDescent="0.3">
      <c r="A56" s="21">
        <v>45078</v>
      </c>
      <c r="B56" s="22">
        <v>136.4</v>
      </c>
      <c r="C56" s="22">
        <v>46.24</v>
      </c>
    </row>
    <row r="57" spans="1:3" ht="15.75" thickBot="1" x14ac:dyDescent="0.3">
      <c r="A57" s="20">
        <v>45108</v>
      </c>
      <c r="B57" s="19">
        <v>139.69999999999999</v>
      </c>
      <c r="C57" s="19">
        <v>47.14</v>
      </c>
    </row>
    <row r="58" spans="1:3" ht="15.75" thickBot="1" x14ac:dyDescent="0.3">
      <c r="A58" s="20">
        <v>45139</v>
      </c>
      <c r="B58" s="19">
        <v>139.19999999999999</v>
      </c>
      <c r="C58" s="19">
        <v>47.97</v>
      </c>
    </row>
    <row r="59" spans="1:3" ht="15.75" thickBot="1" x14ac:dyDescent="0.3">
      <c r="A59" s="20">
        <v>45170</v>
      </c>
      <c r="B59" s="19">
        <v>137.5</v>
      </c>
      <c r="C59" s="19">
        <v>48.54</v>
      </c>
    </row>
    <row r="60" spans="1:3" ht="15.75" thickBot="1" x14ac:dyDescent="0.3">
      <c r="A60" s="20">
        <v>45200</v>
      </c>
      <c r="B60" s="19">
        <v>138.4</v>
      </c>
      <c r="C60" s="19">
        <v>49.08</v>
      </c>
    </row>
    <row r="61" spans="1:3" ht="15.75" thickBot="1" x14ac:dyDescent="0.3">
      <c r="A61" s="20">
        <v>45231</v>
      </c>
      <c r="B61" s="19">
        <v>139.1</v>
      </c>
      <c r="C61" s="19">
        <v>49.68</v>
      </c>
    </row>
    <row r="62" spans="1:3" ht="18.75" thickBot="1" x14ac:dyDescent="0.3">
      <c r="A62" s="21">
        <v>45261</v>
      </c>
      <c r="B62" s="22">
        <v>138.80000000000001</v>
      </c>
      <c r="C62" s="22">
        <v>50.28</v>
      </c>
    </row>
    <row r="63" spans="1:3" ht="15.75" thickBot="1" x14ac:dyDescent="0.3">
      <c r="A63" s="20">
        <v>45292</v>
      </c>
      <c r="B63" s="19">
        <v>138.9</v>
      </c>
      <c r="C63" s="19">
        <v>50.84</v>
      </c>
    </row>
    <row r="64" spans="1:3" ht="15.75" thickBot="1" x14ac:dyDescent="0.3">
      <c r="A64" s="20">
        <v>45323</v>
      </c>
      <c r="B64" s="19">
        <v>139.19999999999999</v>
      </c>
      <c r="C64" s="19">
        <v>51.44</v>
      </c>
    </row>
    <row r="65" spans="1:3" ht="15.75" thickBot="1" x14ac:dyDescent="0.3">
      <c r="A65" s="20">
        <v>45352</v>
      </c>
      <c r="B65" s="19">
        <v>138.9</v>
      </c>
      <c r="C65" s="19">
        <v>51.95</v>
      </c>
    </row>
    <row r="66" spans="1:3" ht="15.75" thickBot="1" x14ac:dyDescent="0.3">
      <c r="A66" s="20">
        <v>45383</v>
      </c>
      <c r="B66" s="19">
        <v>139.4</v>
      </c>
      <c r="C66" s="19">
        <v>52.43</v>
      </c>
    </row>
    <row r="67" spans="1:3" ht="15.75" thickBot="1" x14ac:dyDescent="0.3">
      <c r="A67" s="20">
        <v>45413</v>
      </c>
      <c r="B67" s="19">
        <v>139.9</v>
      </c>
      <c r="C67" s="19">
        <v>52.91</v>
      </c>
    </row>
    <row r="68" spans="1:3" ht="18.75" thickBot="1" x14ac:dyDescent="0.3">
      <c r="A68" s="21">
        <v>45444</v>
      </c>
      <c r="B68" s="22">
        <v>141.4</v>
      </c>
      <c r="C68" s="22">
        <v>53.36</v>
      </c>
    </row>
    <row r="69" spans="1:3" ht="15.75" thickBot="1" x14ac:dyDescent="0.3">
      <c r="A69" s="20">
        <v>45474</v>
      </c>
      <c r="B69" s="19">
        <v>142.69999999999999</v>
      </c>
      <c r="C69" s="19">
        <v>53.64</v>
      </c>
    </row>
    <row r="70" spans="1:3" ht="15.75" thickBot="1" x14ac:dyDescent="0.3">
      <c r="A70" s="20">
        <v>45505</v>
      </c>
      <c r="B70" s="19">
        <v>142.6</v>
      </c>
      <c r="C70" s="19">
        <v>53.95</v>
      </c>
    </row>
    <row r="71" spans="1:3" ht="15.75" thickBot="1" x14ac:dyDescent="0.3">
      <c r="A71" s="20">
        <v>45536</v>
      </c>
      <c r="B71" s="19">
        <v>143.30000000000001</v>
      </c>
      <c r="C71" s="19">
        <v>54.49</v>
      </c>
    </row>
    <row r="72" spans="1:3" ht="15.75" thickBot="1" x14ac:dyDescent="0.3">
      <c r="A72" s="20">
        <v>45566</v>
      </c>
      <c r="B72" s="19">
        <v>144.5</v>
      </c>
      <c r="C72" s="19">
        <v>55.05</v>
      </c>
    </row>
    <row r="73" spans="1:3" ht="15.75" thickBot="1" x14ac:dyDescent="0.3">
      <c r="A73" s="20">
        <v>45597</v>
      </c>
      <c r="B73" s="19">
        <v>144.5</v>
      </c>
      <c r="C73" s="19">
        <v>55.54</v>
      </c>
    </row>
    <row r="74" spans="1:3" ht="18.75" thickBot="1" x14ac:dyDescent="0.3">
      <c r="A74" s="21">
        <v>45627</v>
      </c>
      <c r="B74" s="22">
        <v>143.69999999999999</v>
      </c>
      <c r="C74" s="22">
        <v>55.99</v>
      </c>
    </row>
    <row r="75" spans="1:3" ht="15.75" thickBot="1" x14ac:dyDescent="0.3">
      <c r="A75" s="20">
        <v>45658</v>
      </c>
      <c r="B75" s="19">
        <v>143.19999999999999</v>
      </c>
      <c r="C75" s="19">
        <v>56.39</v>
      </c>
    </row>
    <row r="76" spans="1:3" ht="15.75" thickBot="1" x14ac:dyDescent="0.3">
      <c r="A76" s="20">
        <v>45689</v>
      </c>
      <c r="B76" s="19">
        <v>142.80000000000001</v>
      </c>
      <c r="C76" s="19">
        <v>56.72</v>
      </c>
    </row>
    <row r="77" spans="1:3" ht="15.75" thickBot="1" x14ac:dyDescent="0.3">
      <c r="A77" s="20">
        <v>45717</v>
      </c>
      <c r="B77" s="19">
        <v>143</v>
      </c>
      <c r="C77" s="19">
        <v>57.09</v>
      </c>
    </row>
    <row r="78" spans="1:3" ht="15.75" thickBot="1" x14ac:dyDescent="0.3">
      <c r="A78" s="20">
        <v>45748</v>
      </c>
      <c r="B78" s="19">
        <v>143.5</v>
      </c>
      <c r="C78" s="19">
        <v>57.47</v>
      </c>
    </row>
    <row r="79" spans="1:3" ht="15.75" thickBot="1" x14ac:dyDescent="0.3">
      <c r="A79" s="20">
        <v>45778</v>
      </c>
      <c r="B79" s="19">
        <v>144</v>
      </c>
      <c r="C79" s="19">
        <v>57.85</v>
      </c>
    </row>
    <row r="80" spans="1:3" ht="18.75" thickBot="1" x14ac:dyDescent="0.3">
      <c r="A80" s="21">
        <v>45809</v>
      </c>
      <c r="B80" s="22">
        <v>145</v>
      </c>
      <c r="C80" s="22">
        <v>58.18</v>
      </c>
    </row>
    <row r="81" spans="1:5" ht="15.75" thickBot="1" x14ac:dyDescent="0.3">
      <c r="A81" s="20">
        <v>45839</v>
      </c>
      <c r="B81" s="19">
        <v>146.5</v>
      </c>
      <c r="C81" s="19">
        <v>58.52</v>
      </c>
    </row>
    <row r="82" spans="1:5" ht="15.75" thickBot="1" x14ac:dyDescent="0.3">
      <c r="A82" s="20">
        <v>45870</v>
      </c>
      <c r="B82" s="19">
        <v>147.1</v>
      </c>
      <c r="C82" s="19">
        <v>58.94</v>
      </c>
    </row>
    <row r="83" spans="1:5" ht="15.75" thickBot="1" x14ac:dyDescent="0.3">
      <c r="A83" s="20">
        <v>45901</v>
      </c>
      <c r="B83" s="19">
        <v>147.30000000000001</v>
      </c>
      <c r="C83" s="19">
        <v>59.31</v>
      </c>
    </row>
    <row r="84" spans="1:5" ht="15.75" thickBot="1" x14ac:dyDescent="0.3">
      <c r="A84" s="20">
        <v>45931</v>
      </c>
      <c r="B84" s="19">
        <v>147.69999999999999</v>
      </c>
      <c r="C84" s="19">
        <v>59.6</v>
      </c>
    </row>
    <row r="85" spans="1:5" ht="15.75" thickBot="1" x14ac:dyDescent="0.3">
      <c r="A85" s="20">
        <v>45962</v>
      </c>
      <c r="B85" s="19">
        <v>148.19999999999999</v>
      </c>
      <c r="C85" s="19">
        <v>59.94</v>
      </c>
    </row>
    <row r="86" spans="1:5" ht="18.75" thickBot="1" x14ac:dyDescent="0.3">
      <c r="A86" s="21">
        <v>45992</v>
      </c>
      <c r="B86" s="22">
        <v>148.19999999999999</v>
      </c>
      <c r="C86" s="22">
        <v>60.35</v>
      </c>
      <c r="E86" s="14" t="s">
        <v>43</v>
      </c>
    </row>
    <row r="87" spans="1:5" ht="15.75" thickBot="1" x14ac:dyDescent="0.3">
      <c r="A87" s="20">
        <v>46023</v>
      </c>
      <c r="B87" s="19">
        <v>148.6</v>
      </c>
      <c r="C87" s="19">
        <v>60.85</v>
      </c>
    </row>
  </sheetData>
  <hyperlinks>
    <hyperlink ref="E1" r:id="rId1" xr:uid="{6A65756E-FA98-4A88-B52D-93B63923569C}"/>
    <hyperlink ref="E86" r:id="rId2" xr:uid="{BAB78EE4-CB9D-4212-9ABD-4D4E3BF5F45D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CBE2-B27C-431B-8F25-FEC362A45034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52</v>
      </c>
      <c r="B1" s="33">
        <f ca="1">TODAY()</f>
        <v>46120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JEEVISHA</dc:creator>
  <cp:lastModifiedBy>Mohit Kumar Jain</cp:lastModifiedBy>
  <dcterms:created xsi:type="dcterms:W3CDTF">2019-12-22T11:21:43Z</dcterms:created>
  <dcterms:modified xsi:type="dcterms:W3CDTF">2026-04-08T16:07:19Z</dcterms:modified>
</cp:coreProperties>
</file>