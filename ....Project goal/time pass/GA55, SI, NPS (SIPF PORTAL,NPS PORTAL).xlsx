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3.xml" ContentType="application/vnd.openxmlformats-officedocument.spreadsheetml.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wealthdash\....Project goal\time pass\"/>
    </mc:Choice>
  </mc:AlternateContent>
  <xr:revisionPtr revIDLastSave="0" documentId="13_ncr:1_{452B28AB-4093-43A7-9AF5-70DB35DA25FC}" xr6:coauthVersionLast="47" xr6:coauthVersionMax="47" xr10:uidLastSave="{00000000-0000-0000-0000-000000000000}"/>
  <bookViews>
    <workbookView xWindow="-120" yWindow="-120" windowWidth="21840" windowHeight="13140" tabRatio="777" firstSheet="4" activeTab="12" xr2:uid="{00000000-000D-0000-FFFF-FFFF00000000}"/>
  </bookViews>
  <sheets>
    <sheet name="Pivots" sheetId="75" r:id="rId1"/>
    <sheet name="SI Passbook" sheetId="93" r:id="rId2"/>
    <sheet name="GA55" sheetId="74" r:id="rId3"/>
    <sheet name="Leave Balance" sheetId="91" r:id="rId4"/>
    <sheet name="GPF" sheetId="87" r:id="rId5"/>
    <sheet name="SI (SSO ID New)" sheetId="81" r:id="rId6"/>
    <sheet name="SI (SSO ID New with Detail)" sheetId="82" r:id="rId7"/>
    <sheet name="NPS (SSO ID)" sheetId="66" r:id="rId8"/>
    <sheet name="NPS Site" sheetId="65" r:id="rId9"/>
    <sheet name="NPS Site Tier 2" sheetId="71" r:id="rId10"/>
    <sheet name="Gratuity" sheetId="69" r:id="rId11"/>
    <sheet name="RGHS" sheetId="89" r:id="rId12"/>
    <sheet name="Differnce Sheet" sheetId="79" r:id="rId13"/>
  </sheets>
  <externalReferences>
    <externalReference r:id="rId14"/>
  </externalReferences>
  <definedNames>
    <definedName name="_xlnm._FilterDatabase" localSheetId="4" hidden="1">GPF!$A$1:$V$146</definedName>
    <definedName name="_xlnm._FilterDatabase" localSheetId="3" hidden="1">'Leave Balance'!$B$1:$C$1</definedName>
    <definedName name="_xlnm._FilterDatabase" localSheetId="7" hidden="1">'NPS (SSO ID)'!$A$4:$I$82</definedName>
    <definedName name="_xlnm._FilterDatabase" localSheetId="11" hidden="1">RGHS!#REF!</definedName>
    <definedName name="_xlnm._FilterDatabase" localSheetId="6" hidden="1">'SI (SSO ID New with Detail)'!$Q$1:$T$74</definedName>
    <definedName name="_xlnm._FilterDatabase" localSheetId="1" hidden="1">'SI Passbook'!$A$6:$H$729</definedName>
  </definedNames>
  <calcPr calcId="191029"/>
  <pivotCaches>
    <pivotCache cacheId="0" r:id="rId15"/>
    <pivotCache cacheId="1" r:id="rId16"/>
    <pivotCache cacheId="2" r:id="rId17"/>
    <pivotCache cacheId="3" r:id="rId18"/>
    <pivotCache cacheId="4" r:id="rId19"/>
    <pivotCache cacheId="5" r:id="rId20"/>
    <pivotCache cacheId="6" r:id="rId21"/>
    <pivotCache cacheId="7" r:id="rId22"/>
    <pivotCache cacheId="8" r:id="rId23"/>
    <pivotCache cacheId="9" r:id="rId24"/>
    <pivotCache cacheId="10" r:id="rId2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34" i="89" l="1"/>
  <c r="D134" i="89"/>
  <c r="B133" i="89"/>
  <c r="D133" i="89"/>
  <c r="O9" i="89"/>
  <c r="M9" i="89"/>
  <c r="O8" i="89"/>
  <c r="M8" i="89"/>
  <c r="M10" i="89"/>
  <c r="O10" i="89"/>
  <c r="W110" i="82"/>
  <c r="U5" i="81"/>
  <c r="U6" i="81"/>
  <c r="U7" i="81"/>
  <c r="U8" i="81"/>
  <c r="U9" i="81"/>
  <c r="U10" i="81"/>
  <c r="U11" i="81"/>
  <c r="U12" i="81"/>
  <c r="U13" i="81"/>
  <c r="U14" i="81"/>
  <c r="U15" i="81"/>
  <c r="U16" i="81"/>
  <c r="U17" i="81"/>
  <c r="U18" i="81"/>
  <c r="U19" i="81"/>
  <c r="U20" i="81"/>
  <c r="U21" i="81"/>
  <c r="U22" i="81"/>
  <c r="U23" i="81"/>
  <c r="U24" i="81"/>
  <c r="U25" i="81"/>
  <c r="U26" i="81"/>
  <c r="U27" i="81"/>
  <c r="U28" i="81"/>
  <c r="U29" i="81"/>
  <c r="U30" i="81"/>
  <c r="U31" i="81"/>
  <c r="U32" i="81"/>
  <c r="U33" i="81"/>
  <c r="U34" i="81"/>
  <c r="U35" i="81"/>
  <c r="U36" i="81"/>
  <c r="U37" i="81"/>
  <c r="U38" i="81"/>
  <c r="U39" i="81"/>
  <c r="U40" i="81"/>
  <c r="U41" i="81"/>
  <c r="U42" i="81"/>
  <c r="U43" i="81"/>
  <c r="U44" i="81"/>
  <c r="U45" i="81"/>
  <c r="U46" i="81"/>
  <c r="U47" i="81"/>
  <c r="U48" i="81"/>
  <c r="U49" i="81"/>
  <c r="U50" i="81"/>
  <c r="U51" i="81"/>
  <c r="U52" i="81"/>
  <c r="U53" i="81"/>
  <c r="U54" i="81"/>
  <c r="U55" i="81"/>
  <c r="U56" i="81"/>
  <c r="U57" i="81"/>
  <c r="U58" i="81"/>
  <c r="U59" i="81"/>
  <c r="U60" i="81"/>
  <c r="U61" i="81"/>
  <c r="U62" i="81"/>
  <c r="U63" i="81"/>
  <c r="U64" i="81"/>
  <c r="U65" i="81"/>
  <c r="U66" i="81"/>
  <c r="U67" i="81"/>
  <c r="U68" i="81"/>
  <c r="U69" i="81"/>
  <c r="U70" i="81"/>
  <c r="U71" i="81"/>
  <c r="U72" i="81"/>
  <c r="U73" i="81"/>
  <c r="U74" i="81"/>
  <c r="U75" i="81"/>
  <c r="U76" i="81"/>
  <c r="U77" i="81"/>
  <c r="U78" i="81"/>
  <c r="U79" i="81"/>
  <c r="U80" i="81"/>
  <c r="U81" i="81"/>
  <c r="U82" i="81"/>
  <c r="U83" i="81"/>
  <c r="U84" i="81"/>
  <c r="U85" i="81"/>
  <c r="U86" i="81"/>
  <c r="U87" i="81"/>
  <c r="U88" i="81"/>
  <c r="U89" i="81"/>
  <c r="U90" i="81"/>
  <c r="U91" i="81"/>
  <c r="U92" i="81"/>
  <c r="U93" i="81"/>
  <c r="U94" i="81"/>
  <c r="U95" i="81"/>
  <c r="U96" i="81"/>
  <c r="U97" i="81"/>
  <c r="U98" i="81"/>
  <c r="U99" i="81"/>
  <c r="U100" i="81"/>
  <c r="U101" i="81"/>
  <c r="U102" i="81"/>
  <c r="U103" i="81"/>
  <c r="U104" i="81"/>
  <c r="U105" i="81"/>
  <c r="U106" i="81"/>
  <c r="U107" i="81"/>
  <c r="U108" i="81"/>
  <c r="U109" i="81"/>
  <c r="U110" i="81"/>
  <c r="U111" i="81"/>
  <c r="U112" i="81"/>
  <c r="U113" i="81"/>
  <c r="U114" i="81"/>
  <c r="U115" i="81"/>
  <c r="U116" i="81"/>
  <c r="U117" i="81"/>
  <c r="U118" i="81"/>
  <c r="U119" i="81"/>
  <c r="U120" i="81"/>
  <c r="U121" i="81"/>
  <c r="U122" i="81"/>
  <c r="U123" i="81"/>
  <c r="U124" i="81"/>
  <c r="U125" i="81"/>
  <c r="AN15" i="81"/>
  <c r="AM15" i="81"/>
  <c r="AL15" i="81"/>
  <c r="AK15" i="81"/>
  <c r="AJ15" i="81"/>
  <c r="AI15" i="81"/>
  <c r="AH15" i="81"/>
  <c r="AG15" i="81"/>
  <c r="AF15" i="81"/>
  <c r="AE15" i="81"/>
  <c r="AD15" i="81"/>
  <c r="AC15" i="81"/>
  <c r="AB15" i="81"/>
  <c r="AA15" i="81"/>
  <c r="Z15" i="81"/>
  <c r="Y15" i="81"/>
  <c r="AA204" i="74"/>
  <c r="AA203" i="74"/>
  <c r="P204" i="74"/>
  <c r="P203" i="74"/>
  <c r="L374" i="82"/>
  <c r="M374" i="82"/>
  <c r="Q125" i="81"/>
  <c r="R125" i="81"/>
  <c r="S125" i="81"/>
  <c r="T125" i="81"/>
  <c r="Q123" i="81"/>
  <c r="Q124" i="81"/>
  <c r="R123" i="81"/>
  <c r="R124" i="81"/>
  <c r="S123" i="81"/>
  <c r="S124" i="81"/>
  <c r="T123" i="81"/>
  <c r="T124" i="81"/>
  <c r="Q116" i="81"/>
  <c r="Q117" i="81"/>
  <c r="Q118" i="81"/>
  <c r="Q119" i="81"/>
  <c r="Q120" i="81"/>
  <c r="Q121" i="81"/>
  <c r="Q122" i="81"/>
  <c r="R116" i="81"/>
  <c r="R117" i="81"/>
  <c r="R118" i="81"/>
  <c r="R119" i="81"/>
  <c r="R120" i="81"/>
  <c r="R121" i="81"/>
  <c r="R122" i="81"/>
  <c r="S116" i="81"/>
  <c r="S117" i="81"/>
  <c r="S118" i="81"/>
  <c r="S119" i="81"/>
  <c r="S120" i="81"/>
  <c r="S121" i="81"/>
  <c r="S122" i="81"/>
  <c r="T116" i="81"/>
  <c r="T117" i="81"/>
  <c r="T118" i="81"/>
  <c r="T119" i="81"/>
  <c r="T120" i="81"/>
  <c r="T121" i="81"/>
  <c r="T122" i="81"/>
  <c r="B8" i="93"/>
  <c r="C8" i="93"/>
  <c r="D8" i="93"/>
  <c r="E8" i="93"/>
  <c r="F8" i="93"/>
  <c r="G8" i="93"/>
  <c r="H8" i="93"/>
  <c r="B9" i="93"/>
  <c r="C9" i="93"/>
  <c r="D9" i="93"/>
  <c r="E9" i="93"/>
  <c r="F9" i="93"/>
  <c r="G9" i="93"/>
  <c r="H9" i="93"/>
  <c r="B10" i="93"/>
  <c r="C10" i="93"/>
  <c r="D10" i="93"/>
  <c r="E10" i="93"/>
  <c r="F10" i="93"/>
  <c r="G10" i="93"/>
  <c r="H10" i="93"/>
  <c r="B11" i="93"/>
  <c r="C11" i="93"/>
  <c r="D11" i="93"/>
  <c r="E11" i="93"/>
  <c r="F11" i="93"/>
  <c r="G11" i="93"/>
  <c r="H11" i="93"/>
  <c r="B12" i="93"/>
  <c r="C12" i="93"/>
  <c r="D12" i="93"/>
  <c r="E12" i="93"/>
  <c r="F12" i="93"/>
  <c r="G12" i="93"/>
  <c r="H12" i="93"/>
  <c r="B13" i="93"/>
  <c r="C13" i="93"/>
  <c r="D13" i="93"/>
  <c r="E13" i="93"/>
  <c r="F13" i="93"/>
  <c r="G13" i="93"/>
  <c r="H13" i="93"/>
  <c r="B14" i="93"/>
  <c r="C14" i="93"/>
  <c r="D14" i="93"/>
  <c r="E14" i="93"/>
  <c r="F14" i="93"/>
  <c r="G14" i="93"/>
  <c r="H14" i="93"/>
  <c r="B15" i="93"/>
  <c r="C15" i="93"/>
  <c r="D15" i="93"/>
  <c r="E15" i="93"/>
  <c r="F15" i="93"/>
  <c r="G15" i="93"/>
  <c r="H15" i="93"/>
  <c r="B16" i="93"/>
  <c r="C16" i="93"/>
  <c r="D16" i="93"/>
  <c r="E16" i="93"/>
  <c r="F16" i="93"/>
  <c r="G16" i="93"/>
  <c r="H16" i="93"/>
  <c r="B17" i="93"/>
  <c r="C17" i="93"/>
  <c r="D17" i="93"/>
  <c r="E17" i="93"/>
  <c r="F17" i="93"/>
  <c r="G17" i="93"/>
  <c r="H17" i="93"/>
  <c r="B18" i="93"/>
  <c r="C18" i="93"/>
  <c r="D18" i="93"/>
  <c r="E18" i="93"/>
  <c r="F18" i="93"/>
  <c r="G18" i="93"/>
  <c r="H18" i="93"/>
  <c r="B19" i="93"/>
  <c r="C19" i="93"/>
  <c r="D19" i="93"/>
  <c r="E19" i="93"/>
  <c r="F19" i="93"/>
  <c r="G19" i="93"/>
  <c r="H19" i="93"/>
  <c r="B20" i="93"/>
  <c r="C20" i="93"/>
  <c r="D20" i="93"/>
  <c r="E20" i="93"/>
  <c r="F20" i="93"/>
  <c r="G20" i="93"/>
  <c r="H20" i="93"/>
  <c r="B21" i="93"/>
  <c r="C21" i="93"/>
  <c r="D21" i="93"/>
  <c r="E21" i="93"/>
  <c r="F21" i="93"/>
  <c r="G21" i="93"/>
  <c r="H21" i="93"/>
  <c r="B22" i="93"/>
  <c r="C22" i="93"/>
  <c r="D22" i="93"/>
  <c r="E22" i="93"/>
  <c r="F22" i="93"/>
  <c r="G22" i="93"/>
  <c r="H22" i="93"/>
  <c r="B23" i="93"/>
  <c r="C23" i="93"/>
  <c r="D23" i="93"/>
  <c r="E23" i="93"/>
  <c r="F23" i="93"/>
  <c r="G23" i="93"/>
  <c r="H23" i="93"/>
  <c r="B24" i="93"/>
  <c r="C24" i="93"/>
  <c r="D24" i="93"/>
  <c r="E24" i="93"/>
  <c r="F24" i="93"/>
  <c r="G24" i="93"/>
  <c r="H24" i="93"/>
  <c r="B25" i="93"/>
  <c r="C25" i="93"/>
  <c r="D25" i="93"/>
  <c r="E25" i="93"/>
  <c r="F25" i="93"/>
  <c r="G25" i="93"/>
  <c r="H25" i="93"/>
  <c r="B26" i="93"/>
  <c r="C26" i="93"/>
  <c r="D26" i="93"/>
  <c r="E26" i="93"/>
  <c r="F26" i="93"/>
  <c r="G26" i="93"/>
  <c r="H26" i="93"/>
  <c r="B27" i="93"/>
  <c r="C27" i="93"/>
  <c r="D27" i="93"/>
  <c r="E27" i="93"/>
  <c r="F27" i="93"/>
  <c r="G27" i="93"/>
  <c r="H27" i="93"/>
  <c r="B28" i="93"/>
  <c r="C28" i="93"/>
  <c r="D28" i="93"/>
  <c r="E28" i="93"/>
  <c r="F28" i="93"/>
  <c r="G28" i="93"/>
  <c r="H28" i="93"/>
  <c r="B29" i="93"/>
  <c r="C29" i="93"/>
  <c r="D29" i="93"/>
  <c r="E29" i="93"/>
  <c r="F29" i="93"/>
  <c r="G29" i="93"/>
  <c r="H29" i="93"/>
  <c r="B30" i="93"/>
  <c r="C30" i="93"/>
  <c r="D30" i="93"/>
  <c r="E30" i="93"/>
  <c r="F30" i="93"/>
  <c r="G30" i="93"/>
  <c r="H30" i="93"/>
  <c r="B31" i="93"/>
  <c r="C31" i="93"/>
  <c r="D31" i="93"/>
  <c r="E31" i="93"/>
  <c r="F31" i="93"/>
  <c r="G31" i="93"/>
  <c r="H31" i="93"/>
  <c r="B32" i="93"/>
  <c r="C32" i="93"/>
  <c r="D32" i="93"/>
  <c r="E32" i="93"/>
  <c r="F32" i="93"/>
  <c r="G32" i="93"/>
  <c r="H32" i="93"/>
  <c r="B33" i="93"/>
  <c r="C33" i="93"/>
  <c r="D33" i="93"/>
  <c r="E33" i="93"/>
  <c r="F33" i="93"/>
  <c r="G33" i="93"/>
  <c r="H33" i="93"/>
  <c r="B34" i="93"/>
  <c r="C34" i="93"/>
  <c r="D34" i="93"/>
  <c r="E34" i="93"/>
  <c r="F34" i="93"/>
  <c r="G34" i="93"/>
  <c r="H34" i="93"/>
  <c r="B35" i="93"/>
  <c r="C35" i="93"/>
  <c r="D35" i="93"/>
  <c r="E35" i="93"/>
  <c r="F35" i="93"/>
  <c r="G35" i="93"/>
  <c r="H35" i="93"/>
  <c r="B36" i="93"/>
  <c r="C36" i="93"/>
  <c r="D36" i="93"/>
  <c r="E36" i="93"/>
  <c r="F36" i="93"/>
  <c r="G36" i="93"/>
  <c r="H36" i="93"/>
  <c r="B37" i="93"/>
  <c r="C37" i="93"/>
  <c r="D37" i="93"/>
  <c r="E37" i="93"/>
  <c r="F37" i="93"/>
  <c r="G37" i="93"/>
  <c r="H37" i="93"/>
  <c r="B38" i="93"/>
  <c r="C38" i="93"/>
  <c r="D38" i="93"/>
  <c r="E38" i="93"/>
  <c r="F38" i="93"/>
  <c r="G38" i="93"/>
  <c r="H38" i="93"/>
  <c r="B39" i="93"/>
  <c r="C39" i="93"/>
  <c r="D39" i="93"/>
  <c r="E39" i="93"/>
  <c r="F39" i="93"/>
  <c r="G39" i="93"/>
  <c r="H39" i="93"/>
  <c r="B40" i="93"/>
  <c r="C40" i="93"/>
  <c r="D40" i="93"/>
  <c r="E40" i="93"/>
  <c r="F40" i="93"/>
  <c r="G40" i="93"/>
  <c r="H40" i="93"/>
  <c r="B41" i="93"/>
  <c r="C41" i="93"/>
  <c r="D41" i="93"/>
  <c r="E41" i="93"/>
  <c r="F41" i="93"/>
  <c r="G41" i="93"/>
  <c r="H41" i="93"/>
  <c r="B42" i="93"/>
  <c r="C42" i="93"/>
  <c r="D42" i="93"/>
  <c r="E42" i="93"/>
  <c r="F42" i="93"/>
  <c r="G42" i="93"/>
  <c r="H42" i="93"/>
  <c r="B43" i="93"/>
  <c r="C43" i="93"/>
  <c r="D43" i="93"/>
  <c r="E43" i="93"/>
  <c r="F43" i="93"/>
  <c r="G43" i="93"/>
  <c r="H43" i="93"/>
  <c r="B44" i="93"/>
  <c r="C44" i="93"/>
  <c r="D44" i="93"/>
  <c r="E44" i="93"/>
  <c r="F44" i="93"/>
  <c r="G44" i="93"/>
  <c r="H44" i="93"/>
  <c r="B45" i="93"/>
  <c r="C45" i="93"/>
  <c r="D45" i="93"/>
  <c r="E45" i="93"/>
  <c r="F45" i="93"/>
  <c r="G45" i="93"/>
  <c r="H45" i="93"/>
  <c r="B46" i="93"/>
  <c r="C46" i="93"/>
  <c r="D46" i="93"/>
  <c r="E46" i="93"/>
  <c r="F46" i="93"/>
  <c r="G46" i="93"/>
  <c r="H46" i="93"/>
  <c r="B47" i="93"/>
  <c r="C47" i="93"/>
  <c r="D47" i="93"/>
  <c r="E47" i="93"/>
  <c r="F47" i="93"/>
  <c r="G47" i="93"/>
  <c r="H47" i="93"/>
  <c r="B48" i="93"/>
  <c r="C48" i="93"/>
  <c r="D48" i="93"/>
  <c r="E48" i="93"/>
  <c r="F48" i="93"/>
  <c r="G48" i="93"/>
  <c r="H48" i="93"/>
  <c r="B49" i="93"/>
  <c r="C49" i="93"/>
  <c r="D49" i="93"/>
  <c r="E49" i="93"/>
  <c r="F49" i="93"/>
  <c r="G49" i="93"/>
  <c r="H49" i="93"/>
  <c r="B50" i="93"/>
  <c r="C50" i="93"/>
  <c r="D50" i="93"/>
  <c r="E50" i="93"/>
  <c r="F50" i="93"/>
  <c r="G50" i="93"/>
  <c r="H50" i="93"/>
  <c r="B51" i="93"/>
  <c r="C51" i="93"/>
  <c r="D51" i="93"/>
  <c r="E51" i="93"/>
  <c r="F51" i="93"/>
  <c r="G51" i="93"/>
  <c r="H51" i="93"/>
  <c r="B52" i="93"/>
  <c r="C52" i="93"/>
  <c r="D52" i="93"/>
  <c r="E52" i="93"/>
  <c r="F52" i="93"/>
  <c r="G52" i="93"/>
  <c r="H52" i="93"/>
  <c r="B53" i="93"/>
  <c r="C53" i="93"/>
  <c r="D53" i="93"/>
  <c r="E53" i="93"/>
  <c r="F53" i="93"/>
  <c r="G53" i="93"/>
  <c r="H53" i="93"/>
  <c r="B54" i="93"/>
  <c r="C54" i="93"/>
  <c r="D54" i="93"/>
  <c r="E54" i="93"/>
  <c r="F54" i="93"/>
  <c r="G54" i="93"/>
  <c r="H54" i="93"/>
  <c r="B55" i="93"/>
  <c r="C55" i="93"/>
  <c r="D55" i="93"/>
  <c r="E55" i="93"/>
  <c r="F55" i="93"/>
  <c r="G55" i="93"/>
  <c r="H55" i="93"/>
  <c r="B56" i="93"/>
  <c r="C56" i="93"/>
  <c r="D56" i="93"/>
  <c r="E56" i="93"/>
  <c r="F56" i="93"/>
  <c r="G56" i="93"/>
  <c r="H56" i="93"/>
  <c r="B57" i="93"/>
  <c r="C57" i="93"/>
  <c r="D57" i="93"/>
  <c r="E57" i="93"/>
  <c r="F57" i="93"/>
  <c r="G57" i="93"/>
  <c r="H57" i="93"/>
  <c r="B58" i="93"/>
  <c r="C58" i="93"/>
  <c r="D58" i="93"/>
  <c r="E58" i="93"/>
  <c r="F58" i="93"/>
  <c r="G58" i="93"/>
  <c r="H58" i="93"/>
  <c r="B59" i="93"/>
  <c r="C59" i="93"/>
  <c r="D59" i="93"/>
  <c r="E59" i="93"/>
  <c r="F59" i="93"/>
  <c r="G59" i="93"/>
  <c r="H59" i="93"/>
  <c r="B60" i="93"/>
  <c r="C60" i="93"/>
  <c r="D60" i="93"/>
  <c r="E60" i="93"/>
  <c r="F60" i="93"/>
  <c r="G60" i="93"/>
  <c r="H60" i="93"/>
  <c r="B61" i="93"/>
  <c r="C61" i="93"/>
  <c r="D61" i="93"/>
  <c r="E61" i="93"/>
  <c r="F61" i="93"/>
  <c r="G61" i="93"/>
  <c r="H61" i="93"/>
  <c r="B62" i="93"/>
  <c r="C62" i="93"/>
  <c r="D62" i="93"/>
  <c r="E62" i="93"/>
  <c r="F62" i="93"/>
  <c r="G62" i="93"/>
  <c r="H62" i="93"/>
  <c r="B63" i="93"/>
  <c r="C63" i="93"/>
  <c r="D63" i="93"/>
  <c r="E63" i="93"/>
  <c r="F63" i="93"/>
  <c r="G63" i="93"/>
  <c r="H63" i="93"/>
  <c r="B64" i="93"/>
  <c r="C64" i="93"/>
  <c r="D64" i="93"/>
  <c r="E64" i="93"/>
  <c r="F64" i="93"/>
  <c r="G64" i="93"/>
  <c r="H64" i="93"/>
  <c r="B65" i="93"/>
  <c r="C65" i="93"/>
  <c r="D65" i="93"/>
  <c r="E65" i="93"/>
  <c r="F65" i="93"/>
  <c r="G65" i="93"/>
  <c r="H65" i="93"/>
  <c r="B66" i="93"/>
  <c r="C66" i="93"/>
  <c r="D66" i="93"/>
  <c r="E66" i="93"/>
  <c r="F66" i="93"/>
  <c r="G66" i="93"/>
  <c r="H66" i="93"/>
  <c r="B67" i="93"/>
  <c r="C67" i="93"/>
  <c r="D67" i="93"/>
  <c r="E67" i="93"/>
  <c r="F67" i="93"/>
  <c r="G67" i="93"/>
  <c r="H67" i="93"/>
  <c r="B68" i="93"/>
  <c r="C68" i="93"/>
  <c r="D68" i="93"/>
  <c r="E68" i="93"/>
  <c r="F68" i="93"/>
  <c r="G68" i="93"/>
  <c r="H68" i="93"/>
  <c r="B69" i="93"/>
  <c r="C69" i="93"/>
  <c r="D69" i="93"/>
  <c r="E69" i="93"/>
  <c r="F69" i="93"/>
  <c r="G69" i="93"/>
  <c r="H69" i="93"/>
  <c r="B70" i="93"/>
  <c r="C70" i="93"/>
  <c r="D70" i="93"/>
  <c r="E70" i="93"/>
  <c r="F70" i="93"/>
  <c r="G70" i="93"/>
  <c r="H70" i="93"/>
  <c r="B71" i="93"/>
  <c r="C71" i="93"/>
  <c r="D71" i="93"/>
  <c r="E71" i="93"/>
  <c r="F71" i="93"/>
  <c r="G71" i="93"/>
  <c r="H71" i="93"/>
  <c r="B72" i="93"/>
  <c r="C72" i="93"/>
  <c r="D72" i="93"/>
  <c r="E72" i="93"/>
  <c r="F72" i="93"/>
  <c r="G72" i="93"/>
  <c r="H72" i="93"/>
  <c r="B73" i="93"/>
  <c r="C73" i="93"/>
  <c r="D73" i="93"/>
  <c r="E73" i="93"/>
  <c r="F73" i="93"/>
  <c r="G73" i="93"/>
  <c r="H73" i="93"/>
  <c r="B74" i="93"/>
  <c r="C74" i="93"/>
  <c r="D74" i="93"/>
  <c r="E74" i="93"/>
  <c r="F74" i="93"/>
  <c r="G74" i="93"/>
  <c r="H74" i="93"/>
  <c r="B75" i="93"/>
  <c r="C75" i="93"/>
  <c r="D75" i="93"/>
  <c r="E75" i="93"/>
  <c r="F75" i="93"/>
  <c r="G75" i="93"/>
  <c r="H75" i="93"/>
  <c r="B76" i="93"/>
  <c r="C76" i="93"/>
  <c r="D76" i="93"/>
  <c r="E76" i="93"/>
  <c r="F76" i="93"/>
  <c r="G76" i="93"/>
  <c r="H76" i="93"/>
  <c r="B77" i="93"/>
  <c r="C77" i="93"/>
  <c r="D77" i="93"/>
  <c r="E77" i="93"/>
  <c r="F77" i="93"/>
  <c r="G77" i="93"/>
  <c r="H77" i="93"/>
  <c r="B78" i="93"/>
  <c r="C78" i="93"/>
  <c r="D78" i="93"/>
  <c r="E78" i="93"/>
  <c r="F78" i="93"/>
  <c r="G78" i="93"/>
  <c r="H78" i="93"/>
  <c r="B79" i="93"/>
  <c r="C79" i="93"/>
  <c r="D79" i="93"/>
  <c r="E79" i="93"/>
  <c r="F79" i="93"/>
  <c r="G79" i="93"/>
  <c r="H79" i="93"/>
  <c r="B80" i="93"/>
  <c r="C80" i="93"/>
  <c r="D80" i="93"/>
  <c r="E80" i="93"/>
  <c r="F80" i="93"/>
  <c r="G80" i="93"/>
  <c r="H80" i="93"/>
  <c r="B81" i="93"/>
  <c r="C81" i="93"/>
  <c r="D81" i="93"/>
  <c r="E81" i="93"/>
  <c r="F81" i="93"/>
  <c r="G81" i="93"/>
  <c r="H81" i="93"/>
  <c r="B82" i="93"/>
  <c r="C82" i="93"/>
  <c r="D82" i="93"/>
  <c r="E82" i="93"/>
  <c r="F82" i="93"/>
  <c r="G82" i="93"/>
  <c r="H82" i="93"/>
  <c r="B83" i="93"/>
  <c r="C83" i="93"/>
  <c r="D83" i="93"/>
  <c r="E83" i="93"/>
  <c r="F83" i="93"/>
  <c r="G83" i="93"/>
  <c r="H83" i="93"/>
  <c r="B84" i="93"/>
  <c r="C84" i="93"/>
  <c r="D84" i="93"/>
  <c r="E84" i="93"/>
  <c r="F84" i="93"/>
  <c r="G84" i="93"/>
  <c r="H84" i="93"/>
  <c r="B85" i="93"/>
  <c r="C85" i="93"/>
  <c r="D85" i="93"/>
  <c r="E85" i="93"/>
  <c r="F85" i="93"/>
  <c r="G85" i="93"/>
  <c r="H85" i="93"/>
  <c r="B86" i="93"/>
  <c r="C86" i="93"/>
  <c r="D86" i="93"/>
  <c r="E86" i="93"/>
  <c r="F86" i="93"/>
  <c r="G86" i="93"/>
  <c r="H86" i="93"/>
  <c r="B87" i="93"/>
  <c r="C87" i="93"/>
  <c r="D87" i="93"/>
  <c r="E87" i="93"/>
  <c r="F87" i="93"/>
  <c r="G87" i="93"/>
  <c r="H87" i="93"/>
  <c r="B88" i="93"/>
  <c r="C88" i="93"/>
  <c r="D88" i="93"/>
  <c r="E88" i="93"/>
  <c r="F88" i="93"/>
  <c r="G88" i="93"/>
  <c r="H88" i="93"/>
  <c r="B89" i="93"/>
  <c r="C89" i="93"/>
  <c r="D89" i="93"/>
  <c r="E89" i="93"/>
  <c r="F89" i="93"/>
  <c r="G89" i="93"/>
  <c r="H89" i="93"/>
  <c r="B90" i="93"/>
  <c r="C90" i="93"/>
  <c r="D90" i="93"/>
  <c r="E90" i="93"/>
  <c r="F90" i="93"/>
  <c r="G90" i="93"/>
  <c r="H90" i="93"/>
  <c r="B91" i="93"/>
  <c r="C91" i="93"/>
  <c r="D91" i="93"/>
  <c r="E91" i="93"/>
  <c r="F91" i="93"/>
  <c r="G91" i="93"/>
  <c r="H91" i="93"/>
  <c r="B92" i="93"/>
  <c r="C92" i="93"/>
  <c r="D92" i="93"/>
  <c r="E92" i="93"/>
  <c r="F92" i="93"/>
  <c r="G92" i="93"/>
  <c r="H92" i="93"/>
  <c r="B93" i="93"/>
  <c r="C93" i="93"/>
  <c r="D93" i="93"/>
  <c r="E93" i="93"/>
  <c r="F93" i="93"/>
  <c r="G93" i="93"/>
  <c r="H93" i="93"/>
  <c r="B94" i="93"/>
  <c r="C94" i="93"/>
  <c r="D94" i="93"/>
  <c r="E94" i="93"/>
  <c r="F94" i="93"/>
  <c r="G94" i="93"/>
  <c r="H94" i="93"/>
  <c r="B95" i="93"/>
  <c r="C95" i="93"/>
  <c r="D95" i="93"/>
  <c r="E95" i="93"/>
  <c r="F95" i="93"/>
  <c r="G95" i="93"/>
  <c r="H95" i="93"/>
  <c r="B96" i="93"/>
  <c r="C96" i="93"/>
  <c r="D96" i="93"/>
  <c r="E96" i="93"/>
  <c r="F96" i="93"/>
  <c r="G96" i="93"/>
  <c r="H96" i="93"/>
  <c r="B97" i="93"/>
  <c r="C97" i="93"/>
  <c r="D97" i="93"/>
  <c r="E97" i="93"/>
  <c r="F97" i="93"/>
  <c r="G97" i="93"/>
  <c r="H97" i="93"/>
  <c r="B98" i="93"/>
  <c r="C98" i="93"/>
  <c r="D98" i="93"/>
  <c r="E98" i="93"/>
  <c r="F98" i="93"/>
  <c r="G98" i="93"/>
  <c r="H98" i="93"/>
  <c r="B99" i="93"/>
  <c r="C99" i="93"/>
  <c r="D99" i="93"/>
  <c r="E99" i="93"/>
  <c r="F99" i="93"/>
  <c r="G99" i="93"/>
  <c r="H99" i="93"/>
  <c r="B100" i="93"/>
  <c r="C100" i="93"/>
  <c r="D100" i="93"/>
  <c r="E100" i="93"/>
  <c r="F100" i="93"/>
  <c r="G100" i="93"/>
  <c r="H100" i="93"/>
  <c r="B101" i="93"/>
  <c r="C101" i="93"/>
  <c r="D101" i="93"/>
  <c r="E101" i="93"/>
  <c r="F101" i="93"/>
  <c r="G101" i="93"/>
  <c r="H101" i="93"/>
  <c r="B102" i="93"/>
  <c r="C102" i="93"/>
  <c r="D102" i="93"/>
  <c r="E102" i="93"/>
  <c r="F102" i="93"/>
  <c r="G102" i="93"/>
  <c r="H102" i="93"/>
  <c r="B103" i="93"/>
  <c r="C103" i="93"/>
  <c r="D103" i="93"/>
  <c r="E103" i="93"/>
  <c r="F103" i="93"/>
  <c r="G103" i="93"/>
  <c r="H103" i="93"/>
  <c r="B104" i="93"/>
  <c r="C104" i="93"/>
  <c r="D104" i="93"/>
  <c r="E104" i="93"/>
  <c r="F104" i="93"/>
  <c r="G104" i="93"/>
  <c r="H104" i="93"/>
  <c r="B105" i="93"/>
  <c r="C105" i="93"/>
  <c r="D105" i="93"/>
  <c r="E105" i="93"/>
  <c r="F105" i="93"/>
  <c r="G105" i="93"/>
  <c r="H105" i="93"/>
  <c r="B106" i="93"/>
  <c r="C106" i="93"/>
  <c r="D106" i="93"/>
  <c r="E106" i="93"/>
  <c r="F106" i="93"/>
  <c r="G106" i="93"/>
  <c r="H106" i="93"/>
  <c r="B107" i="93"/>
  <c r="C107" i="93"/>
  <c r="D107" i="93"/>
  <c r="E107" i="93"/>
  <c r="F107" i="93"/>
  <c r="G107" i="93"/>
  <c r="H107" i="93"/>
  <c r="B108" i="93"/>
  <c r="C108" i="93"/>
  <c r="D108" i="93"/>
  <c r="E108" i="93"/>
  <c r="F108" i="93"/>
  <c r="G108" i="93"/>
  <c r="H108" i="93"/>
  <c r="B109" i="93"/>
  <c r="C109" i="93"/>
  <c r="D109" i="93"/>
  <c r="E109" i="93"/>
  <c r="F109" i="93"/>
  <c r="G109" i="93"/>
  <c r="H109" i="93"/>
  <c r="B110" i="93"/>
  <c r="C110" i="93"/>
  <c r="D110" i="93"/>
  <c r="E110" i="93"/>
  <c r="F110" i="93"/>
  <c r="G110" i="93"/>
  <c r="H110" i="93"/>
  <c r="B111" i="93"/>
  <c r="C111" i="93"/>
  <c r="D111" i="93"/>
  <c r="E111" i="93"/>
  <c r="F111" i="93"/>
  <c r="G111" i="93"/>
  <c r="H111" i="93"/>
  <c r="B112" i="93"/>
  <c r="C112" i="93"/>
  <c r="D112" i="93"/>
  <c r="E112" i="93"/>
  <c r="F112" i="93"/>
  <c r="G112" i="93"/>
  <c r="H112" i="93"/>
  <c r="B113" i="93"/>
  <c r="C113" i="93"/>
  <c r="D113" i="93"/>
  <c r="E113" i="93"/>
  <c r="F113" i="93"/>
  <c r="G113" i="93"/>
  <c r="H113" i="93"/>
  <c r="B114" i="93"/>
  <c r="C114" i="93"/>
  <c r="D114" i="93"/>
  <c r="E114" i="93"/>
  <c r="F114" i="93"/>
  <c r="G114" i="93"/>
  <c r="H114" i="93"/>
  <c r="B115" i="93"/>
  <c r="C115" i="93"/>
  <c r="D115" i="93"/>
  <c r="E115" i="93"/>
  <c r="F115" i="93"/>
  <c r="G115" i="93"/>
  <c r="H115" i="93"/>
  <c r="B116" i="93"/>
  <c r="C116" i="93"/>
  <c r="D116" i="93"/>
  <c r="E116" i="93"/>
  <c r="F116" i="93"/>
  <c r="G116" i="93"/>
  <c r="H116" i="93"/>
  <c r="B117" i="93"/>
  <c r="C117" i="93"/>
  <c r="D117" i="93"/>
  <c r="E117" i="93"/>
  <c r="F117" i="93"/>
  <c r="G117" i="93"/>
  <c r="H117" i="93"/>
  <c r="B118" i="93"/>
  <c r="C118" i="93"/>
  <c r="D118" i="93"/>
  <c r="E118" i="93"/>
  <c r="F118" i="93"/>
  <c r="G118" i="93"/>
  <c r="H118" i="93"/>
  <c r="B119" i="93"/>
  <c r="C119" i="93"/>
  <c r="D119" i="93"/>
  <c r="E119" i="93"/>
  <c r="F119" i="93"/>
  <c r="G119" i="93"/>
  <c r="H119" i="93"/>
  <c r="B120" i="93"/>
  <c r="C120" i="93"/>
  <c r="D120" i="93"/>
  <c r="E120" i="93"/>
  <c r="F120" i="93"/>
  <c r="G120" i="93"/>
  <c r="H120" i="93"/>
  <c r="B121" i="93"/>
  <c r="C121" i="93"/>
  <c r="D121" i="93"/>
  <c r="E121" i="93"/>
  <c r="F121" i="93"/>
  <c r="G121" i="93"/>
  <c r="H121" i="93"/>
  <c r="B122" i="93"/>
  <c r="C122" i="93"/>
  <c r="D122" i="93"/>
  <c r="E122" i="93"/>
  <c r="F122" i="93"/>
  <c r="G122" i="93"/>
  <c r="H122" i="93"/>
  <c r="B123" i="93"/>
  <c r="C123" i="93"/>
  <c r="D123" i="93"/>
  <c r="E123" i="93"/>
  <c r="F123" i="93"/>
  <c r="G123" i="93"/>
  <c r="H123" i="93"/>
  <c r="B124" i="93"/>
  <c r="C124" i="93"/>
  <c r="D124" i="93"/>
  <c r="E124" i="93"/>
  <c r="F124" i="93"/>
  <c r="G124" i="93"/>
  <c r="H124" i="93"/>
  <c r="B125" i="93"/>
  <c r="C125" i="93"/>
  <c r="D125" i="93"/>
  <c r="E125" i="93"/>
  <c r="F125" i="93"/>
  <c r="G125" i="93"/>
  <c r="H125" i="93"/>
  <c r="B126" i="93"/>
  <c r="C126" i="93"/>
  <c r="D126" i="93"/>
  <c r="E126" i="93"/>
  <c r="F126" i="93"/>
  <c r="G126" i="93"/>
  <c r="H126" i="93"/>
  <c r="B127" i="93"/>
  <c r="C127" i="93"/>
  <c r="D127" i="93"/>
  <c r="E127" i="93"/>
  <c r="F127" i="93"/>
  <c r="G127" i="93"/>
  <c r="H127" i="93"/>
  <c r="B128" i="93"/>
  <c r="C128" i="93"/>
  <c r="D128" i="93"/>
  <c r="E128" i="93"/>
  <c r="F128" i="93"/>
  <c r="G128" i="93"/>
  <c r="H128" i="93"/>
  <c r="B129" i="93"/>
  <c r="C129" i="93"/>
  <c r="D129" i="93"/>
  <c r="E129" i="93"/>
  <c r="F129" i="93"/>
  <c r="G129" i="93"/>
  <c r="H129" i="93"/>
  <c r="B130" i="93"/>
  <c r="C130" i="93"/>
  <c r="D130" i="93"/>
  <c r="E130" i="93"/>
  <c r="F130" i="93"/>
  <c r="G130" i="93"/>
  <c r="H130" i="93"/>
  <c r="B131" i="93"/>
  <c r="C131" i="93"/>
  <c r="D131" i="93"/>
  <c r="E131" i="93"/>
  <c r="F131" i="93"/>
  <c r="G131" i="93"/>
  <c r="H131" i="93"/>
  <c r="B132" i="93"/>
  <c r="C132" i="93"/>
  <c r="D132" i="93"/>
  <c r="E132" i="93"/>
  <c r="F132" i="93"/>
  <c r="G132" i="93"/>
  <c r="H132" i="93"/>
  <c r="B133" i="93"/>
  <c r="C133" i="93"/>
  <c r="D133" i="93"/>
  <c r="E133" i="93"/>
  <c r="F133" i="93"/>
  <c r="G133" i="93"/>
  <c r="H133" i="93"/>
  <c r="B134" i="93"/>
  <c r="C134" i="93"/>
  <c r="D134" i="93"/>
  <c r="E134" i="93"/>
  <c r="F134" i="93"/>
  <c r="G134" i="93"/>
  <c r="H134" i="93"/>
  <c r="B135" i="93"/>
  <c r="C135" i="93"/>
  <c r="D135" i="93"/>
  <c r="E135" i="93"/>
  <c r="F135" i="93"/>
  <c r="G135" i="93"/>
  <c r="H135" i="93"/>
  <c r="B136" i="93"/>
  <c r="C136" i="93"/>
  <c r="D136" i="93"/>
  <c r="E136" i="93"/>
  <c r="F136" i="93"/>
  <c r="G136" i="93"/>
  <c r="H136" i="93"/>
  <c r="B137" i="93"/>
  <c r="C137" i="93"/>
  <c r="D137" i="93"/>
  <c r="E137" i="93"/>
  <c r="F137" i="93"/>
  <c r="G137" i="93"/>
  <c r="H137" i="93"/>
  <c r="B138" i="93"/>
  <c r="C138" i="93"/>
  <c r="D138" i="93"/>
  <c r="E138" i="93"/>
  <c r="F138" i="93"/>
  <c r="G138" i="93"/>
  <c r="H138" i="93"/>
  <c r="B139" i="93"/>
  <c r="C139" i="93"/>
  <c r="D139" i="93"/>
  <c r="E139" i="93"/>
  <c r="F139" i="93"/>
  <c r="G139" i="93"/>
  <c r="H139" i="93"/>
  <c r="B140" i="93"/>
  <c r="C140" i="93"/>
  <c r="D140" i="93"/>
  <c r="E140" i="93"/>
  <c r="F140" i="93"/>
  <c r="G140" i="93"/>
  <c r="H140" i="93"/>
  <c r="B141" i="93"/>
  <c r="C141" i="93"/>
  <c r="D141" i="93"/>
  <c r="E141" i="93"/>
  <c r="F141" i="93"/>
  <c r="G141" i="93"/>
  <c r="H141" i="93"/>
  <c r="B142" i="93"/>
  <c r="C142" i="93"/>
  <c r="D142" i="93"/>
  <c r="E142" i="93"/>
  <c r="F142" i="93"/>
  <c r="G142" i="93"/>
  <c r="H142" i="93"/>
  <c r="B143" i="93"/>
  <c r="C143" i="93"/>
  <c r="D143" i="93"/>
  <c r="E143" i="93"/>
  <c r="F143" i="93"/>
  <c r="G143" i="93"/>
  <c r="H143" i="93"/>
  <c r="B144" i="93"/>
  <c r="C144" i="93"/>
  <c r="D144" i="93"/>
  <c r="E144" i="93"/>
  <c r="F144" i="93"/>
  <c r="G144" i="93"/>
  <c r="H144" i="93"/>
  <c r="B145" i="93"/>
  <c r="C145" i="93"/>
  <c r="D145" i="93"/>
  <c r="E145" i="93"/>
  <c r="F145" i="93"/>
  <c r="G145" i="93"/>
  <c r="H145" i="93"/>
  <c r="B146" i="93"/>
  <c r="C146" i="93"/>
  <c r="D146" i="93"/>
  <c r="E146" i="93"/>
  <c r="F146" i="93"/>
  <c r="G146" i="93"/>
  <c r="H146" i="93"/>
  <c r="B147" i="93"/>
  <c r="C147" i="93"/>
  <c r="D147" i="93"/>
  <c r="E147" i="93"/>
  <c r="F147" i="93"/>
  <c r="G147" i="93"/>
  <c r="H147" i="93"/>
  <c r="B148" i="93"/>
  <c r="C148" i="93"/>
  <c r="D148" i="93"/>
  <c r="E148" i="93"/>
  <c r="F148" i="93"/>
  <c r="G148" i="93"/>
  <c r="H148" i="93"/>
  <c r="B149" i="93"/>
  <c r="C149" i="93"/>
  <c r="D149" i="93"/>
  <c r="E149" i="93"/>
  <c r="F149" i="93"/>
  <c r="G149" i="93"/>
  <c r="H149" i="93"/>
  <c r="B150" i="93"/>
  <c r="C150" i="93"/>
  <c r="D150" i="93"/>
  <c r="E150" i="93"/>
  <c r="F150" i="93"/>
  <c r="G150" i="93"/>
  <c r="H150" i="93"/>
  <c r="B151" i="93"/>
  <c r="C151" i="93"/>
  <c r="D151" i="93"/>
  <c r="E151" i="93"/>
  <c r="F151" i="93"/>
  <c r="G151" i="93"/>
  <c r="H151" i="93"/>
  <c r="B152" i="93"/>
  <c r="C152" i="93"/>
  <c r="D152" i="93"/>
  <c r="E152" i="93"/>
  <c r="F152" i="93"/>
  <c r="G152" i="93"/>
  <c r="H152" i="93"/>
  <c r="B153" i="93"/>
  <c r="C153" i="93"/>
  <c r="D153" i="93"/>
  <c r="E153" i="93"/>
  <c r="F153" i="93"/>
  <c r="G153" i="93"/>
  <c r="H153" i="93"/>
  <c r="B154" i="93"/>
  <c r="C154" i="93"/>
  <c r="D154" i="93"/>
  <c r="E154" i="93"/>
  <c r="F154" i="93"/>
  <c r="G154" i="93"/>
  <c r="H154" i="93"/>
  <c r="B155" i="93"/>
  <c r="C155" i="93"/>
  <c r="D155" i="93"/>
  <c r="E155" i="93"/>
  <c r="F155" i="93"/>
  <c r="G155" i="93"/>
  <c r="H155" i="93"/>
  <c r="B156" i="93"/>
  <c r="C156" i="93"/>
  <c r="D156" i="93"/>
  <c r="E156" i="93"/>
  <c r="F156" i="93"/>
  <c r="G156" i="93"/>
  <c r="H156" i="93"/>
  <c r="B157" i="93"/>
  <c r="C157" i="93"/>
  <c r="D157" i="93"/>
  <c r="E157" i="93"/>
  <c r="F157" i="93"/>
  <c r="G157" i="93"/>
  <c r="H157" i="93"/>
  <c r="B158" i="93"/>
  <c r="C158" i="93"/>
  <c r="D158" i="93"/>
  <c r="E158" i="93"/>
  <c r="F158" i="93"/>
  <c r="G158" i="93"/>
  <c r="H158" i="93"/>
  <c r="B159" i="93"/>
  <c r="C159" i="93"/>
  <c r="D159" i="93"/>
  <c r="E159" i="93"/>
  <c r="F159" i="93"/>
  <c r="G159" i="93"/>
  <c r="H159" i="93"/>
  <c r="B160" i="93"/>
  <c r="C160" i="93"/>
  <c r="D160" i="93"/>
  <c r="E160" i="93"/>
  <c r="F160" i="93"/>
  <c r="G160" i="93"/>
  <c r="H160" i="93"/>
  <c r="B161" i="93"/>
  <c r="C161" i="93"/>
  <c r="D161" i="93"/>
  <c r="E161" i="93"/>
  <c r="F161" i="93"/>
  <c r="G161" i="93"/>
  <c r="H161" i="93"/>
  <c r="B162" i="93"/>
  <c r="C162" i="93"/>
  <c r="D162" i="93"/>
  <c r="E162" i="93"/>
  <c r="F162" i="93"/>
  <c r="G162" i="93"/>
  <c r="H162" i="93"/>
  <c r="B163" i="93"/>
  <c r="C163" i="93"/>
  <c r="D163" i="93"/>
  <c r="E163" i="93"/>
  <c r="F163" i="93"/>
  <c r="G163" i="93"/>
  <c r="H163" i="93"/>
  <c r="B164" i="93"/>
  <c r="C164" i="93"/>
  <c r="D164" i="93"/>
  <c r="E164" i="93"/>
  <c r="F164" i="93"/>
  <c r="G164" i="93"/>
  <c r="H164" i="93"/>
  <c r="B165" i="93"/>
  <c r="C165" i="93"/>
  <c r="D165" i="93"/>
  <c r="E165" i="93"/>
  <c r="F165" i="93"/>
  <c r="G165" i="93"/>
  <c r="H165" i="93"/>
  <c r="B166" i="93"/>
  <c r="C166" i="93"/>
  <c r="D166" i="93"/>
  <c r="E166" i="93"/>
  <c r="F166" i="93"/>
  <c r="G166" i="93"/>
  <c r="H166" i="93"/>
  <c r="B167" i="93"/>
  <c r="C167" i="93"/>
  <c r="D167" i="93"/>
  <c r="E167" i="93"/>
  <c r="F167" i="93"/>
  <c r="G167" i="93"/>
  <c r="H167" i="93"/>
  <c r="B168" i="93"/>
  <c r="C168" i="93"/>
  <c r="D168" i="93"/>
  <c r="E168" i="93"/>
  <c r="F168" i="93"/>
  <c r="G168" i="93"/>
  <c r="H168" i="93"/>
  <c r="B169" i="93"/>
  <c r="C169" i="93"/>
  <c r="D169" i="93"/>
  <c r="E169" i="93"/>
  <c r="F169" i="93"/>
  <c r="G169" i="93"/>
  <c r="H169" i="93"/>
  <c r="B170" i="93"/>
  <c r="C170" i="93"/>
  <c r="D170" i="93"/>
  <c r="E170" i="93"/>
  <c r="F170" i="93"/>
  <c r="G170" i="93"/>
  <c r="H170" i="93"/>
  <c r="B171" i="93"/>
  <c r="C171" i="93"/>
  <c r="D171" i="93"/>
  <c r="E171" i="93"/>
  <c r="F171" i="93"/>
  <c r="G171" i="93"/>
  <c r="H171" i="93"/>
  <c r="B172" i="93"/>
  <c r="C172" i="93"/>
  <c r="D172" i="93"/>
  <c r="E172" i="93"/>
  <c r="F172" i="93"/>
  <c r="G172" i="93"/>
  <c r="H172" i="93"/>
  <c r="B173" i="93"/>
  <c r="C173" i="93"/>
  <c r="D173" i="93"/>
  <c r="E173" i="93"/>
  <c r="F173" i="93"/>
  <c r="G173" i="93"/>
  <c r="H173" i="93"/>
  <c r="B174" i="93"/>
  <c r="C174" i="93"/>
  <c r="D174" i="93"/>
  <c r="E174" i="93"/>
  <c r="F174" i="93"/>
  <c r="G174" i="93"/>
  <c r="H174" i="93"/>
  <c r="B175" i="93"/>
  <c r="C175" i="93"/>
  <c r="D175" i="93"/>
  <c r="E175" i="93"/>
  <c r="F175" i="93"/>
  <c r="G175" i="93"/>
  <c r="H175" i="93"/>
  <c r="B176" i="93"/>
  <c r="C176" i="93"/>
  <c r="D176" i="93"/>
  <c r="E176" i="93"/>
  <c r="F176" i="93"/>
  <c r="G176" i="93"/>
  <c r="H176" i="93"/>
  <c r="B177" i="93"/>
  <c r="C177" i="93"/>
  <c r="D177" i="93"/>
  <c r="E177" i="93"/>
  <c r="F177" i="93"/>
  <c r="G177" i="93"/>
  <c r="H177" i="93"/>
  <c r="B178" i="93"/>
  <c r="C178" i="93"/>
  <c r="D178" i="93"/>
  <c r="E178" i="93"/>
  <c r="F178" i="93"/>
  <c r="G178" i="93"/>
  <c r="H178" i="93"/>
  <c r="B179" i="93"/>
  <c r="C179" i="93"/>
  <c r="D179" i="93"/>
  <c r="E179" i="93"/>
  <c r="F179" i="93"/>
  <c r="G179" i="93"/>
  <c r="H179" i="93"/>
  <c r="B180" i="93"/>
  <c r="C180" i="93"/>
  <c r="D180" i="93"/>
  <c r="E180" i="93"/>
  <c r="F180" i="93"/>
  <c r="G180" i="93"/>
  <c r="H180" i="93"/>
  <c r="B181" i="93"/>
  <c r="C181" i="93"/>
  <c r="D181" i="93"/>
  <c r="E181" i="93"/>
  <c r="F181" i="93"/>
  <c r="G181" i="93"/>
  <c r="H181" i="93"/>
  <c r="B182" i="93"/>
  <c r="C182" i="93"/>
  <c r="D182" i="93"/>
  <c r="E182" i="93"/>
  <c r="F182" i="93"/>
  <c r="G182" i="93"/>
  <c r="H182" i="93"/>
  <c r="B183" i="93"/>
  <c r="C183" i="93"/>
  <c r="D183" i="93"/>
  <c r="E183" i="93"/>
  <c r="F183" i="93"/>
  <c r="G183" i="93"/>
  <c r="H183" i="93"/>
  <c r="B184" i="93"/>
  <c r="C184" i="93"/>
  <c r="D184" i="93"/>
  <c r="E184" i="93"/>
  <c r="F184" i="93"/>
  <c r="G184" i="93"/>
  <c r="H184" i="93"/>
  <c r="B185" i="93"/>
  <c r="C185" i="93"/>
  <c r="D185" i="93"/>
  <c r="E185" i="93"/>
  <c r="F185" i="93"/>
  <c r="G185" i="93"/>
  <c r="H185" i="93"/>
  <c r="B186" i="93"/>
  <c r="C186" i="93"/>
  <c r="D186" i="93"/>
  <c r="E186" i="93"/>
  <c r="F186" i="93"/>
  <c r="G186" i="93"/>
  <c r="H186" i="93"/>
  <c r="B187" i="93"/>
  <c r="C187" i="93"/>
  <c r="D187" i="93"/>
  <c r="E187" i="93"/>
  <c r="F187" i="93"/>
  <c r="G187" i="93"/>
  <c r="H187" i="93"/>
  <c r="B188" i="93"/>
  <c r="C188" i="93"/>
  <c r="D188" i="93"/>
  <c r="E188" i="93"/>
  <c r="F188" i="93"/>
  <c r="G188" i="93"/>
  <c r="H188" i="93"/>
  <c r="B189" i="93"/>
  <c r="C189" i="93"/>
  <c r="D189" i="93"/>
  <c r="E189" i="93"/>
  <c r="F189" i="93"/>
  <c r="G189" i="93"/>
  <c r="H189" i="93"/>
  <c r="B190" i="93"/>
  <c r="C190" i="93"/>
  <c r="D190" i="93"/>
  <c r="E190" i="93"/>
  <c r="F190" i="93"/>
  <c r="G190" i="93"/>
  <c r="H190" i="93"/>
  <c r="B191" i="93"/>
  <c r="C191" i="93"/>
  <c r="D191" i="93"/>
  <c r="E191" i="93"/>
  <c r="F191" i="93"/>
  <c r="G191" i="93"/>
  <c r="H191" i="93"/>
  <c r="B192" i="93"/>
  <c r="C192" i="93"/>
  <c r="D192" i="93"/>
  <c r="E192" i="93"/>
  <c r="F192" i="93"/>
  <c r="G192" i="93"/>
  <c r="H192" i="93"/>
  <c r="B193" i="93"/>
  <c r="C193" i="93"/>
  <c r="D193" i="93"/>
  <c r="E193" i="93"/>
  <c r="F193" i="93"/>
  <c r="G193" i="93"/>
  <c r="H193" i="93"/>
  <c r="B194" i="93"/>
  <c r="C194" i="93"/>
  <c r="D194" i="93"/>
  <c r="E194" i="93"/>
  <c r="F194" i="93"/>
  <c r="G194" i="93"/>
  <c r="H194" i="93"/>
  <c r="B195" i="93"/>
  <c r="C195" i="93"/>
  <c r="D195" i="93"/>
  <c r="E195" i="93"/>
  <c r="F195" i="93"/>
  <c r="G195" i="93"/>
  <c r="H195" i="93"/>
  <c r="B196" i="93"/>
  <c r="C196" i="93"/>
  <c r="D196" i="93"/>
  <c r="E196" i="93"/>
  <c r="F196" i="93"/>
  <c r="G196" i="93"/>
  <c r="H196" i="93"/>
  <c r="B197" i="93"/>
  <c r="C197" i="93"/>
  <c r="D197" i="93"/>
  <c r="E197" i="93"/>
  <c r="F197" i="93"/>
  <c r="G197" i="93"/>
  <c r="H197" i="93"/>
  <c r="B198" i="93"/>
  <c r="C198" i="93"/>
  <c r="D198" i="93"/>
  <c r="E198" i="93"/>
  <c r="F198" i="93"/>
  <c r="G198" i="93"/>
  <c r="H198" i="93"/>
  <c r="B199" i="93"/>
  <c r="C199" i="93"/>
  <c r="D199" i="93"/>
  <c r="E199" i="93"/>
  <c r="F199" i="93"/>
  <c r="G199" i="93"/>
  <c r="H199" i="93"/>
  <c r="B200" i="93"/>
  <c r="C200" i="93"/>
  <c r="D200" i="93"/>
  <c r="E200" i="93"/>
  <c r="F200" i="93"/>
  <c r="G200" i="93"/>
  <c r="H200" i="93"/>
  <c r="B201" i="93"/>
  <c r="C201" i="93"/>
  <c r="D201" i="93"/>
  <c r="E201" i="93"/>
  <c r="F201" i="93"/>
  <c r="G201" i="93"/>
  <c r="H201" i="93"/>
  <c r="B202" i="93"/>
  <c r="C202" i="93"/>
  <c r="D202" i="93"/>
  <c r="E202" i="93"/>
  <c r="F202" i="93"/>
  <c r="G202" i="93"/>
  <c r="H202" i="93"/>
  <c r="B203" i="93"/>
  <c r="C203" i="93"/>
  <c r="D203" i="93"/>
  <c r="E203" i="93"/>
  <c r="F203" i="93"/>
  <c r="G203" i="93"/>
  <c r="H203" i="93"/>
  <c r="B204" i="93"/>
  <c r="C204" i="93"/>
  <c r="D204" i="93"/>
  <c r="E204" i="93"/>
  <c r="F204" i="93"/>
  <c r="G204" i="93"/>
  <c r="H204" i="93"/>
  <c r="B205" i="93"/>
  <c r="C205" i="93"/>
  <c r="D205" i="93"/>
  <c r="E205" i="93"/>
  <c r="F205" i="93"/>
  <c r="G205" i="93"/>
  <c r="H205" i="93"/>
  <c r="B206" i="93"/>
  <c r="C206" i="93"/>
  <c r="D206" i="93"/>
  <c r="E206" i="93"/>
  <c r="F206" i="93"/>
  <c r="G206" i="93"/>
  <c r="H206" i="93"/>
  <c r="B207" i="93"/>
  <c r="C207" i="93"/>
  <c r="D207" i="93"/>
  <c r="E207" i="93"/>
  <c r="F207" i="93"/>
  <c r="G207" i="93"/>
  <c r="H207" i="93"/>
  <c r="B208" i="93"/>
  <c r="C208" i="93"/>
  <c r="D208" i="93"/>
  <c r="E208" i="93"/>
  <c r="F208" i="93"/>
  <c r="G208" i="93"/>
  <c r="H208" i="93"/>
  <c r="A209" i="93"/>
  <c r="B209" i="93"/>
  <c r="C209" i="93"/>
  <c r="D209" i="93"/>
  <c r="E209" i="93"/>
  <c r="F209" i="93"/>
  <c r="G209" i="93"/>
  <c r="H209" i="93"/>
  <c r="A210" i="93"/>
  <c r="B210" i="93"/>
  <c r="C210" i="93"/>
  <c r="D210" i="93"/>
  <c r="E210" i="93"/>
  <c r="F210" i="93"/>
  <c r="G210" i="93"/>
  <c r="H210" i="93"/>
  <c r="A211" i="93"/>
  <c r="B211" i="93"/>
  <c r="C211" i="93"/>
  <c r="D211" i="93"/>
  <c r="E211" i="93"/>
  <c r="F211" i="93"/>
  <c r="G211" i="93"/>
  <c r="H211" i="93"/>
  <c r="A212" i="93"/>
  <c r="B212" i="93"/>
  <c r="C212" i="93"/>
  <c r="D212" i="93"/>
  <c r="E212" i="93"/>
  <c r="F212" i="93"/>
  <c r="G212" i="93"/>
  <c r="H212" i="93"/>
  <c r="A213" i="93"/>
  <c r="B213" i="93"/>
  <c r="C213" i="93"/>
  <c r="D213" i="93"/>
  <c r="E213" i="93"/>
  <c r="F213" i="93"/>
  <c r="G213" i="93"/>
  <c r="H213" i="93"/>
  <c r="A214" i="93"/>
  <c r="B214" i="93"/>
  <c r="C214" i="93"/>
  <c r="D214" i="93"/>
  <c r="E214" i="93"/>
  <c r="F214" i="93"/>
  <c r="G214" i="93"/>
  <c r="H214" i="93"/>
  <c r="A215" i="93"/>
  <c r="B215" i="93"/>
  <c r="C215" i="93"/>
  <c r="D215" i="93"/>
  <c r="E215" i="93"/>
  <c r="F215" i="93"/>
  <c r="G215" i="93"/>
  <c r="H215" i="93"/>
  <c r="A216" i="93"/>
  <c r="B216" i="93"/>
  <c r="C216" i="93"/>
  <c r="D216" i="93"/>
  <c r="E216" i="93"/>
  <c r="F216" i="93"/>
  <c r="G216" i="93"/>
  <c r="H216" i="93"/>
  <c r="A217" i="93"/>
  <c r="B217" i="93"/>
  <c r="C217" i="93"/>
  <c r="D217" i="93"/>
  <c r="E217" i="93"/>
  <c r="F217" i="93"/>
  <c r="G217" i="93"/>
  <c r="H217" i="93"/>
  <c r="A218" i="93"/>
  <c r="B218" i="93"/>
  <c r="C218" i="93"/>
  <c r="D218" i="93"/>
  <c r="E218" i="93"/>
  <c r="F218" i="93"/>
  <c r="G218" i="93"/>
  <c r="H218" i="93"/>
  <c r="A219" i="93"/>
  <c r="B219" i="93"/>
  <c r="C219" i="93"/>
  <c r="D219" i="93"/>
  <c r="E219" i="93"/>
  <c r="F219" i="93"/>
  <c r="G219" i="93"/>
  <c r="H219" i="93"/>
  <c r="A220" i="93"/>
  <c r="B220" i="93"/>
  <c r="C220" i="93"/>
  <c r="D220" i="93"/>
  <c r="E220" i="93"/>
  <c r="F220" i="93"/>
  <c r="G220" i="93"/>
  <c r="H220" i="93"/>
  <c r="A221" i="93"/>
  <c r="B221" i="93"/>
  <c r="C221" i="93"/>
  <c r="D221" i="93"/>
  <c r="E221" i="93"/>
  <c r="F221" i="93"/>
  <c r="G221" i="93"/>
  <c r="H221" i="93"/>
  <c r="A222" i="93"/>
  <c r="B222" i="93"/>
  <c r="C222" i="93"/>
  <c r="D222" i="93"/>
  <c r="E222" i="93"/>
  <c r="F222" i="93"/>
  <c r="G222" i="93"/>
  <c r="H222" i="93"/>
  <c r="A223" i="93"/>
  <c r="B223" i="93"/>
  <c r="C223" i="93"/>
  <c r="D223" i="93"/>
  <c r="E223" i="93"/>
  <c r="F223" i="93"/>
  <c r="G223" i="93"/>
  <c r="H223" i="93"/>
  <c r="A224" i="93"/>
  <c r="B224" i="93"/>
  <c r="C224" i="93"/>
  <c r="D224" i="93"/>
  <c r="E224" i="93"/>
  <c r="F224" i="93"/>
  <c r="G224" i="93"/>
  <c r="H224" i="93"/>
  <c r="A225" i="93"/>
  <c r="B225" i="93"/>
  <c r="C225" i="93"/>
  <c r="D225" i="93"/>
  <c r="E225" i="93"/>
  <c r="F225" i="93"/>
  <c r="G225" i="93"/>
  <c r="H225" i="93"/>
  <c r="A226" i="93"/>
  <c r="B226" i="93"/>
  <c r="C226" i="93"/>
  <c r="D226" i="93"/>
  <c r="E226" i="93"/>
  <c r="F226" i="93"/>
  <c r="G226" i="93"/>
  <c r="H226" i="93"/>
  <c r="A227" i="93"/>
  <c r="B227" i="93"/>
  <c r="C227" i="93"/>
  <c r="D227" i="93"/>
  <c r="E227" i="93"/>
  <c r="F227" i="93"/>
  <c r="G227" i="93"/>
  <c r="H227" i="93"/>
  <c r="A228" i="93"/>
  <c r="B228" i="93"/>
  <c r="C228" i="93"/>
  <c r="D228" i="93"/>
  <c r="E228" i="93"/>
  <c r="F228" i="93"/>
  <c r="G228" i="93"/>
  <c r="H228" i="93"/>
  <c r="A229" i="93"/>
  <c r="B229" i="93"/>
  <c r="C229" i="93"/>
  <c r="D229" i="93"/>
  <c r="E229" i="93"/>
  <c r="F229" i="93"/>
  <c r="G229" i="93"/>
  <c r="H229" i="93"/>
  <c r="A230" i="93"/>
  <c r="B230" i="93"/>
  <c r="C230" i="93"/>
  <c r="D230" i="93"/>
  <c r="E230" i="93"/>
  <c r="F230" i="93"/>
  <c r="G230" i="93"/>
  <c r="H230" i="93"/>
  <c r="A231" i="93"/>
  <c r="B231" i="93"/>
  <c r="C231" i="93"/>
  <c r="D231" i="93"/>
  <c r="E231" i="93"/>
  <c r="F231" i="93"/>
  <c r="G231" i="93"/>
  <c r="H231" i="93"/>
  <c r="A232" i="93"/>
  <c r="B232" i="93"/>
  <c r="C232" i="93"/>
  <c r="D232" i="93"/>
  <c r="E232" i="93"/>
  <c r="F232" i="93"/>
  <c r="G232" i="93"/>
  <c r="H232" i="93"/>
  <c r="A233" i="93"/>
  <c r="B233" i="93"/>
  <c r="C233" i="93"/>
  <c r="D233" i="93"/>
  <c r="E233" i="93"/>
  <c r="F233" i="93"/>
  <c r="G233" i="93"/>
  <c r="H233" i="93"/>
  <c r="A234" i="93"/>
  <c r="B234" i="93"/>
  <c r="C234" i="93"/>
  <c r="D234" i="93"/>
  <c r="E234" i="93"/>
  <c r="F234" i="93"/>
  <c r="G234" i="93"/>
  <c r="H234" i="93"/>
  <c r="A235" i="93"/>
  <c r="B235" i="93"/>
  <c r="C235" i="93"/>
  <c r="D235" i="93"/>
  <c r="E235" i="93"/>
  <c r="F235" i="93"/>
  <c r="G235" i="93"/>
  <c r="H235" i="93"/>
  <c r="A236" i="93"/>
  <c r="B236" i="93"/>
  <c r="C236" i="93"/>
  <c r="D236" i="93"/>
  <c r="E236" i="93"/>
  <c r="F236" i="93"/>
  <c r="G236" i="93"/>
  <c r="H236" i="93"/>
  <c r="A237" i="93"/>
  <c r="B237" i="93"/>
  <c r="C237" i="93"/>
  <c r="D237" i="93"/>
  <c r="E237" i="93"/>
  <c r="F237" i="93"/>
  <c r="G237" i="93"/>
  <c r="H237" i="93"/>
  <c r="A238" i="93"/>
  <c r="B238" i="93"/>
  <c r="C238" i="93"/>
  <c r="D238" i="93"/>
  <c r="E238" i="93"/>
  <c r="F238" i="93"/>
  <c r="G238" i="93"/>
  <c r="H238" i="93"/>
  <c r="A239" i="93"/>
  <c r="B239" i="93"/>
  <c r="C239" i="93"/>
  <c r="D239" i="93"/>
  <c r="E239" i="93"/>
  <c r="F239" i="93"/>
  <c r="G239" i="93"/>
  <c r="H239" i="93"/>
  <c r="A240" i="93"/>
  <c r="B240" i="93"/>
  <c r="C240" i="93"/>
  <c r="D240" i="93"/>
  <c r="E240" i="93"/>
  <c r="F240" i="93"/>
  <c r="G240" i="93"/>
  <c r="H240" i="93"/>
  <c r="A241" i="93"/>
  <c r="B241" i="93"/>
  <c r="C241" i="93"/>
  <c r="D241" i="93"/>
  <c r="E241" i="93"/>
  <c r="F241" i="93"/>
  <c r="G241" i="93"/>
  <c r="H241" i="93"/>
  <c r="A242" i="93"/>
  <c r="B242" i="93"/>
  <c r="C242" i="93"/>
  <c r="D242" i="93"/>
  <c r="E242" i="93"/>
  <c r="F242" i="93"/>
  <c r="G242" i="93"/>
  <c r="H242" i="93"/>
  <c r="A243" i="93"/>
  <c r="B243" i="93"/>
  <c r="C243" i="93"/>
  <c r="D243" i="93"/>
  <c r="E243" i="93"/>
  <c r="F243" i="93"/>
  <c r="G243" i="93"/>
  <c r="H243" i="93"/>
  <c r="A244" i="93"/>
  <c r="B244" i="93"/>
  <c r="C244" i="93"/>
  <c r="D244" i="93"/>
  <c r="E244" i="93"/>
  <c r="F244" i="93"/>
  <c r="G244" i="93"/>
  <c r="H244" i="93"/>
  <c r="A245" i="93"/>
  <c r="B245" i="93"/>
  <c r="C245" i="93"/>
  <c r="D245" i="93"/>
  <c r="E245" i="93"/>
  <c r="F245" i="93"/>
  <c r="G245" i="93"/>
  <c r="H245" i="93"/>
  <c r="A246" i="93"/>
  <c r="B246" i="93"/>
  <c r="C246" i="93"/>
  <c r="D246" i="93"/>
  <c r="E246" i="93"/>
  <c r="F246" i="93"/>
  <c r="G246" i="93"/>
  <c r="H246" i="93"/>
  <c r="A247" i="93"/>
  <c r="B247" i="93"/>
  <c r="C247" i="93"/>
  <c r="D247" i="93"/>
  <c r="E247" i="93"/>
  <c r="F247" i="93"/>
  <c r="G247" i="93"/>
  <c r="H247" i="93"/>
  <c r="A248" i="93"/>
  <c r="B248" i="93"/>
  <c r="C248" i="93"/>
  <c r="D248" i="93"/>
  <c r="E248" i="93"/>
  <c r="F248" i="93"/>
  <c r="G248" i="93"/>
  <c r="H248" i="93"/>
  <c r="A249" i="93"/>
  <c r="B249" i="93"/>
  <c r="C249" i="93"/>
  <c r="D249" i="93"/>
  <c r="E249" i="93"/>
  <c r="F249" i="93"/>
  <c r="G249" i="93"/>
  <c r="H249" i="93"/>
  <c r="A250" i="93"/>
  <c r="B250" i="93"/>
  <c r="C250" i="93"/>
  <c r="D250" i="93"/>
  <c r="E250" i="93"/>
  <c r="F250" i="93"/>
  <c r="G250" i="93"/>
  <c r="H250" i="93"/>
  <c r="A251" i="93"/>
  <c r="B251" i="93"/>
  <c r="C251" i="93"/>
  <c r="D251" i="93"/>
  <c r="E251" i="93"/>
  <c r="F251" i="93"/>
  <c r="G251" i="93"/>
  <c r="H251" i="93"/>
  <c r="A252" i="93"/>
  <c r="B252" i="93"/>
  <c r="C252" i="93"/>
  <c r="D252" i="93"/>
  <c r="E252" i="93"/>
  <c r="F252" i="93"/>
  <c r="G252" i="93"/>
  <c r="H252" i="93"/>
  <c r="A253" i="93"/>
  <c r="B253" i="93"/>
  <c r="C253" i="93"/>
  <c r="D253" i="93"/>
  <c r="E253" i="93"/>
  <c r="F253" i="93"/>
  <c r="G253" i="93"/>
  <c r="H253" i="93"/>
  <c r="A254" i="93"/>
  <c r="B254" i="93"/>
  <c r="C254" i="93"/>
  <c r="D254" i="93"/>
  <c r="E254" i="93"/>
  <c r="F254" i="93"/>
  <c r="G254" i="93"/>
  <c r="H254" i="93"/>
  <c r="A255" i="93"/>
  <c r="B255" i="93"/>
  <c r="C255" i="93"/>
  <c r="D255" i="93"/>
  <c r="E255" i="93"/>
  <c r="F255" i="93"/>
  <c r="G255" i="93"/>
  <c r="H255" i="93"/>
  <c r="A256" i="93"/>
  <c r="B256" i="93"/>
  <c r="C256" i="93"/>
  <c r="D256" i="93"/>
  <c r="E256" i="93"/>
  <c r="F256" i="93"/>
  <c r="G256" i="93"/>
  <c r="H256" i="93"/>
  <c r="A257" i="93"/>
  <c r="B257" i="93"/>
  <c r="C257" i="93"/>
  <c r="D257" i="93"/>
  <c r="E257" i="93"/>
  <c r="F257" i="93"/>
  <c r="G257" i="93"/>
  <c r="H257" i="93"/>
  <c r="A258" i="93"/>
  <c r="B258" i="93"/>
  <c r="C258" i="93"/>
  <c r="D258" i="93"/>
  <c r="E258" i="93"/>
  <c r="F258" i="93"/>
  <c r="G258" i="93"/>
  <c r="H258" i="93"/>
  <c r="A259" i="93"/>
  <c r="B259" i="93"/>
  <c r="C259" i="93"/>
  <c r="D259" i="93"/>
  <c r="E259" i="93"/>
  <c r="F259" i="93"/>
  <c r="G259" i="93"/>
  <c r="H259" i="93"/>
  <c r="A260" i="93"/>
  <c r="B260" i="93"/>
  <c r="C260" i="93"/>
  <c r="D260" i="93"/>
  <c r="E260" i="93"/>
  <c r="F260" i="93"/>
  <c r="G260" i="93"/>
  <c r="H260" i="93"/>
  <c r="A261" i="93"/>
  <c r="B261" i="93"/>
  <c r="C261" i="93"/>
  <c r="D261" i="93"/>
  <c r="E261" i="93"/>
  <c r="F261" i="93"/>
  <c r="G261" i="93"/>
  <c r="H261" i="93"/>
  <c r="A262" i="93"/>
  <c r="B262" i="93"/>
  <c r="C262" i="93"/>
  <c r="D262" i="93"/>
  <c r="E262" i="93"/>
  <c r="F262" i="93"/>
  <c r="G262" i="93"/>
  <c r="H262" i="93"/>
  <c r="A263" i="93"/>
  <c r="B263" i="93"/>
  <c r="C263" i="93"/>
  <c r="D263" i="93"/>
  <c r="E263" i="93"/>
  <c r="F263" i="93"/>
  <c r="G263" i="93"/>
  <c r="H263" i="93"/>
  <c r="A264" i="93"/>
  <c r="B264" i="93"/>
  <c r="C264" i="93"/>
  <c r="D264" i="93"/>
  <c r="E264" i="93"/>
  <c r="F264" i="93"/>
  <c r="G264" i="93"/>
  <c r="H264" i="93"/>
  <c r="A265" i="93"/>
  <c r="B265" i="93"/>
  <c r="C265" i="93"/>
  <c r="D265" i="93"/>
  <c r="E265" i="93"/>
  <c r="F265" i="93"/>
  <c r="G265" i="93"/>
  <c r="H265" i="93"/>
  <c r="A266" i="93"/>
  <c r="B266" i="93"/>
  <c r="C266" i="93"/>
  <c r="D266" i="93"/>
  <c r="E266" i="93"/>
  <c r="F266" i="93"/>
  <c r="G266" i="93"/>
  <c r="H266" i="93"/>
  <c r="A267" i="93"/>
  <c r="B267" i="93"/>
  <c r="C267" i="93"/>
  <c r="D267" i="93"/>
  <c r="E267" i="93"/>
  <c r="F267" i="93"/>
  <c r="G267" i="93"/>
  <c r="H267" i="93"/>
  <c r="A268" i="93"/>
  <c r="B268" i="93"/>
  <c r="C268" i="93"/>
  <c r="D268" i="93"/>
  <c r="E268" i="93"/>
  <c r="F268" i="93"/>
  <c r="G268" i="93"/>
  <c r="H268" i="93"/>
  <c r="A269" i="93"/>
  <c r="B269" i="93"/>
  <c r="C269" i="93"/>
  <c r="D269" i="93"/>
  <c r="E269" i="93"/>
  <c r="F269" i="93"/>
  <c r="G269" i="93"/>
  <c r="H269" i="93"/>
  <c r="A270" i="93"/>
  <c r="B270" i="93"/>
  <c r="C270" i="93"/>
  <c r="D270" i="93"/>
  <c r="E270" i="93"/>
  <c r="F270" i="93"/>
  <c r="G270" i="93"/>
  <c r="H270" i="93"/>
  <c r="A271" i="93"/>
  <c r="B271" i="93"/>
  <c r="C271" i="93"/>
  <c r="D271" i="93"/>
  <c r="E271" i="93"/>
  <c r="F271" i="93"/>
  <c r="G271" i="93"/>
  <c r="H271" i="93"/>
  <c r="A272" i="93"/>
  <c r="B272" i="93"/>
  <c r="C272" i="93"/>
  <c r="D272" i="93"/>
  <c r="E272" i="93"/>
  <c r="F272" i="93"/>
  <c r="G272" i="93"/>
  <c r="H272" i="93"/>
  <c r="A273" i="93"/>
  <c r="B273" i="93"/>
  <c r="C273" i="93"/>
  <c r="D273" i="93"/>
  <c r="E273" i="93"/>
  <c r="F273" i="93"/>
  <c r="G273" i="93"/>
  <c r="H273" i="93"/>
  <c r="A274" i="93"/>
  <c r="B274" i="93"/>
  <c r="C274" i="93"/>
  <c r="D274" i="93"/>
  <c r="E274" i="93"/>
  <c r="F274" i="93"/>
  <c r="G274" i="93"/>
  <c r="H274" i="93"/>
  <c r="A275" i="93"/>
  <c r="B275" i="93"/>
  <c r="C275" i="93"/>
  <c r="D275" i="93"/>
  <c r="E275" i="93"/>
  <c r="F275" i="93"/>
  <c r="G275" i="93"/>
  <c r="H275" i="93"/>
  <c r="A276" i="93"/>
  <c r="B276" i="93"/>
  <c r="C276" i="93"/>
  <c r="D276" i="93"/>
  <c r="E276" i="93"/>
  <c r="F276" i="93"/>
  <c r="G276" i="93"/>
  <c r="H276" i="93"/>
  <c r="A277" i="93"/>
  <c r="B277" i="93"/>
  <c r="C277" i="93"/>
  <c r="D277" i="93"/>
  <c r="E277" i="93"/>
  <c r="F277" i="93"/>
  <c r="G277" i="93"/>
  <c r="H277" i="93"/>
  <c r="A278" i="93"/>
  <c r="B278" i="93"/>
  <c r="C278" i="93"/>
  <c r="D278" i="93"/>
  <c r="E278" i="93"/>
  <c r="F278" i="93"/>
  <c r="G278" i="93"/>
  <c r="H278" i="93"/>
  <c r="A279" i="93"/>
  <c r="B279" i="93"/>
  <c r="C279" i="93"/>
  <c r="D279" i="93"/>
  <c r="E279" i="93"/>
  <c r="F279" i="93"/>
  <c r="G279" i="93"/>
  <c r="H279" i="93"/>
  <c r="A280" i="93"/>
  <c r="B280" i="93"/>
  <c r="C280" i="93"/>
  <c r="D280" i="93"/>
  <c r="E280" i="93"/>
  <c r="F280" i="93"/>
  <c r="G280" i="93"/>
  <c r="H280" i="93"/>
  <c r="A281" i="93"/>
  <c r="B281" i="93"/>
  <c r="C281" i="93"/>
  <c r="D281" i="93"/>
  <c r="E281" i="93"/>
  <c r="F281" i="93"/>
  <c r="G281" i="93"/>
  <c r="H281" i="93"/>
  <c r="A282" i="93"/>
  <c r="B282" i="93"/>
  <c r="C282" i="93"/>
  <c r="D282" i="93"/>
  <c r="E282" i="93"/>
  <c r="F282" i="93"/>
  <c r="G282" i="93"/>
  <c r="H282" i="93"/>
  <c r="A283" i="93"/>
  <c r="B283" i="93"/>
  <c r="C283" i="93"/>
  <c r="D283" i="93"/>
  <c r="E283" i="93"/>
  <c r="F283" i="93"/>
  <c r="G283" i="93"/>
  <c r="H283" i="93"/>
  <c r="A284" i="93"/>
  <c r="B284" i="93"/>
  <c r="C284" i="93"/>
  <c r="D284" i="93"/>
  <c r="E284" i="93"/>
  <c r="F284" i="93"/>
  <c r="G284" i="93"/>
  <c r="H284" i="93"/>
  <c r="A285" i="93"/>
  <c r="B285" i="93"/>
  <c r="C285" i="93"/>
  <c r="D285" i="93"/>
  <c r="E285" i="93"/>
  <c r="F285" i="93"/>
  <c r="G285" i="93"/>
  <c r="H285" i="93"/>
  <c r="A286" i="93"/>
  <c r="B286" i="93"/>
  <c r="C286" i="93"/>
  <c r="D286" i="93"/>
  <c r="E286" i="93"/>
  <c r="F286" i="93"/>
  <c r="G286" i="93"/>
  <c r="H286" i="93"/>
  <c r="A287" i="93"/>
  <c r="B287" i="93"/>
  <c r="C287" i="93"/>
  <c r="D287" i="93"/>
  <c r="E287" i="93"/>
  <c r="F287" i="93"/>
  <c r="G287" i="93"/>
  <c r="H287" i="93"/>
  <c r="A288" i="93"/>
  <c r="B288" i="93"/>
  <c r="C288" i="93"/>
  <c r="D288" i="93"/>
  <c r="E288" i="93"/>
  <c r="F288" i="93"/>
  <c r="G288" i="93"/>
  <c r="H288" i="93"/>
  <c r="A289" i="93"/>
  <c r="B289" i="93"/>
  <c r="C289" i="93"/>
  <c r="D289" i="93"/>
  <c r="E289" i="93"/>
  <c r="F289" i="93"/>
  <c r="G289" i="93"/>
  <c r="H289" i="93"/>
  <c r="A290" i="93"/>
  <c r="B290" i="93"/>
  <c r="C290" i="93"/>
  <c r="D290" i="93"/>
  <c r="E290" i="93"/>
  <c r="F290" i="93"/>
  <c r="G290" i="93"/>
  <c r="H290" i="93"/>
  <c r="A291" i="93"/>
  <c r="B291" i="93"/>
  <c r="C291" i="93"/>
  <c r="D291" i="93"/>
  <c r="E291" i="93"/>
  <c r="F291" i="93"/>
  <c r="G291" i="93"/>
  <c r="H291" i="93"/>
  <c r="A292" i="93"/>
  <c r="B292" i="93"/>
  <c r="C292" i="93"/>
  <c r="D292" i="93"/>
  <c r="E292" i="93"/>
  <c r="F292" i="93"/>
  <c r="G292" i="93"/>
  <c r="H292" i="93"/>
  <c r="A293" i="93"/>
  <c r="B293" i="93"/>
  <c r="C293" i="93"/>
  <c r="D293" i="93"/>
  <c r="E293" i="93"/>
  <c r="F293" i="93"/>
  <c r="G293" i="93"/>
  <c r="H293" i="93"/>
  <c r="A294" i="93"/>
  <c r="B294" i="93"/>
  <c r="C294" i="93"/>
  <c r="D294" i="93"/>
  <c r="E294" i="93"/>
  <c r="F294" i="93"/>
  <c r="G294" i="93"/>
  <c r="H294" i="93"/>
  <c r="A295" i="93"/>
  <c r="B295" i="93"/>
  <c r="C295" i="93"/>
  <c r="D295" i="93"/>
  <c r="E295" i="93"/>
  <c r="F295" i="93"/>
  <c r="G295" i="93"/>
  <c r="H295" i="93"/>
  <c r="A296" i="93"/>
  <c r="B296" i="93"/>
  <c r="C296" i="93"/>
  <c r="D296" i="93"/>
  <c r="E296" i="93"/>
  <c r="F296" i="93"/>
  <c r="G296" i="93"/>
  <c r="H296" i="93"/>
  <c r="A297" i="93"/>
  <c r="B297" i="93"/>
  <c r="C297" i="93"/>
  <c r="D297" i="93"/>
  <c r="E297" i="93"/>
  <c r="F297" i="93"/>
  <c r="G297" i="93"/>
  <c r="H297" i="93"/>
  <c r="A298" i="93"/>
  <c r="B298" i="93"/>
  <c r="C298" i="93"/>
  <c r="D298" i="93"/>
  <c r="E298" i="93"/>
  <c r="F298" i="93"/>
  <c r="G298" i="93"/>
  <c r="H298" i="93"/>
  <c r="A299" i="93"/>
  <c r="B299" i="93"/>
  <c r="C299" i="93"/>
  <c r="D299" i="93"/>
  <c r="E299" i="93"/>
  <c r="F299" i="93"/>
  <c r="G299" i="93"/>
  <c r="H299" i="93"/>
  <c r="A300" i="93"/>
  <c r="B300" i="93"/>
  <c r="C300" i="93"/>
  <c r="D300" i="93"/>
  <c r="E300" i="93"/>
  <c r="F300" i="93"/>
  <c r="G300" i="93"/>
  <c r="H300" i="93"/>
  <c r="A301" i="93"/>
  <c r="B301" i="93"/>
  <c r="C301" i="93"/>
  <c r="D301" i="93"/>
  <c r="E301" i="93"/>
  <c r="F301" i="93"/>
  <c r="G301" i="93"/>
  <c r="H301" i="93"/>
  <c r="A302" i="93"/>
  <c r="B302" i="93"/>
  <c r="C302" i="93"/>
  <c r="D302" i="93"/>
  <c r="E302" i="93"/>
  <c r="F302" i="93"/>
  <c r="G302" i="93"/>
  <c r="H302" i="93"/>
  <c r="A303" i="93"/>
  <c r="B303" i="93"/>
  <c r="C303" i="93"/>
  <c r="D303" i="93"/>
  <c r="E303" i="93"/>
  <c r="F303" i="93"/>
  <c r="G303" i="93"/>
  <c r="H303" i="93"/>
  <c r="A304" i="93"/>
  <c r="B304" i="93"/>
  <c r="C304" i="93"/>
  <c r="D304" i="93"/>
  <c r="E304" i="93"/>
  <c r="F304" i="93"/>
  <c r="G304" i="93"/>
  <c r="H304" i="93"/>
  <c r="A305" i="93"/>
  <c r="B305" i="93"/>
  <c r="C305" i="93"/>
  <c r="D305" i="93"/>
  <c r="E305" i="93"/>
  <c r="F305" i="93"/>
  <c r="G305" i="93"/>
  <c r="H305" i="93"/>
  <c r="A306" i="93"/>
  <c r="B306" i="93"/>
  <c r="C306" i="93"/>
  <c r="D306" i="93"/>
  <c r="E306" i="93"/>
  <c r="F306" i="93"/>
  <c r="G306" i="93"/>
  <c r="H306" i="93"/>
  <c r="A307" i="93"/>
  <c r="B307" i="93"/>
  <c r="C307" i="93"/>
  <c r="D307" i="93"/>
  <c r="E307" i="93"/>
  <c r="F307" i="93"/>
  <c r="G307" i="93"/>
  <c r="H307" i="93"/>
  <c r="A308" i="93"/>
  <c r="B308" i="93"/>
  <c r="C308" i="93"/>
  <c r="D308" i="93"/>
  <c r="E308" i="93"/>
  <c r="F308" i="93"/>
  <c r="G308" i="93"/>
  <c r="H308" i="93"/>
  <c r="A309" i="93"/>
  <c r="B309" i="93"/>
  <c r="C309" i="93"/>
  <c r="D309" i="93"/>
  <c r="E309" i="93"/>
  <c r="F309" i="93"/>
  <c r="G309" i="93"/>
  <c r="H309" i="93"/>
  <c r="A310" i="93"/>
  <c r="B310" i="93"/>
  <c r="C310" i="93"/>
  <c r="D310" i="93"/>
  <c r="E310" i="93"/>
  <c r="F310" i="93"/>
  <c r="G310" i="93"/>
  <c r="H310" i="93"/>
  <c r="A311" i="93"/>
  <c r="B311" i="93"/>
  <c r="C311" i="93"/>
  <c r="D311" i="93"/>
  <c r="E311" i="93"/>
  <c r="F311" i="93"/>
  <c r="G311" i="93"/>
  <c r="H311" i="93"/>
  <c r="A312" i="93"/>
  <c r="B312" i="93"/>
  <c r="C312" i="93"/>
  <c r="D312" i="93"/>
  <c r="E312" i="93"/>
  <c r="F312" i="93"/>
  <c r="G312" i="93"/>
  <c r="H312" i="93"/>
  <c r="A313" i="93"/>
  <c r="B313" i="93"/>
  <c r="C313" i="93"/>
  <c r="D313" i="93"/>
  <c r="E313" i="93"/>
  <c r="F313" i="93"/>
  <c r="G313" i="93"/>
  <c r="H313" i="93"/>
  <c r="A314" i="93"/>
  <c r="B314" i="93"/>
  <c r="C314" i="93"/>
  <c r="D314" i="93"/>
  <c r="E314" i="93"/>
  <c r="F314" i="93"/>
  <c r="G314" i="93"/>
  <c r="H314" i="93"/>
  <c r="A315" i="93"/>
  <c r="B315" i="93"/>
  <c r="C315" i="93"/>
  <c r="D315" i="93"/>
  <c r="E315" i="93"/>
  <c r="F315" i="93"/>
  <c r="G315" i="93"/>
  <c r="H315" i="93"/>
  <c r="A316" i="93"/>
  <c r="B316" i="93"/>
  <c r="C316" i="93"/>
  <c r="D316" i="93"/>
  <c r="E316" i="93"/>
  <c r="F316" i="93"/>
  <c r="G316" i="93"/>
  <c r="H316" i="93"/>
  <c r="A317" i="93"/>
  <c r="B317" i="93"/>
  <c r="C317" i="93"/>
  <c r="D317" i="93"/>
  <c r="E317" i="93"/>
  <c r="F317" i="93"/>
  <c r="G317" i="93"/>
  <c r="H317" i="93"/>
  <c r="A318" i="93"/>
  <c r="B318" i="93"/>
  <c r="C318" i="93"/>
  <c r="D318" i="93"/>
  <c r="E318" i="93"/>
  <c r="F318" i="93"/>
  <c r="G318" i="93"/>
  <c r="H318" i="93"/>
  <c r="A319" i="93"/>
  <c r="B319" i="93"/>
  <c r="C319" i="93"/>
  <c r="D319" i="93"/>
  <c r="E319" i="93"/>
  <c r="F319" i="93"/>
  <c r="G319" i="93"/>
  <c r="H319" i="93"/>
  <c r="A320" i="93"/>
  <c r="B320" i="93"/>
  <c r="C320" i="93"/>
  <c r="D320" i="93"/>
  <c r="E320" i="93"/>
  <c r="F320" i="93"/>
  <c r="G320" i="93"/>
  <c r="H320" i="93"/>
  <c r="A321" i="93"/>
  <c r="B321" i="93"/>
  <c r="C321" i="93"/>
  <c r="D321" i="93"/>
  <c r="E321" i="93"/>
  <c r="F321" i="93"/>
  <c r="G321" i="93"/>
  <c r="H321" i="93"/>
  <c r="A322" i="93"/>
  <c r="B322" i="93"/>
  <c r="C322" i="93"/>
  <c r="D322" i="93"/>
  <c r="E322" i="93"/>
  <c r="F322" i="93"/>
  <c r="G322" i="93"/>
  <c r="H322" i="93"/>
  <c r="A323" i="93"/>
  <c r="B323" i="93"/>
  <c r="C323" i="93"/>
  <c r="D323" i="93"/>
  <c r="E323" i="93"/>
  <c r="F323" i="93"/>
  <c r="G323" i="93"/>
  <c r="H323" i="93"/>
  <c r="A324" i="93"/>
  <c r="B324" i="93"/>
  <c r="C324" i="93"/>
  <c r="D324" i="93"/>
  <c r="E324" i="93"/>
  <c r="F324" i="93"/>
  <c r="G324" i="93"/>
  <c r="H324" i="93"/>
  <c r="A325" i="93"/>
  <c r="B325" i="93"/>
  <c r="C325" i="93"/>
  <c r="D325" i="93"/>
  <c r="E325" i="93"/>
  <c r="F325" i="93"/>
  <c r="G325" i="93"/>
  <c r="H325" i="93"/>
  <c r="A326" i="93"/>
  <c r="B326" i="93"/>
  <c r="C326" i="93"/>
  <c r="D326" i="93"/>
  <c r="E326" i="93"/>
  <c r="F326" i="93"/>
  <c r="G326" i="93"/>
  <c r="H326" i="93"/>
  <c r="A327" i="93"/>
  <c r="B327" i="93"/>
  <c r="C327" i="93"/>
  <c r="D327" i="93"/>
  <c r="E327" i="93"/>
  <c r="F327" i="93"/>
  <c r="G327" i="93"/>
  <c r="H327" i="93"/>
  <c r="A328" i="93"/>
  <c r="B328" i="93"/>
  <c r="C328" i="93"/>
  <c r="D328" i="93"/>
  <c r="E328" i="93"/>
  <c r="F328" i="93"/>
  <c r="G328" i="93"/>
  <c r="H328" i="93"/>
  <c r="A329" i="93"/>
  <c r="B329" i="93"/>
  <c r="C329" i="93"/>
  <c r="D329" i="93"/>
  <c r="E329" i="93"/>
  <c r="F329" i="93"/>
  <c r="G329" i="93"/>
  <c r="H329" i="93"/>
  <c r="A330" i="93"/>
  <c r="B330" i="93"/>
  <c r="C330" i="93"/>
  <c r="D330" i="93"/>
  <c r="E330" i="93"/>
  <c r="F330" i="93"/>
  <c r="G330" i="93"/>
  <c r="H330" i="93"/>
  <c r="A331" i="93"/>
  <c r="B331" i="93"/>
  <c r="C331" i="93"/>
  <c r="D331" i="93"/>
  <c r="E331" i="93"/>
  <c r="F331" i="93"/>
  <c r="G331" i="93"/>
  <c r="H331" i="93"/>
  <c r="A332" i="93"/>
  <c r="B332" i="93"/>
  <c r="C332" i="93"/>
  <c r="D332" i="93"/>
  <c r="E332" i="93"/>
  <c r="F332" i="93"/>
  <c r="G332" i="93"/>
  <c r="H332" i="93"/>
  <c r="A333" i="93"/>
  <c r="B333" i="93"/>
  <c r="C333" i="93"/>
  <c r="D333" i="93"/>
  <c r="E333" i="93"/>
  <c r="F333" i="93"/>
  <c r="G333" i="93"/>
  <c r="H333" i="93"/>
  <c r="A334" i="93"/>
  <c r="B334" i="93"/>
  <c r="C334" i="93"/>
  <c r="D334" i="93"/>
  <c r="E334" i="93"/>
  <c r="F334" i="93"/>
  <c r="G334" i="93"/>
  <c r="H334" i="93"/>
  <c r="A335" i="93"/>
  <c r="B335" i="93"/>
  <c r="C335" i="93"/>
  <c r="D335" i="93"/>
  <c r="E335" i="93"/>
  <c r="F335" i="93"/>
  <c r="G335" i="93"/>
  <c r="H335" i="93"/>
  <c r="A336" i="93"/>
  <c r="B336" i="93"/>
  <c r="C336" i="93"/>
  <c r="D336" i="93"/>
  <c r="E336" i="93"/>
  <c r="F336" i="93"/>
  <c r="G336" i="93"/>
  <c r="H336" i="93"/>
  <c r="A337" i="93"/>
  <c r="B337" i="93"/>
  <c r="C337" i="93"/>
  <c r="D337" i="93"/>
  <c r="E337" i="93"/>
  <c r="F337" i="93"/>
  <c r="G337" i="93"/>
  <c r="H337" i="93"/>
  <c r="A338" i="93"/>
  <c r="B338" i="93"/>
  <c r="C338" i="93"/>
  <c r="D338" i="93"/>
  <c r="E338" i="93"/>
  <c r="F338" i="93"/>
  <c r="G338" i="93"/>
  <c r="H338" i="93"/>
  <c r="A339" i="93"/>
  <c r="B339" i="93"/>
  <c r="C339" i="93"/>
  <c r="D339" i="93"/>
  <c r="E339" i="93"/>
  <c r="F339" i="93"/>
  <c r="G339" i="93"/>
  <c r="H339" i="93"/>
  <c r="A340" i="93"/>
  <c r="B340" i="93"/>
  <c r="C340" i="93"/>
  <c r="D340" i="93"/>
  <c r="E340" i="93"/>
  <c r="F340" i="93"/>
  <c r="G340" i="93"/>
  <c r="H340" i="93"/>
  <c r="A341" i="93"/>
  <c r="B341" i="93"/>
  <c r="C341" i="93"/>
  <c r="D341" i="93"/>
  <c r="E341" i="93"/>
  <c r="F341" i="93"/>
  <c r="G341" i="93"/>
  <c r="H341" i="93"/>
  <c r="A342" i="93"/>
  <c r="B342" i="93"/>
  <c r="C342" i="93"/>
  <c r="D342" i="93"/>
  <c r="E342" i="93"/>
  <c r="F342" i="93"/>
  <c r="G342" i="93"/>
  <c r="H342" i="93"/>
  <c r="A343" i="93"/>
  <c r="B343" i="93"/>
  <c r="C343" i="93"/>
  <c r="D343" i="93"/>
  <c r="E343" i="93"/>
  <c r="F343" i="93"/>
  <c r="G343" i="93"/>
  <c r="H343" i="93"/>
  <c r="A344" i="93"/>
  <c r="B344" i="93"/>
  <c r="C344" i="93"/>
  <c r="D344" i="93"/>
  <c r="E344" i="93"/>
  <c r="F344" i="93"/>
  <c r="G344" i="93"/>
  <c r="H344" i="93"/>
  <c r="A345" i="93"/>
  <c r="B345" i="93"/>
  <c r="C345" i="93"/>
  <c r="D345" i="93"/>
  <c r="E345" i="93"/>
  <c r="F345" i="93"/>
  <c r="G345" i="93"/>
  <c r="H345" i="93"/>
  <c r="A346" i="93"/>
  <c r="B346" i="93"/>
  <c r="C346" i="93"/>
  <c r="D346" i="93"/>
  <c r="E346" i="93"/>
  <c r="F346" i="93"/>
  <c r="G346" i="93"/>
  <c r="H346" i="93"/>
  <c r="A347" i="93"/>
  <c r="B347" i="93"/>
  <c r="C347" i="93"/>
  <c r="D347" i="93"/>
  <c r="E347" i="93"/>
  <c r="F347" i="93"/>
  <c r="G347" i="93"/>
  <c r="H347" i="93"/>
  <c r="A348" i="93"/>
  <c r="B348" i="93"/>
  <c r="C348" i="93"/>
  <c r="D348" i="93"/>
  <c r="E348" i="93"/>
  <c r="F348" i="93"/>
  <c r="G348" i="93"/>
  <c r="H348" i="93"/>
  <c r="A349" i="93"/>
  <c r="B349" i="93"/>
  <c r="C349" i="93"/>
  <c r="D349" i="93"/>
  <c r="E349" i="93"/>
  <c r="F349" i="93"/>
  <c r="G349" i="93"/>
  <c r="H349" i="93"/>
  <c r="A350" i="93"/>
  <c r="B350" i="93"/>
  <c r="C350" i="93"/>
  <c r="D350" i="93"/>
  <c r="E350" i="93"/>
  <c r="F350" i="93"/>
  <c r="G350" i="93"/>
  <c r="H350" i="93"/>
  <c r="A351" i="93"/>
  <c r="B351" i="93"/>
  <c r="C351" i="93"/>
  <c r="D351" i="93"/>
  <c r="E351" i="93"/>
  <c r="F351" i="93"/>
  <c r="G351" i="93"/>
  <c r="H351" i="93"/>
  <c r="A352" i="93"/>
  <c r="B352" i="93"/>
  <c r="C352" i="93"/>
  <c r="D352" i="93"/>
  <c r="E352" i="93"/>
  <c r="F352" i="93"/>
  <c r="G352" i="93"/>
  <c r="H352" i="93"/>
  <c r="A353" i="93"/>
  <c r="B353" i="93"/>
  <c r="C353" i="93"/>
  <c r="D353" i="93"/>
  <c r="E353" i="93"/>
  <c r="F353" i="93"/>
  <c r="G353" i="93"/>
  <c r="H353" i="93"/>
  <c r="A354" i="93"/>
  <c r="B354" i="93"/>
  <c r="C354" i="93"/>
  <c r="D354" i="93"/>
  <c r="E354" i="93"/>
  <c r="F354" i="93"/>
  <c r="G354" i="93"/>
  <c r="H354" i="93"/>
  <c r="A355" i="93"/>
  <c r="B355" i="93"/>
  <c r="C355" i="93"/>
  <c r="D355" i="93"/>
  <c r="E355" i="93"/>
  <c r="F355" i="93"/>
  <c r="G355" i="93"/>
  <c r="H355" i="93"/>
  <c r="A356" i="93"/>
  <c r="B356" i="93"/>
  <c r="C356" i="93"/>
  <c r="D356" i="93"/>
  <c r="E356" i="93"/>
  <c r="F356" i="93"/>
  <c r="G356" i="93"/>
  <c r="H356" i="93"/>
  <c r="A357" i="93"/>
  <c r="B357" i="93"/>
  <c r="C357" i="93"/>
  <c r="D357" i="93"/>
  <c r="E357" i="93"/>
  <c r="F357" i="93"/>
  <c r="G357" i="93"/>
  <c r="H357" i="93"/>
  <c r="A358" i="93"/>
  <c r="B358" i="93"/>
  <c r="C358" i="93"/>
  <c r="D358" i="93"/>
  <c r="E358" i="93"/>
  <c r="F358" i="93"/>
  <c r="G358" i="93"/>
  <c r="H358" i="93"/>
  <c r="A359" i="93"/>
  <c r="B359" i="93"/>
  <c r="C359" i="93"/>
  <c r="D359" i="93"/>
  <c r="E359" i="93"/>
  <c r="F359" i="93"/>
  <c r="G359" i="93"/>
  <c r="H359" i="93"/>
  <c r="A360" i="93"/>
  <c r="B360" i="93"/>
  <c r="C360" i="93"/>
  <c r="D360" i="93"/>
  <c r="E360" i="93"/>
  <c r="F360" i="93"/>
  <c r="G360" i="93"/>
  <c r="H360" i="93"/>
  <c r="A361" i="93"/>
  <c r="B361" i="93"/>
  <c r="C361" i="93"/>
  <c r="D361" i="93"/>
  <c r="E361" i="93"/>
  <c r="F361" i="93"/>
  <c r="G361" i="93"/>
  <c r="H361" i="93"/>
  <c r="A362" i="93"/>
  <c r="B362" i="93"/>
  <c r="C362" i="93"/>
  <c r="D362" i="93"/>
  <c r="E362" i="93"/>
  <c r="F362" i="93"/>
  <c r="G362" i="93"/>
  <c r="H362" i="93"/>
  <c r="A363" i="93"/>
  <c r="B363" i="93"/>
  <c r="C363" i="93"/>
  <c r="D363" i="93"/>
  <c r="E363" i="93"/>
  <c r="F363" i="93"/>
  <c r="G363" i="93"/>
  <c r="H363" i="93"/>
  <c r="A364" i="93"/>
  <c r="B364" i="93"/>
  <c r="C364" i="93"/>
  <c r="D364" i="93"/>
  <c r="E364" i="93"/>
  <c r="F364" i="93"/>
  <c r="G364" i="93"/>
  <c r="H364" i="93"/>
  <c r="A365" i="93"/>
  <c r="B365" i="93"/>
  <c r="C365" i="93"/>
  <c r="D365" i="93"/>
  <c r="E365" i="93"/>
  <c r="F365" i="93"/>
  <c r="G365" i="93"/>
  <c r="H365" i="93"/>
  <c r="A366" i="93"/>
  <c r="B366" i="93"/>
  <c r="C366" i="93"/>
  <c r="D366" i="93"/>
  <c r="E366" i="93"/>
  <c r="F366" i="93"/>
  <c r="G366" i="93"/>
  <c r="H366" i="93"/>
  <c r="A367" i="93"/>
  <c r="B367" i="93"/>
  <c r="C367" i="93"/>
  <c r="D367" i="93"/>
  <c r="E367" i="93"/>
  <c r="F367" i="93"/>
  <c r="G367" i="93"/>
  <c r="H367" i="93"/>
  <c r="A368" i="93"/>
  <c r="B368" i="93"/>
  <c r="C368" i="93"/>
  <c r="D368" i="93"/>
  <c r="E368" i="93"/>
  <c r="F368" i="93"/>
  <c r="G368" i="93"/>
  <c r="H368" i="93"/>
  <c r="A369" i="93"/>
  <c r="B369" i="93"/>
  <c r="C369" i="93"/>
  <c r="D369" i="93"/>
  <c r="E369" i="93"/>
  <c r="F369" i="93"/>
  <c r="G369" i="93"/>
  <c r="H369" i="93"/>
  <c r="A370" i="93"/>
  <c r="B370" i="93"/>
  <c r="C370" i="93"/>
  <c r="D370" i="93"/>
  <c r="E370" i="93"/>
  <c r="F370" i="93"/>
  <c r="G370" i="93"/>
  <c r="H370" i="93"/>
  <c r="A371" i="93"/>
  <c r="B371" i="93"/>
  <c r="C371" i="93"/>
  <c r="D371" i="93"/>
  <c r="E371" i="93"/>
  <c r="F371" i="93"/>
  <c r="G371" i="93"/>
  <c r="H371" i="93"/>
  <c r="A372" i="93"/>
  <c r="B372" i="93"/>
  <c r="C372" i="93"/>
  <c r="D372" i="93"/>
  <c r="E372" i="93"/>
  <c r="F372" i="93"/>
  <c r="G372" i="93"/>
  <c r="H372" i="93"/>
  <c r="A373" i="93"/>
  <c r="B373" i="93"/>
  <c r="C373" i="93"/>
  <c r="D373" i="93"/>
  <c r="E373" i="93"/>
  <c r="F373" i="93"/>
  <c r="G373" i="93"/>
  <c r="H373" i="93"/>
  <c r="A374" i="93"/>
  <c r="B374" i="93"/>
  <c r="C374" i="93"/>
  <c r="D374" i="93"/>
  <c r="E374" i="93"/>
  <c r="F374" i="93"/>
  <c r="G374" i="93"/>
  <c r="H374" i="93"/>
  <c r="A375" i="93"/>
  <c r="B375" i="93"/>
  <c r="C375" i="93"/>
  <c r="D375" i="93"/>
  <c r="E375" i="93"/>
  <c r="F375" i="93"/>
  <c r="G375" i="93"/>
  <c r="H375" i="93"/>
  <c r="A376" i="93"/>
  <c r="B376" i="93"/>
  <c r="C376" i="93"/>
  <c r="D376" i="93"/>
  <c r="E376" i="93"/>
  <c r="F376" i="93"/>
  <c r="G376" i="93"/>
  <c r="H376" i="93"/>
  <c r="A377" i="93"/>
  <c r="B377" i="93"/>
  <c r="C377" i="93"/>
  <c r="D377" i="93"/>
  <c r="E377" i="93"/>
  <c r="F377" i="93"/>
  <c r="G377" i="93"/>
  <c r="H377" i="93"/>
  <c r="A378" i="93"/>
  <c r="B378" i="93"/>
  <c r="C378" i="93"/>
  <c r="D378" i="93"/>
  <c r="E378" i="93"/>
  <c r="F378" i="93"/>
  <c r="G378" i="93"/>
  <c r="H378" i="93"/>
  <c r="A379" i="93"/>
  <c r="B379" i="93"/>
  <c r="C379" i="93"/>
  <c r="D379" i="93"/>
  <c r="E379" i="93"/>
  <c r="F379" i="93"/>
  <c r="G379" i="93"/>
  <c r="H379" i="93"/>
  <c r="A380" i="93"/>
  <c r="B380" i="93"/>
  <c r="C380" i="93"/>
  <c r="D380" i="93"/>
  <c r="E380" i="93"/>
  <c r="F380" i="93"/>
  <c r="G380" i="93"/>
  <c r="H380" i="93"/>
  <c r="A381" i="93"/>
  <c r="B381" i="93"/>
  <c r="C381" i="93"/>
  <c r="D381" i="93"/>
  <c r="E381" i="93"/>
  <c r="F381" i="93"/>
  <c r="G381" i="93"/>
  <c r="H381" i="93"/>
  <c r="A382" i="93"/>
  <c r="B382" i="93"/>
  <c r="C382" i="93"/>
  <c r="D382" i="93"/>
  <c r="E382" i="93"/>
  <c r="F382" i="93"/>
  <c r="G382" i="93"/>
  <c r="H382" i="93"/>
  <c r="A383" i="93"/>
  <c r="B383" i="93"/>
  <c r="C383" i="93"/>
  <c r="D383" i="93"/>
  <c r="E383" i="93"/>
  <c r="F383" i="93"/>
  <c r="G383" i="93"/>
  <c r="H383" i="93"/>
  <c r="A384" i="93"/>
  <c r="B384" i="93"/>
  <c r="C384" i="93"/>
  <c r="D384" i="93"/>
  <c r="E384" i="93"/>
  <c r="F384" i="93"/>
  <c r="G384" i="93"/>
  <c r="H384" i="93"/>
  <c r="A385" i="93"/>
  <c r="B385" i="93"/>
  <c r="C385" i="93"/>
  <c r="D385" i="93"/>
  <c r="E385" i="93"/>
  <c r="F385" i="93"/>
  <c r="G385" i="93"/>
  <c r="H385" i="93"/>
  <c r="A386" i="93"/>
  <c r="B386" i="93"/>
  <c r="C386" i="93"/>
  <c r="D386" i="93"/>
  <c r="E386" i="93"/>
  <c r="F386" i="93"/>
  <c r="G386" i="93"/>
  <c r="H386" i="93"/>
  <c r="A387" i="93"/>
  <c r="B387" i="93"/>
  <c r="C387" i="93"/>
  <c r="D387" i="93"/>
  <c r="E387" i="93"/>
  <c r="F387" i="93"/>
  <c r="G387" i="93"/>
  <c r="H387" i="93"/>
  <c r="A388" i="93"/>
  <c r="B388" i="93"/>
  <c r="C388" i="93"/>
  <c r="D388" i="93"/>
  <c r="E388" i="93"/>
  <c r="F388" i="93"/>
  <c r="G388" i="93"/>
  <c r="H388" i="93"/>
  <c r="A389" i="93"/>
  <c r="B389" i="93"/>
  <c r="C389" i="93"/>
  <c r="D389" i="93"/>
  <c r="E389" i="93"/>
  <c r="F389" i="93"/>
  <c r="G389" i="93"/>
  <c r="H389" i="93"/>
  <c r="A390" i="93"/>
  <c r="B390" i="93"/>
  <c r="C390" i="93"/>
  <c r="D390" i="93"/>
  <c r="E390" i="93"/>
  <c r="F390" i="93"/>
  <c r="G390" i="93"/>
  <c r="H390" i="93"/>
  <c r="A391" i="93"/>
  <c r="B391" i="93"/>
  <c r="C391" i="93"/>
  <c r="D391" i="93"/>
  <c r="E391" i="93"/>
  <c r="F391" i="93"/>
  <c r="G391" i="93"/>
  <c r="H391" i="93"/>
  <c r="A392" i="93"/>
  <c r="B392" i="93"/>
  <c r="C392" i="93"/>
  <c r="D392" i="93"/>
  <c r="E392" i="93"/>
  <c r="F392" i="93"/>
  <c r="G392" i="93"/>
  <c r="H392" i="93"/>
  <c r="A393" i="93"/>
  <c r="B393" i="93"/>
  <c r="C393" i="93"/>
  <c r="D393" i="93"/>
  <c r="E393" i="93"/>
  <c r="F393" i="93"/>
  <c r="G393" i="93"/>
  <c r="H393" i="93"/>
  <c r="A394" i="93"/>
  <c r="B394" i="93"/>
  <c r="C394" i="93"/>
  <c r="D394" i="93"/>
  <c r="E394" i="93"/>
  <c r="F394" i="93"/>
  <c r="G394" i="93"/>
  <c r="H394" i="93"/>
  <c r="A395" i="93"/>
  <c r="B395" i="93"/>
  <c r="C395" i="93"/>
  <c r="D395" i="93"/>
  <c r="E395" i="93"/>
  <c r="F395" i="93"/>
  <c r="G395" i="93"/>
  <c r="H395" i="93"/>
  <c r="A396" i="93"/>
  <c r="B396" i="93"/>
  <c r="C396" i="93"/>
  <c r="D396" i="93"/>
  <c r="E396" i="93"/>
  <c r="F396" i="93"/>
  <c r="G396" i="93"/>
  <c r="H396" i="93"/>
  <c r="A397" i="93"/>
  <c r="B397" i="93"/>
  <c r="C397" i="93"/>
  <c r="D397" i="93"/>
  <c r="E397" i="93"/>
  <c r="F397" i="93"/>
  <c r="G397" i="93"/>
  <c r="H397" i="93"/>
  <c r="A398" i="93"/>
  <c r="B398" i="93"/>
  <c r="C398" i="93"/>
  <c r="D398" i="93"/>
  <c r="E398" i="93"/>
  <c r="F398" i="93"/>
  <c r="G398" i="93"/>
  <c r="H398" i="93"/>
  <c r="A399" i="93"/>
  <c r="B399" i="93"/>
  <c r="C399" i="93"/>
  <c r="D399" i="93"/>
  <c r="E399" i="93"/>
  <c r="F399" i="93"/>
  <c r="G399" i="93"/>
  <c r="H399" i="93"/>
  <c r="A400" i="93"/>
  <c r="B400" i="93"/>
  <c r="C400" i="93"/>
  <c r="D400" i="93"/>
  <c r="E400" i="93"/>
  <c r="F400" i="93"/>
  <c r="G400" i="93"/>
  <c r="H400" i="93"/>
  <c r="A401" i="93"/>
  <c r="B401" i="93"/>
  <c r="C401" i="93"/>
  <c r="D401" i="93"/>
  <c r="E401" i="93"/>
  <c r="F401" i="93"/>
  <c r="G401" i="93"/>
  <c r="H401" i="93"/>
  <c r="A402" i="93"/>
  <c r="B402" i="93"/>
  <c r="C402" i="93"/>
  <c r="D402" i="93"/>
  <c r="E402" i="93"/>
  <c r="F402" i="93"/>
  <c r="G402" i="93"/>
  <c r="H402" i="93"/>
  <c r="A403" i="93"/>
  <c r="B403" i="93"/>
  <c r="C403" i="93"/>
  <c r="D403" i="93"/>
  <c r="E403" i="93"/>
  <c r="F403" i="93"/>
  <c r="G403" i="93"/>
  <c r="H403" i="93"/>
  <c r="A404" i="93"/>
  <c r="B404" i="93"/>
  <c r="C404" i="93"/>
  <c r="D404" i="93"/>
  <c r="E404" i="93"/>
  <c r="F404" i="93"/>
  <c r="G404" i="93"/>
  <c r="H404" i="93"/>
  <c r="A405" i="93"/>
  <c r="B405" i="93"/>
  <c r="C405" i="93"/>
  <c r="D405" i="93"/>
  <c r="E405" i="93"/>
  <c r="F405" i="93"/>
  <c r="G405" i="93"/>
  <c r="H405" i="93"/>
  <c r="A406" i="93"/>
  <c r="B406" i="93"/>
  <c r="C406" i="93"/>
  <c r="D406" i="93"/>
  <c r="E406" i="93"/>
  <c r="F406" i="93"/>
  <c r="G406" i="93"/>
  <c r="H406" i="93"/>
  <c r="A407" i="93"/>
  <c r="B407" i="93"/>
  <c r="C407" i="93"/>
  <c r="D407" i="93"/>
  <c r="E407" i="93"/>
  <c r="F407" i="93"/>
  <c r="G407" i="93"/>
  <c r="H407" i="93"/>
  <c r="A408" i="93"/>
  <c r="B408" i="93"/>
  <c r="C408" i="93"/>
  <c r="D408" i="93"/>
  <c r="E408" i="93"/>
  <c r="F408" i="93"/>
  <c r="G408" i="93"/>
  <c r="H408" i="93"/>
  <c r="A409" i="93"/>
  <c r="B409" i="93"/>
  <c r="C409" i="93"/>
  <c r="D409" i="93"/>
  <c r="E409" i="93"/>
  <c r="F409" i="93"/>
  <c r="G409" i="93"/>
  <c r="H409" i="93"/>
  <c r="A410" i="93"/>
  <c r="B410" i="93"/>
  <c r="C410" i="93"/>
  <c r="D410" i="93"/>
  <c r="E410" i="93"/>
  <c r="F410" i="93"/>
  <c r="G410" i="93"/>
  <c r="H410" i="93"/>
  <c r="A411" i="93"/>
  <c r="B411" i="93"/>
  <c r="C411" i="93"/>
  <c r="D411" i="93"/>
  <c r="E411" i="93"/>
  <c r="F411" i="93"/>
  <c r="G411" i="93"/>
  <c r="H411" i="93"/>
  <c r="A412" i="93"/>
  <c r="B412" i="93"/>
  <c r="C412" i="93"/>
  <c r="D412" i="93"/>
  <c r="E412" i="93"/>
  <c r="F412" i="93"/>
  <c r="G412" i="93"/>
  <c r="H412" i="93"/>
  <c r="A413" i="93"/>
  <c r="B413" i="93"/>
  <c r="C413" i="93"/>
  <c r="D413" i="93"/>
  <c r="E413" i="93"/>
  <c r="F413" i="93"/>
  <c r="G413" i="93"/>
  <c r="H413" i="93"/>
  <c r="A414" i="93"/>
  <c r="B414" i="93"/>
  <c r="C414" i="93"/>
  <c r="D414" i="93"/>
  <c r="E414" i="93"/>
  <c r="F414" i="93"/>
  <c r="G414" i="93"/>
  <c r="H414" i="93"/>
  <c r="A415" i="93"/>
  <c r="B415" i="93"/>
  <c r="C415" i="93"/>
  <c r="D415" i="93"/>
  <c r="E415" i="93"/>
  <c r="F415" i="93"/>
  <c r="G415" i="93"/>
  <c r="H415" i="93"/>
  <c r="A416" i="93"/>
  <c r="B416" i="93"/>
  <c r="C416" i="93"/>
  <c r="D416" i="93"/>
  <c r="E416" i="93"/>
  <c r="F416" i="93"/>
  <c r="G416" i="93"/>
  <c r="H416" i="93"/>
  <c r="A417" i="93"/>
  <c r="B417" i="93"/>
  <c r="C417" i="93"/>
  <c r="D417" i="93"/>
  <c r="E417" i="93"/>
  <c r="F417" i="93"/>
  <c r="G417" i="93"/>
  <c r="H417" i="93"/>
  <c r="A418" i="93"/>
  <c r="B418" i="93"/>
  <c r="C418" i="93"/>
  <c r="D418" i="93"/>
  <c r="E418" i="93"/>
  <c r="F418" i="93"/>
  <c r="G418" i="93"/>
  <c r="H418" i="93"/>
  <c r="A419" i="93"/>
  <c r="B419" i="93"/>
  <c r="C419" i="93"/>
  <c r="D419" i="93"/>
  <c r="E419" i="93"/>
  <c r="F419" i="93"/>
  <c r="G419" i="93"/>
  <c r="H419" i="93"/>
  <c r="A420" i="93"/>
  <c r="B420" i="93"/>
  <c r="C420" i="93"/>
  <c r="D420" i="93"/>
  <c r="E420" i="93"/>
  <c r="F420" i="93"/>
  <c r="G420" i="93"/>
  <c r="H420" i="93"/>
  <c r="A421" i="93"/>
  <c r="B421" i="93"/>
  <c r="C421" i="93"/>
  <c r="D421" i="93"/>
  <c r="E421" i="93"/>
  <c r="F421" i="93"/>
  <c r="G421" i="93"/>
  <c r="H421" i="93"/>
  <c r="A422" i="93"/>
  <c r="B422" i="93"/>
  <c r="C422" i="93"/>
  <c r="D422" i="93"/>
  <c r="E422" i="93"/>
  <c r="F422" i="93"/>
  <c r="G422" i="93"/>
  <c r="H422" i="93"/>
  <c r="A423" i="93"/>
  <c r="B423" i="93"/>
  <c r="C423" i="93"/>
  <c r="D423" i="93"/>
  <c r="E423" i="93"/>
  <c r="F423" i="93"/>
  <c r="G423" i="93"/>
  <c r="H423" i="93"/>
  <c r="A424" i="93"/>
  <c r="B424" i="93"/>
  <c r="C424" i="93"/>
  <c r="D424" i="93"/>
  <c r="E424" i="93"/>
  <c r="F424" i="93"/>
  <c r="G424" i="93"/>
  <c r="H424" i="93"/>
  <c r="A425" i="93"/>
  <c r="B425" i="93"/>
  <c r="C425" i="93"/>
  <c r="D425" i="93"/>
  <c r="E425" i="93"/>
  <c r="F425" i="93"/>
  <c r="G425" i="93"/>
  <c r="H425" i="93"/>
  <c r="A426" i="93"/>
  <c r="B426" i="93"/>
  <c r="C426" i="93"/>
  <c r="D426" i="93"/>
  <c r="E426" i="93"/>
  <c r="F426" i="93"/>
  <c r="G426" i="93"/>
  <c r="H426" i="93"/>
  <c r="A427" i="93"/>
  <c r="B427" i="93"/>
  <c r="C427" i="93"/>
  <c r="D427" i="93"/>
  <c r="E427" i="93"/>
  <c r="F427" i="93"/>
  <c r="G427" i="93"/>
  <c r="H427" i="93"/>
  <c r="A428" i="93"/>
  <c r="B428" i="93"/>
  <c r="C428" i="93"/>
  <c r="D428" i="93"/>
  <c r="E428" i="93"/>
  <c r="F428" i="93"/>
  <c r="G428" i="93"/>
  <c r="H428" i="93"/>
  <c r="A429" i="93"/>
  <c r="B429" i="93"/>
  <c r="C429" i="93"/>
  <c r="D429" i="93"/>
  <c r="E429" i="93"/>
  <c r="F429" i="93"/>
  <c r="G429" i="93"/>
  <c r="H429" i="93"/>
  <c r="A430" i="93"/>
  <c r="B430" i="93"/>
  <c r="C430" i="93"/>
  <c r="D430" i="93"/>
  <c r="E430" i="93"/>
  <c r="F430" i="93"/>
  <c r="G430" i="93"/>
  <c r="H430" i="93"/>
  <c r="A431" i="93"/>
  <c r="B431" i="93"/>
  <c r="C431" i="93"/>
  <c r="D431" i="93"/>
  <c r="E431" i="93"/>
  <c r="F431" i="93"/>
  <c r="G431" i="93"/>
  <c r="H431" i="93"/>
  <c r="A432" i="93"/>
  <c r="B432" i="93"/>
  <c r="C432" i="93"/>
  <c r="D432" i="93"/>
  <c r="E432" i="93"/>
  <c r="F432" i="93"/>
  <c r="G432" i="93"/>
  <c r="H432" i="93"/>
  <c r="A433" i="93"/>
  <c r="B433" i="93"/>
  <c r="C433" i="93"/>
  <c r="D433" i="93"/>
  <c r="E433" i="93"/>
  <c r="F433" i="93"/>
  <c r="G433" i="93"/>
  <c r="H433" i="93"/>
  <c r="A434" i="93"/>
  <c r="B434" i="93"/>
  <c r="C434" i="93"/>
  <c r="D434" i="93"/>
  <c r="E434" i="93"/>
  <c r="F434" i="93"/>
  <c r="G434" i="93"/>
  <c r="H434" i="93"/>
  <c r="A435" i="93"/>
  <c r="B435" i="93"/>
  <c r="C435" i="93"/>
  <c r="D435" i="93"/>
  <c r="E435" i="93"/>
  <c r="F435" i="93"/>
  <c r="G435" i="93"/>
  <c r="H435" i="93"/>
  <c r="A436" i="93"/>
  <c r="B436" i="93"/>
  <c r="C436" i="93"/>
  <c r="D436" i="93"/>
  <c r="E436" i="93"/>
  <c r="F436" i="93"/>
  <c r="G436" i="93"/>
  <c r="H436" i="93"/>
  <c r="A437" i="93"/>
  <c r="B437" i="93"/>
  <c r="C437" i="93"/>
  <c r="D437" i="93"/>
  <c r="E437" i="93"/>
  <c r="F437" i="93"/>
  <c r="G437" i="93"/>
  <c r="H437" i="93"/>
  <c r="A438" i="93"/>
  <c r="B438" i="93"/>
  <c r="C438" i="93"/>
  <c r="D438" i="93"/>
  <c r="E438" i="93"/>
  <c r="F438" i="93"/>
  <c r="G438" i="93"/>
  <c r="H438" i="93"/>
  <c r="A439" i="93"/>
  <c r="B439" i="93"/>
  <c r="C439" i="93"/>
  <c r="D439" i="93"/>
  <c r="E439" i="93"/>
  <c r="F439" i="93"/>
  <c r="G439" i="93"/>
  <c r="H439" i="93"/>
  <c r="A440" i="93"/>
  <c r="B440" i="93"/>
  <c r="C440" i="93"/>
  <c r="D440" i="93"/>
  <c r="E440" i="93"/>
  <c r="F440" i="93"/>
  <c r="G440" i="93"/>
  <c r="H440" i="93"/>
  <c r="A441" i="93"/>
  <c r="B441" i="93"/>
  <c r="C441" i="93"/>
  <c r="D441" i="93"/>
  <c r="E441" i="93"/>
  <c r="F441" i="93"/>
  <c r="G441" i="93"/>
  <c r="H441" i="93"/>
  <c r="A442" i="93"/>
  <c r="B442" i="93"/>
  <c r="C442" i="93"/>
  <c r="D442" i="93"/>
  <c r="E442" i="93"/>
  <c r="F442" i="93"/>
  <c r="G442" i="93"/>
  <c r="H442" i="93"/>
  <c r="A443" i="93"/>
  <c r="B443" i="93"/>
  <c r="C443" i="93"/>
  <c r="D443" i="93"/>
  <c r="E443" i="93"/>
  <c r="F443" i="93"/>
  <c r="G443" i="93"/>
  <c r="H443" i="93"/>
  <c r="A444" i="93"/>
  <c r="B444" i="93"/>
  <c r="C444" i="93"/>
  <c r="D444" i="93"/>
  <c r="E444" i="93"/>
  <c r="F444" i="93"/>
  <c r="G444" i="93"/>
  <c r="H444" i="93"/>
  <c r="A445" i="93"/>
  <c r="B445" i="93"/>
  <c r="C445" i="93"/>
  <c r="D445" i="93"/>
  <c r="E445" i="93"/>
  <c r="F445" i="93"/>
  <c r="G445" i="93"/>
  <c r="H445" i="93"/>
  <c r="A446" i="93"/>
  <c r="B446" i="93"/>
  <c r="C446" i="93"/>
  <c r="D446" i="93"/>
  <c r="E446" i="93"/>
  <c r="F446" i="93"/>
  <c r="G446" i="93"/>
  <c r="H446" i="93"/>
  <c r="A447" i="93"/>
  <c r="B447" i="93"/>
  <c r="C447" i="93"/>
  <c r="D447" i="93"/>
  <c r="E447" i="93"/>
  <c r="F447" i="93"/>
  <c r="G447" i="93"/>
  <c r="H447" i="93"/>
  <c r="A448" i="93"/>
  <c r="B448" i="93"/>
  <c r="C448" i="93"/>
  <c r="D448" i="93"/>
  <c r="E448" i="93"/>
  <c r="F448" i="93"/>
  <c r="G448" i="93"/>
  <c r="H448" i="93"/>
  <c r="A449" i="93"/>
  <c r="B449" i="93"/>
  <c r="C449" i="93"/>
  <c r="D449" i="93"/>
  <c r="E449" i="93"/>
  <c r="F449" i="93"/>
  <c r="G449" i="93"/>
  <c r="H449" i="93"/>
  <c r="A450" i="93"/>
  <c r="B450" i="93"/>
  <c r="C450" i="93"/>
  <c r="D450" i="93"/>
  <c r="E450" i="93"/>
  <c r="F450" i="93"/>
  <c r="G450" i="93"/>
  <c r="H450" i="93"/>
  <c r="A451" i="93"/>
  <c r="B451" i="93"/>
  <c r="C451" i="93"/>
  <c r="D451" i="93"/>
  <c r="E451" i="93"/>
  <c r="F451" i="93"/>
  <c r="G451" i="93"/>
  <c r="H451" i="93"/>
  <c r="A452" i="93"/>
  <c r="B452" i="93"/>
  <c r="C452" i="93"/>
  <c r="D452" i="93"/>
  <c r="E452" i="93"/>
  <c r="F452" i="93"/>
  <c r="G452" i="93"/>
  <c r="H452" i="93"/>
  <c r="A453" i="93"/>
  <c r="B453" i="93"/>
  <c r="C453" i="93"/>
  <c r="D453" i="93"/>
  <c r="E453" i="93"/>
  <c r="F453" i="93"/>
  <c r="G453" i="93"/>
  <c r="H453" i="93"/>
  <c r="A454" i="93"/>
  <c r="B454" i="93"/>
  <c r="C454" i="93"/>
  <c r="D454" i="93"/>
  <c r="E454" i="93"/>
  <c r="F454" i="93"/>
  <c r="G454" i="93"/>
  <c r="H454" i="93"/>
  <c r="A455" i="93"/>
  <c r="B455" i="93"/>
  <c r="C455" i="93"/>
  <c r="D455" i="93"/>
  <c r="E455" i="93"/>
  <c r="F455" i="93"/>
  <c r="G455" i="93"/>
  <c r="H455" i="93"/>
  <c r="A456" i="93"/>
  <c r="B456" i="93"/>
  <c r="C456" i="93"/>
  <c r="D456" i="93"/>
  <c r="E456" i="93"/>
  <c r="F456" i="93"/>
  <c r="G456" i="93"/>
  <c r="H456" i="93"/>
  <c r="A457" i="93"/>
  <c r="B457" i="93"/>
  <c r="C457" i="93"/>
  <c r="D457" i="93"/>
  <c r="E457" i="93"/>
  <c r="F457" i="93"/>
  <c r="G457" i="93"/>
  <c r="H457" i="93"/>
  <c r="A458" i="93"/>
  <c r="B458" i="93"/>
  <c r="C458" i="93"/>
  <c r="D458" i="93"/>
  <c r="E458" i="93"/>
  <c r="F458" i="93"/>
  <c r="G458" i="93"/>
  <c r="H458" i="93"/>
  <c r="A459" i="93"/>
  <c r="B459" i="93"/>
  <c r="C459" i="93"/>
  <c r="D459" i="93"/>
  <c r="E459" i="93"/>
  <c r="F459" i="93"/>
  <c r="G459" i="93"/>
  <c r="H459" i="93"/>
  <c r="A460" i="93"/>
  <c r="B460" i="93"/>
  <c r="C460" i="93"/>
  <c r="D460" i="93"/>
  <c r="E460" i="93"/>
  <c r="F460" i="93"/>
  <c r="G460" i="93"/>
  <c r="H460" i="93"/>
  <c r="A461" i="93"/>
  <c r="B461" i="93"/>
  <c r="C461" i="93"/>
  <c r="D461" i="93"/>
  <c r="E461" i="93"/>
  <c r="F461" i="93"/>
  <c r="G461" i="93"/>
  <c r="H461" i="93"/>
  <c r="A462" i="93"/>
  <c r="B462" i="93"/>
  <c r="C462" i="93"/>
  <c r="D462" i="93"/>
  <c r="E462" i="93"/>
  <c r="F462" i="93"/>
  <c r="G462" i="93"/>
  <c r="H462" i="93"/>
  <c r="A463" i="93"/>
  <c r="B463" i="93"/>
  <c r="C463" i="93"/>
  <c r="D463" i="93"/>
  <c r="E463" i="93"/>
  <c r="F463" i="93"/>
  <c r="G463" i="93"/>
  <c r="H463" i="93"/>
  <c r="A464" i="93"/>
  <c r="B464" i="93"/>
  <c r="C464" i="93"/>
  <c r="D464" i="93"/>
  <c r="E464" i="93"/>
  <c r="F464" i="93"/>
  <c r="G464" i="93"/>
  <c r="H464" i="93"/>
  <c r="A465" i="93"/>
  <c r="B465" i="93"/>
  <c r="C465" i="93"/>
  <c r="D465" i="93"/>
  <c r="E465" i="93"/>
  <c r="F465" i="93"/>
  <c r="G465" i="93"/>
  <c r="H465" i="93"/>
  <c r="A466" i="93"/>
  <c r="B466" i="93"/>
  <c r="C466" i="93"/>
  <c r="D466" i="93"/>
  <c r="E466" i="93"/>
  <c r="F466" i="93"/>
  <c r="G466" i="93"/>
  <c r="H466" i="93"/>
  <c r="A467" i="93"/>
  <c r="B467" i="93"/>
  <c r="C467" i="93"/>
  <c r="D467" i="93"/>
  <c r="E467" i="93"/>
  <c r="F467" i="93"/>
  <c r="G467" i="93"/>
  <c r="H467" i="93"/>
  <c r="A468" i="93"/>
  <c r="B468" i="93"/>
  <c r="C468" i="93"/>
  <c r="D468" i="93"/>
  <c r="E468" i="93"/>
  <c r="F468" i="93"/>
  <c r="G468" i="93"/>
  <c r="H468" i="93"/>
  <c r="A469" i="93"/>
  <c r="B469" i="93"/>
  <c r="C469" i="93"/>
  <c r="D469" i="93"/>
  <c r="E469" i="93"/>
  <c r="F469" i="93"/>
  <c r="G469" i="93"/>
  <c r="H469" i="93"/>
  <c r="A470" i="93"/>
  <c r="B470" i="93"/>
  <c r="C470" i="93"/>
  <c r="D470" i="93"/>
  <c r="E470" i="93"/>
  <c r="F470" i="93"/>
  <c r="G470" i="93"/>
  <c r="H470" i="93"/>
  <c r="A471" i="93"/>
  <c r="B471" i="93"/>
  <c r="C471" i="93"/>
  <c r="D471" i="93"/>
  <c r="E471" i="93"/>
  <c r="F471" i="93"/>
  <c r="G471" i="93"/>
  <c r="H471" i="93"/>
  <c r="A472" i="93"/>
  <c r="B472" i="93"/>
  <c r="C472" i="93"/>
  <c r="D472" i="93"/>
  <c r="E472" i="93"/>
  <c r="F472" i="93"/>
  <c r="G472" i="93"/>
  <c r="H472" i="93"/>
  <c r="A473" i="93"/>
  <c r="B473" i="93"/>
  <c r="C473" i="93"/>
  <c r="D473" i="93"/>
  <c r="E473" i="93"/>
  <c r="F473" i="93"/>
  <c r="G473" i="93"/>
  <c r="H473" i="93"/>
  <c r="A474" i="93"/>
  <c r="B474" i="93"/>
  <c r="C474" i="93"/>
  <c r="D474" i="93"/>
  <c r="E474" i="93"/>
  <c r="F474" i="93"/>
  <c r="G474" i="93"/>
  <c r="H474" i="93"/>
  <c r="A475" i="93"/>
  <c r="B475" i="93"/>
  <c r="C475" i="93"/>
  <c r="D475" i="93"/>
  <c r="E475" i="93"/>
  <c r="F475" i="93"/>
  <c r="G475" i="93"/>
  <c r="H475" i="93"/>
  <c r="A476" i="93"/>
  <c r="B476" i="93"/>
  <c r="C476" i="93"/>
  <c r="D476" i="93"/>
  <c r="E476" i="93"/>
  <c r="F476" i="93"/>
  <c r="G476" i="93"/>
  <c r="H476" i="93"/>
  <c r="A477" i="93"/>
  <c r="B477" i="93"/>
  <c r="C477" i="93"/>
  <c r="D477" i="93"/>
  <c r="E477" i="93"/>
  <c r="F477" i="93"/>
  <c r="G477" i="93"/>
  <c r="H477" i="93"/>
  <c r="A478" i="93"/>
  <c r="B478" i="93"/>
  <c r="C478" i="93"/>
  <c r="D478" i="93"/>
  <c r="E478" i="93"/>
  <c r="F478" i="93"/>
  <c r="G478" i="93"/>
  <c r="H478" i="93"/>
  <c r="A479" i="93"/>
  <c r="B479" i="93"/>
  <c r="C479" i="93"/>
  <c r="D479" i="93"/>
  <c r="E479" i="93"/>
  <c r="F479" i="93"/>
  <c r="G479" i="93"/>
  <c r="H479" i="93"/>
  <c r="A480" i="93"/>
  <c r="B480" i="93"/>
  <c r="C480" i="93"/>
  <c r="D480" i="93"/>
  <c r="E480" i="93"/>
  <c r="F480" i="93"/>
  <c r="G480" i="93"/>
  <c r="H480" i="93"/>
  <c r="A481" i="93"/>
  <c r="B481" i="93"/>
  <c r="C481" i="93"/>
  <c r="D481" i="93"/>
  <c r="E481" i="93"/>
  <c r="F481" i="93"/>
  <c r="G481" i="93"/>
  <c r="H481" i="93"/>
  <c r="A482" i="93"/>
  <c r="B482" i="93"/>
  <c r="C482" i="93"/>
  <c r="D482" i="93"/>
  <c r="E482" i="93"/>
  <c r="F482" i="93"/>
  <c r="G482" i="93"/>
  <c r="H482" i="93"/>
  <c r="A483" i="93"/>
  <c r="B483" i="93"/>
  <c r="C483" i="93"/>
  <c r="D483" i="93"/>
  <c r="E483" i="93"/>
  <c r="F483" i="93"/>
  <c r="G483" i="93"/>
  <c r="H483" i="93"/>
  <c r="A484" i="93"/>
  <c r="B484" i="93"/>
  <c r="C484" i="93"/>
  <c r="D484" i="93"/>
  <c r="E484" i="93"/>
  <c r="F484" i="93"/>
  <c r="G484" i="93"/>
  <c r="H484" i="93"/>
  <c r="A485" i="93"/>
  <c r="B485" i="93"/>
  <c r="C485" i="93"/>
  <c r="D485" i="93"/>
  <c r="E485" i="93"/>
  <c r="F485" i="93"/>
  <c r="G485" i="93"/>
  <c r="H485" i="93"/>
  <c r="A486" i="93"/>
  <c r="B486" i="93"/>
  <c r="C486" i="93"/>
  <c r="D486" i="93"/>
  <c r="E486" i="93"/>
  <c r="F486" i="93"/>
  <c r="G486" i="93"/>
  <c r="H486" i="93"/>
  <c r="A487" i="93"/>
  <c r="B487" i="93"/>
  <c r="C487" i="93"/>
  <c r="D487" i="93"/>
  <c r="E487" i="93"/>
  <c r="F487" i="93"/>
  <c r="G487" i="93"/>
  <c r="H487" i="93"/>
  <c r="A488" i="93"/>
  <c r="B488" i="93"/>
  <c r="C488" i="93"/>
  <c r="D488" i="93"/>
  <c r="E488" i="93"/>
  <c r="F488" i="93"/>
  <c r="G488" i="93"/>
  <c r="H488" i="93"/>
  <c r="A489" i="93"/>
  <c r="B489" i="93"/>
  <c r="C489" i="93"/>
  <c r="D489" i="93"/>
  <c r="E489" i="93"/>
  <c r="F489" i="93"/>
  <c r="G489" i="93"/>
  <c r="H489" i="93"/>
  <c r="A490" i="93"/>
  <c r="B490" i="93"/>
  <c r="C490" i="93"/>
  <c r="D490" i="93"/>
  <c r="E490" i="93"/>
  <c r="F490" i="93"/>
  <c r="G490" i="93"/>
  <c r="H490" i="93"/>
  <c r="A491" i="93"/>
  <c r="B491" i="93"/>
  <c r="C491" i="93"/>
  <c r="D491" i="93"/>
  <c r="E491" i="93"/>
  <c r="F491" i="93"/>
  <c r="G491" i="93"/>
  <c r="H491" i="93"/>
  <c r="A492" i="93"/>
  <c r="B492" i="93"/>
  <c r="C492" i="93"/>
  <c r="D492" i="93"/>
  <c r="E492" i="93"/>
  <c r="F492" i="93"/>
  <c r="G492" i="93"/>
  <c r="H492" i="93"/>
  <c r="A493" i="93"/>
  <c r="B493" i="93"/>
  <c r="C493" i="93"/>
  <c r="D493" i="93"/>
  <c r="E493" i="93"/>
  <c r="F493" i="93"/>
  <c r="G493" i="93"/>
  <c r="H493" i="93"/>
  <c r="A494" i="93"/>
  <c r="B494" i="93"/>
  <c r="C494" i="93"/>
  <c r="D494" i="93"/>
  <c r="E494" i="93"/>
  <c r="F494" i="93"/>
  <c r="G494" i="93"/>
  <c r="H494" i="93"/>
  <c r="A495" i="93"/>
  <c r="B495" i="93"/>
  <c r="C495" i="93"/>
  <c r="D495" i="93"/>
  <c r="E495" i="93"/>
  <c r="F495" i="93"/>
  <c r="G495" i="93"/>
  <c r="H495" i="93"/>
  <c r="A496" i="93"/>
  <c r="B496" i="93"/>
  <c r="C496" i="93"/>
  <c r="D496" i="93"/>
  <c r="E496" i="93"/>
  <c r="F496" i="93"/>
  <c r="G496" i="93"/>
  <c r="H496" i="93"/>
  <c r="A497" i="93"/>
  <c r="B497" i="93"/>
  <c r="C497" i="93"/>
  <c r="D497" i="93"/>
  <c r="E497" i="93"/>
  <c r="F497" i="93"/>
  <c r="G497" i="93"/>
  <c r="H497" i="93"/>
  <c r="A498" i="93"/>
  <c r="B498" i="93"/>
  <c r="C498" i="93"/>
  <c r="D498" i="93"/>
  <c r="E498" i="93"/>
  <c r="F498" i="93"/>
  <c r="G498" i="93"/>
  <c r="H498" i="93"/>
  <c r="A499" i="93"/>
  <c r="B499" i="93"/>
  <c r="C499" i="93"/>
  <c r="D499" i="93"/>
  <c r="E499" i="93"/>
  <c r="F499" i="93"/>
  <c r="G499" i="93"/>
  <c r="H499" i="93"/>
  <c r="A500" i="93"/>
  <c r="B500" i="93"/>
  <c r="C500" i="93"/>
  <c r="D500" i="93"/>
  <c r="E500" i="93"/>
  <c r="F500" i="93"/>
  <c r="G500" i="93"/>
  <c r="H500" i="93"/>
  <c r="A501" i="93"/>
  <c r="B501" i="93"/>
  <c r="C501" i="93"/>
  <c r="D501" i="93"/>
  <c r="E501" i="93"/>
  <c r="F501" i="93"/>
  <c r="G501" i="93"/>
  <c r="H501" i="93"/>
  <c r="A502" i="93"/>
  <c r="B502" i="93"/>
  <c r="C502" i="93"/>
  <c r="D502" i="93"/>
  <c r="E502" i="93"/>
  <c r="F502" i="93"/>
  <c r="G502" i="93"/>
  <c r="H502" i="93"/>
  <c r="A503" i="93"/>
  <c r="B503" i="93"/>
  <c r="C503" i="93"/>
  <c r="D503" i="93"/>
  <c r="E503" i="93"/>
  <c r="F503" i="93"/>
  <c r="G503" i="93"/>
  <c r="H503" i="93"/>
  <c r="A504" i="93"/>
  <c r="B504" i="93"/>
  <c r="C504" i="93"/>
  <c r="D504" i="93"/>
  <c r="E504" i="93"/>
  <c r="F504" i="93"/>
  <c r="G504" i="93"/>
  <c r="H504" i="93"/>
  <c r="A505" i="93"/>
  <c r="B505" i="93"/>
  <c r="C505" i="93"/>
  <c r="D505" i="93"/>
  <c r="E505" i="93"/>
  <c r="F505" i="93"/>
  <c r="G505" i="93"/>
  <c r="H505" i="93"/>
  <c r="A506" i="93"/>
  <c r="B506" i="93"/>
  <c r="C506" i="93"/>
  <c r="D506" i="93"/>
  <c r="E506" i="93"/>
  <c r="F506" i="93"/>
  <c r="G506" i="93"/>
  <c r="H506" i="93"/>
  <c r="A507" i="93"/>
  <c r="B507" i="93"/>
  <c r="C507" i="93"/>
  <c r="D507" i="93"/>
  <c r="E507" i="93"/>
  <c r="F507" i="93"/>
  <c r="G507" i="93"/>
  <c r="H507" i="93"/>
  <c r="A508" i="93"/>
  <c r="B508" i="93"/>
  <c r="C508" i="93"/>
  <c r="D508" i="93"/>
  <c r="E508" i="93"/>
  <c r="F508" i="93"/>
  <c r="G508" i="93"/>
  <c r="H508" i="93"/>
  <c r="A509" i="93"/>
  <c r="B509" i="93"/>
  <c r="C509" i="93"/>
  <c r="D509" i="93"/>
  <c r="E509" i="93"/>
  <c r="F509" i="93"/>
  <c r="G509" i="93"/>
  <c r="H509" i="93"/>
  <c r="A510" i="93"/>
  <c r="B510" i="93"/>
  <c r="C510" i="93"/>
  <c r="D510" i="93"/>
  <c r="E510" i="93"/>
  <c r="F510" i="93"/>
  <c r="G510" i="93"/>
  <c r="H510" i="93"/>
  <c r="A511" i="93"/>
  <c r="B511" i="93"/>
  <c r="C511" i="93"/>
  <c r="D511" i="93"/>
  <c r="E511" i="93"/>
  <c r="F511" i="93"/>
  <c r="G511" i="93"/>
  <c r="H511" i="93"/>
  <c r="A512" i="93"/>
  <c r="B512" i="93"/>
  <c r="C512" i="93"/>
  <c r="D512" i="93"/>
  <c r="E512" i="93"/>
  <c r="F512" i="93"/>
  <c r="G512" i="93"/>
  <c r="H512" i="93"/>
  <c r="A513" i="93"/>
  <c r="B513" i="93"/>
  <c r="C513" i="93"/>
  <c r="D513" i="93"/>
  <c r="E513" i="93"/>
  <c r="F513" i="93"/>
  <c r="G513" i="93"/>
  <c r="H513" i="93"/>
  <c r="A514" i="93"/>
  <c r="B514" i="93"/>
  <c r="C514" i="93"/>
  <c r="D514" i="93"/>
  <c r="E514" i="93"/>
  <c r="F514" i="93"/>
  <c r="G514" i="93"/>
  <c r="H514" i="93"/>
  <c r="A515" i="93"/>
  <c r="B515" i="93"/>
  <c r="C515" i="93"/>
  <c r="D515" i="93"/>
  <c r="E515" i="93"/>
  <c r="F515" i="93"/>
  <c r="G515" i="93"/>
  <c r="H515" i="93"/>
  <c r="A516" i="93"/>
  <c r="B516" i="93"/>
  <c r="C516" i="93"/>
  <c r="D516" i="93"/>
  <c r="E516" i="93"/>
  <c r="F516" i="93"/>
  <c r="G516" i="93"/>
  <c r="H516" i="93"/>
  <c r="A517" i="93"/>
  <c r="B517" i="93"/>
  <c r="C517" i="93"/>
  <c r="D517" i="93"/>
  <c r="E517" i="93"/>
  <c r="F517" i="93"/>
  <c r="G517" i="93"/>
  <c r="H517" i="93"/>
  <c r="A518" i="93"/>
  <c r="B518" i="93"/>
  <c r="C518" i="93"/>
  <c r="D518" i="93"/>
  <c r="E518" i="93"/>
  <c r="F518" i="93"/>
  <c r="G518" i="93"/>
  <c r="H518" i="93"/>
  <c r="A519" i="93"/>
  <c r="B519" i="93"/>
  <c r="C519" i="93"/>
  <c r="D519" i="93"/>
  <c r="E519" i="93"/>
  <c r="F519" i="93"/>
  <c r="G519" i="93"/>
  <c r="H519" i="93"/>
  <c r="A520" i="93"/>
  <c r="B520" i="93"/>
  <c r="C520" i="93"/>
  <c r="D520" i="93"/>
  <c r="E520" i="93"/>
  <c r="F520" i="93"/>
  <c r="G520" i="93"/>
  <c r="H520" i="93"/>
  <c r="A521" i="93"/>
  <c r="B521" i="93"/>
  <c r="C521" i="93"/>
  <c r="D521" i="93"/>
  <c r="E521" i="93"/>
  <c r="F521" i="93"/>
  <c r="G521" i="93"/>
  <c r="H521" i="93"/>
  <c r="A522" i="93"/>
  <c r="B522" i="93"/>
  <c r="C522" i="93"/>
  <c r="D522" i="93"/>
  <c r="E522" i="93"/>
  <c r="F522" i="93"/>
  <c r="G522" i="93"/>
  <c r="H522" i="93"/>
  <c r="A523" i="93"/>
  <c r="B523" i="93"/>
  <c r="C523" i="93"/>
  <c r="D523" i="93"/>
  <c r="E523" i="93"/>
  <c r="F523" i="93"/>
  <c r="G523" i="93"/>
  <c r="H523" i="93"/>
  <c r="A524" i="93"/>
  <c r="B524" i="93"/>
  <c r="C524" i="93"/>
  <c r="D524" i="93"/>
  <c r="E524" i="93"/>
  <c r="F524" i="93"/>
  <c r="G524" i="93"/>
  <c r="H524" i="93"/>
  <c r="A525" i="93"/>
  <c r="B525" i="93"/>
  <c r="C525" i="93"/>
  <c r="D525" i="93"/>
  <c r="E525" i="93"/>
  <c r="F525" i="93"/>
  <c r="G525" i="93"/>
  <c r="H525" i="93"/>
  <c r="A526" i="93"/>
  <c r="B526" i="93"/>
  <c r="C526" i="93"/>
  <c r="D526" i="93"/>
  <c r="E526" i="93"/>
  <c r="F526" i="93"/>
  <c r="G526" i="93"/>
  <c r="H526" i="93"/>
  <c r="A527" i="93"/>
  <c r="B527" i="93"/>
  <c r="C527" i="93"/>
  <c r="D527" i="93"/>
  <c r="E527" i="93"/>
  <c r="F527" i="93"/>
  <c r="G527" i="93"/>
  <c r="H527" i="93"/>
  <c r="A528" i="93"/>
  <c r="B528" i="93"/>
  <c r="C528" i="93"/>
  <c r="D528" i="93"/>
  <c r="E528" i="93"/>
  <c r="F528" i="93"/>
  <c r="G528" i="93"/>
  <c r="H528" i="93"/>
  <c r="A529" i="93"/>
  <c r="B529" i="93"/>
  <c r="C529" i="93"/>
  <c r="D529" i="93"/>
  <c r="E529" i="93"/>
  <c r="F529" i="93"/>
  <c r="G529" i="93"/>
  <c r="H529" i="93"/>
  <c r="A530" i="93"/>
  <c r="B530" i="93"/>
  <c r="C530" i="93"/>
  <c r="D530" i="93"/>
  <c r="E530" i="93"/>
  <c r="F530" i="93"/>
  <c r="G530" i="93"/>
  <c r="H530" i="93"/>
  <c r="A531" i="93"/>
  <c r="B531" i="93"/>
  <c r="C531" i="93"/>
  <c r="D531" i="93"/>
  <c r="E531" i="93"/>
  <c r="F531" i="93"/>
  <c r="G531" i="93"/>
  <c r="H531" i="93"/>
  <c r="A532" i="93"/>
  <c r="B532" i="93"/>
  <c r="C532" i="93"/>
  <c r="D532" i="93"/>
  <c r="E532" i="93"/>
  <c r="F532" i="93"/>
  <c r="G532" i="93"/>
  <c r="H532" i="93"/>
  <c r="A533" i="93"/>
  <c r="B533" i="93"/>
  <c r="C533" i="93"/>
  <c r="D533" i="93"/>
  <c r="E533" i="93"/>
  <c r="F533" i="93"/>
  <c r="G533" i="93"/>
  <c r="H533" i="93"/>
  <c r="A534" i="93"/>
  <c r="B534" i="93"/>
  <c r="C534" i="93"/>
  <c r="D534" i="93"/>
  <c r="E534" i="93"/>
  <c r="F534" i="93"/>
  <c r="G534" i="93"/>
  <c r="H534" i="93"/>
  <c r="A535" i="93"/>
  <c r="B535" i="93"/>
  <c r="C535" i="93"/>
  <c r="D535" i="93"/>
  <c r="E535" i="93"/>
  <c r="F535" i="93"/>
  <c r="G535" i="93"/>
  <c r="H535" i="93"/>
  <c r="A536" i="93"/>
  <c r="B536" i="93"/>
  <c r="C536" i="93"/>
  <c r="D536" i="93"/>
  <c r="E536" i="93"/>
  <c r="F536" i="93"/>
  <c r="G536" i="93"/>
  <c r="H536" i="93"/>
  <c r="A537" i="93"/>
  <c r="B537" i="93"/>
  <c r="C537" i="93"/>
  <c r="D537" i="93"/>
  <c r="E537" i="93"/>
  <c r="F537" i="93"/>
  <c r="G537" i="93"/>
  <c r="H537" i="93"/>
  <c r="A538" i="93"/>
  <c r="B538" i="93"/>
  <c r="C538" i="93"/>
  <c r="D538" i="93"/>
  <c r="E538" i="93"/>
  <c r="F538" i="93"/>
  <c r="G538" i="93"/>
  <c r="H538" i="93"/>
  <c r="A539" i="93"/>
  <c r="B539" i="93"/>
  <c r="C539" i="93"/>
  <c r="D539" i="93"/>
  <c r="E539" i="93"/>
  <c r="F539" i="93"/>
  <c r="G539" i="93"/>
  <c r="H539" i="93"/>
  <c r="A540" i="93"/>
  <c r="B540" i="93"/>
  <c r="C540" i="93"/>
  <c r="D540" i="93"/>
  <c r="E540" i="93"/>
  <c r="F540" i="93"/>
  <c r="G540" i="93"/>
  <c r="H540" i="93"/>
  <c r="A541" i="93"/>
  <c r="B541" i="93"/>
  <c r="C541" i="93"/>
  <c r="D541" i="93"/>
  <c r="E541" i="93"/>
  <c r="F541" i="93"/>
  <c r="G541" i="93"/>
  <c r="H541" i="93"/>
  <c r="A542" i="93"/>
  <c r="B542" i="93"/>
  <c r="C542" i="93"/>
  <c r="D542" i="93"/>
  <c r="E542" i="93"/>
  <c r="F542" i="93"/>
  <c r="G542" i="93"/>
  <c r="H542" i="93"/>
  <c r="A543" i="93"/>
  <c r="B543" i="93"/>
  <c r="C543" i="93"/>
  <c r="D543" i="93"/>
  <c r="E543" i="93"/>
  <c r="F543" i="93"/>
  <c r="G543" i="93"/>
  <c r="H543" i="93"/>
  <c r="A544" i="93"/>
  <c r="B544" i="93"/>
  <c r="C544" i="93"/>
  <c r="D544" i="93"/>
  <c r="E544" i="93"/>
  <c r="F544" i="93"/>
  <c r="G544" i="93"/>
  <c r="H544" i="93"/>
  <c r="A545" i="93"/>
  <c r="B545" i="93"/>
  <c r="C545" i="93"/>
  <c r="D545" i="93"/>
  <c r="E545" i="93"/>
  <c r="F545" i="93"/>
  <c r="G545" i="93"/>
  <c r="H545" i="93"/>
  <c r="A546" i="93"/>
  <c r="B546" i="93"/>
  <c r="C546" i="93"/>
  <c r="D546" i="93"/>
  <c r="E546" i="93"/>
  <c r="F546" i="93"/>
  <c r="G546" i="93"/>
  <c r="H546" i="93"/>
  <c r="A547" i="93"/>
  <c r="B547" i="93"/>
  <c r="C547" i="93"/>
  <c r="D547" i="93"/>
  <c r="E547" i="93"/>
  <c r="F547" i="93"/>
  <c r="G547" i="93"/>
  <c r="H547" i="93"/>
  <c r="A548" i="93"/>
  <c r="B548" i="93"/>
  <c r="C548" i="93"/>
  <c r="D548" i="93"/>
  <c r="E548" i="93"/>
  <c r="F548" i="93"/>
  <c r="G548" i="93"/>
  <c r="H548" i="93"/>
  <c r="A549" i="93"/>
  <c r="B549" i="93"/>
  <c r="C549" i="93"/>
  <c r="D549" i="93"/>
  <c r="E549" i="93"/>
  <c r="F549" i="93"/>
  <c r="G549" i="93"/>
  <c r="H549" i="93"/>
  <c r="A550" i="93"/>
  <c r="B550" i="93"/>
  <c r="C550" i="93"/>
  <c r="D550" i="93"/>
  <c r="E550" i="93"/>
  <c r="F550" i="93"/>
  <c r="G550" i="93"/>
  <c r="H550" i="93"/>
  <c r="A551" i="93"/>
  <c r="B551" i="93"/>
  <c r="C551" i="93"/>
  <c r="D551" i="93"/>
  <c r="E551" i="93"/>
  <c r="F551" i="93"/>
  <c r="G551" i="93"/>
  <c r="H551" i="93"/>
  <c r="A552" i="93"/>
  <c r="B552" i="93"/>
  <c r="C552" i="93"/>
  <c r="D552" i="93"/>
  <c r="E552" i="93"/>
  <c r="F552" i="93"/>
  <c r="G552" i="93"/>
  <c r="H552" i="93"/>
  <c r="A553" i="93"/>
  <c r="B553" i="93"/>
  <c r="C553" i="93"/>
  <c r="D553" i="93"/>
  <c r="E553" i="93"/>
  <c r="F553" i="93"/>
  <c r="G553" i="93"/>
  <c r="H553" i="93"/>
  <c r="A554" i="93"/>
  <c r="B554" i="93"/>
  <c r="C554" i="93"/>
  <c r="D554" i="93"/>
  <c r="E554" i="93"/>
  <c r="F554" i="93"/>
  <c r="G554" i="93"/>
  <c r="H554" i="93"/>
  <c r="A555" i="93"/>
  <c r="B555" i="93"/>
  <c r="C555" i="93"/>
  <c r="D555" i="93"/>
  <c r="E555" i="93"/>
  <c r="F555" i="93"/>
  <c r="G555" i="93"/>
  <c r="H555" i="93"/>
  <c r="A556" i="93"/>
  <c r="B556" i="93"/>
  <c r="C556" i="93"/>
  <c r="D556" i="93"/>
  <c r="E556" i="93"/>
  <c r="F556" i="93"/>
  <c r="G556" i="93"/>
  <c r="H556" i="93"/>
  <c r="A557" i="93"/>
  <c r="B557" i="93"/>
  <c r="C557" i="93"/>
  <c r="D557" i="93"/>
  <c r="E557" i="93"/>
  <c r="F557" i="93"/>
  <c r="G557" i="93"/>
  <c r="H557" i="93"/>
  <c r="A558" i="93"/>
  <c r="B558" i="93"/>
  <c r="C558" i="93"/>
  <c r="D558" i="93"/>
  <c r="E558" i="93"/>
  <c r="F558" i="93"/>
  <c r="G558" i="93"/>
  <c r="H558" i="93"/>
  <c r="A559" i="93"/>
  <c r="B559" i="93"/>
  <c r="C559" i="93"/>
  <c r="D559" i="93"/>
  <c r="E559" i="93"/>
  <c r="F559" i="93"/>
  <c r="G559" i="93"/>
  <c r="H559" i="93"/>
  <c r="A560" i="93"/>
  <c r="B560" i="93"/>
  <c r="C560" i="93"/>
  <c r="D560" i="93"/>
  <c r="E560" i="93"/>
  <c r="F560" i="93"/>
  <c r="G560" i="93"/>
  <c r="H560" i="93"/>
  <c r="A561" i="93"/>
  <c r="B561" i="93"/>
  <c r="C561" i="93"/>
  <c r="D561" i="93"/>
  <c r="E561" i="93"/>
  <c r="F561" i="93"/>
  <c r="G561" i="93"/>
  <c r="H561" i="93"/>
  <c r="A562" i="93"/>
  <c r="B562" i="93"/>
  <c r="C562" i="93"/>
  <c r="D562" i="93"/>
  <c r="E562" i="93"/>
  <c r="F562" i="93"/>
  <c r="G562" i="93"/>
  <c r="H562" i="93"/>
  <c r="A563" i="93"/>
  <c r="B563" i="93"/>
  <c r="C563" i="93"/>
  <c r="D563" i="93"/>
  <c r="E563" i="93"/>
  <c r="F563" i="93"/>
  <c r="G563" i="93"/>
  <c r="H563" i="93"/>
  <c r="A564" i="93"/>
  <c r="B564" i="93"/>
  <c r="C564" i="93"/>
  <c r="D564" i="93"/>
  <c r="E564" i="93"/>
  <c r="F564" i="93"/>
  <c r="G564" i="93"/>
  <c r="H564" i="93"/>
  <c r="A565" i="93"/>
  <c r="B565" i="93"/>
  <c r="C565" i="93"/>
  <c r="D565" i="93"/>
  <c r="E565" i="93"/>
  <c r="F565" i="93"/>
  <c r="G565" i="93"/>
  <c r="H565" i="93"/>
  <c r="A566" i="93"/>
  <c r="B566" i="93"/>
  <c r="C566" i="93"/>
  <c r="D566" i="93"/>
  <c r="E566" i="93"/>
  <c r="F566" i="93"/>
  <c r="G566" i="93"/>
  <c r="H566" i="93"/>
  <c r="A567" i="93"/>
  <c r="B567" i="93"/>
  <c r="C567" i="93"/>
  <c r="D567" i="93"/>
  <c r="E567" i="93"/>
  <c r="F567" i="93"/>
  <c r="G567" i="93"/>
  <c r="H567" i="93"/>
  <c r="A568" i="93"/>
  <c r="B568" i="93"/>
  <c r="C568" i="93"/>
  <c r="D568" i="93"/>
  <c r="E568" i="93"/>
  <c r="F568" i="93"/>
  <c r="G568" i="93"/>
  <c r="H568" i="93"/>
  <c r="A569" i="93"/>
  <c r="B569" i="93"/>
  <c r="C569" i="93"/>
  <c r="D569" i="93"/>
  <c r="E569" i="93"/>
  <c r="F569" i="93"/>
  <c r="G569" i="93"/>
  <c r="H569" i="93"/>
  <c r="A570" i="93"/>
  <c r="B570" i="93"/>
  <c r="C570" i="93"/>
  <c r="D570" i="93"/>
  <c r="E570" i="93"/>
  <c r="F570" i="93"/>
  <c r="G570" i="93"/>
  <c r="H570" i="93"/>
  <c r="A571" i="93"/>
  <c r="B571" i="93"/>
  <c r="C571" i="93"/>
  <c r="D571" i="93"/>
  <c r="E571" i="93"/>
  <c r="F571" i="93"/>
  <c r="G571" i="93"/>
  <c r="H571" i="93"/>
  <c r="A572" i="93"/>
  <c r="B572" i="93"/>
  <c r="C572" i="93"/>
  <c r="D572" i="93"/>
  <c r="E572" i="93"/>
  <c r="F572" i="93"/>
  <c r="G572" i="93"/>
  <c r="H572" i="93"/>
  <c r="A573" i="93"/>
  <c r="B573" i="93"/>
  <c r="C573" i="93"/>
  <c r="D573" i="93"/>
  <c r="E573" i="93"/>
  <c r="F573" i="93"/>
  <c r="G573" i="93"/>
  <c r="H573" i="93"/>
  <c r="A574" i="93"/>
  <c r="B574" i="93"/>
  <c r="C574" i="93"/>
  <c r="D574" i="93"/>
  <c r="E574" i="93"/>
  <c r="F574" i="93"/>
  <c r="G574" i="93"/>
  <c r="H574" i="93"/>
  <c r="A575" i="93"/>
  <c r="B575" i="93"/>
  <c r="C575" i="93"/>
  <c r="D575" i="93"/>
  <c r="E575" i="93"/>
  <c r="F575" i="93"/>
  <c r="G575" i="93"/>
  <c r="H575" i="93"/>
  <c r="A576" i="93"/>
  <c r="B576" i="93"/>
  <c r="C576" i="93"/>
  <c r="D576" i="93"/>
  <c r="E576" i="93"/>
  <c r="F576" i="93"/>
  <c r="G576" i="93"/>
  <c r="H576" i="93"/>
  <c r="A577" i="93"/>
  <c r="B577" i="93"/>
  <c r="C577" i="93"/>
  <c r="D577" i="93"/>
  <c r="E577" i="93"/>
  <c r="F577" i="93"/>
  <c r="G577" i="93"/>
  <c r="H577" i="93"/>
  <c r="A578" i="93"/>
  <c r="B578" i="93"/>
  <c r="C578" i="93"/>
  <c r="D578" i="93"/>
  <c r="E578" i="93"/>
  <c r="F578" i="93"/>
  <c r="G578" i="93"/>
  <c r="H578" i="93"/>
  <c r="A579" i="93"/>
  <c r="B579" i="93"/>
  <c r="C579" i="93"/>
  <c r="D579" i="93"/>
  <c r="E579" i="93"/>
  <c r="F579" i="93"/>
  <c r="G579" i="93"/>
  <c r="H579" i="93"/>
  <c r="A580" i="93"/>
  <c r="B580" i="93"/>
  <c r="C580" i="93"/>
  <c r="D580" i="93"/>
  <c r="E580" i="93"/>
  <c r="F580" i="93"/>
  <c r="G580" i="93"/>
  <c r="H580" i="93"/>
  <c r="A581" i="93"/>
  <c r="B581" i="93"/>
  <c r="C581" i="93"/>
  <c r="D581" i="93"/>
  <c r="E581" i="93"/>
  <c r="F581" i="93"/>
  <c r="G581" i="93"/>
  <c r="H581" i="93"/>
  <c r="A582" i="93"/>
  <c r="B582" i="93"/>
  <c r="C582" i="93"/>
  <c r="D582" i="93"/>
  <c r="E582" i="93"/>
  <c r="F582" i="93"/>
  <c r="G582" i="93"/>
  <c r="H582" i="93"/>
  <c r="A583" i="93"/>
  <c r="B583" i="93"/>
  <c r="C583" i="93"/>
  <c r="D583" i="93"/>
  <c r="E583" i="93"/>
  <c r="F583" i="93"/>
  <c r="G583" i="93"/>
  <c r="H583" i="93"/>
  <c r="A584" i="93"/>
  <c r="B584" i="93"/>
  <c r="C584" i="93"/>
  <c r="D584" i="93"/>
  <c r="E584" i="93"/>
  <c r="F584" i="93"/>
  <c r="G584" i="93"/>
  <c r="H584" i="93"/>
  <c r="A585" i="93"/>
  <c r="B585" i="93"/>
  <c r="C585" i="93"/>
  <c r="D585" i="93"/>
  <c r="E585" i="93"/>
  <c r="F585" i="93"/>
  <c r="G585" i="93"/>
  <c r="H585" i="93"/>
  <c r="A586" i="93"/>
  <c r="B586" i="93"/>
  <c r="C586" i="93"/>
  <c r="D586" i="93"/>
  <c r="E586" i="93"/>
  <c r="F586" i="93"/>
  <c r="G586" i="93"/>
  <c r="H586" i="93"/>
  <c r="A587" i="93"/>
  <c r="B587" i="93"/>
  <c r="C587" i="93"/>
  <c r="D587" i="93"/>
  <c r="E587" i="93"/>
  <c r="F587" i="93"/>
  <c r="G587" i="93"/>
  <c r="H587" i="93"/>
  <c r="A588" i="93"/>
  <c r="B588" i="93"/>
  <c r="C588" i="93"/>
  <c r="D588" i="93"/>
  <c r="E588" i="93"/>
  <c r="F588" i="93"/>
  <c r="G588" i="93"/>
  <c r="H588" i="93"/>
  <c r="A589" i="93"/>
  <c r="B589" i="93"/>
  <c r="C589" i="93"/>
  <c r="D589" i="93"/>
  <c r="E589" i="93"/>
  <c r="F589" i="93"/>
  <c r="G589" i="93"/>
  <c r="H589" i="93"/>
  <c r="A590" i="93"/>
  <c r="B590" i="93"/>
  <c r="C590" i="93"/>
  <c r="D590" i="93"/>
  <c r="E590" i="93"/>
  <c r="F590" i="93"/>
  <c r="G590" i="93"/>
  <c r="H590" i="93"/>
  <c r="A591" i="93"/>
  <c r="B591" i="93"/>
  <c r="C591" i="93"/>
  <c r="D591" i="93"/>
  <c r="E591" i="93"/>
  <c r="F591" i="93"/>
  <c r="G591" i="93"/>
  <c r="H591" i="93"/>
  <c r="A592" i="93"/>
  <c r="B592" i="93"/>
  <c r="C592" i="93"/>
  <c r="D592" i="93"/>
  <c r="E592" i="93"/>
  <c r="F592" i="93"/>
  <c r="G592" i="93"/>
  <c r="H592" i="93"/>
  <c r="A593" i="93"/>
  <c r="B593" i="93"/>
  <c r="C593" i="93"/>
  <c r="D593" i="93"/>
  <c r="E593" i="93"/>
  <c r="F593" i="93"/>
  <c r="G593" i="93"/>
  <c r="H593" i="93"/>
  <c r="A594" i="93"/>
  <c r="B594" i="93"/>
  <c r="C594" i="93"/>
  <c r="D594" i="93"/>
  <c r="E594" i="93"/>
  <c r="F594" i="93"/>
  <c r="G594" i="93"/>
  <c r="H594" i="93"/>
  <c r="A595" i="93"/>
  <c r="B595" i="93"/>
  <c r="C595" i="93"/>
  <c r="D595" i="93"/>
  <c r="E595" i="93"/>
  <c r="F595" i="93"/>
  <c r="G595" i="93"/>
  <c r="H595" i="93"/>
  <c r="A596" i="93"/>
  <c r="B596" i="93"/>
  <c r="C596" i="93"/>
  <c r="D596" i="93"/>
  <c r="E596" i="93"/>
  <c r="F596" i="93"/>
  <c r="G596" i="93"/>
  <c r="H596" i="93"/>
  <c r="A597" i="93"/>
  <c r="B597" i="93"/>
  <c r="C597" i="93"/>
  <c r="D597" i="93"/>
  <c r="E597" i="93"/>
  <c r="F597" i="93"/>
  <c r="G597" i="93"/>
  <c r="H597" i="93"/>
  <c r="A598" i="93"/>
  <c r="B598" i="93"/>
  <c r="C598" i="93"/>
  <c r="D598" i="93"/>
  <c r="E598" i="93"/>
  <c r="F598" i="93"/>
  <c r="G598" i="93"/>
  <c r="H598" i="93"/>
  <c r="A599" i="93"/>
  <c r="B599" i="93"/>
  <c r="C599" i="93"/>
  <c r="D599" i="93"/>
  <c r="E599" i="93"/>
  <c r="F599" i="93"/>
  <c r="G599" i="93"/>
  <c r="H599" i="93"/>
  <c r="A600" i="93"/>
  <c r="B600" i="93"/>
  <c r="C600" i="93"/>
  <c r="D600" i="93"/>
  <c r="E600" i="93"/>
  <c r="F600" i="93"/>
  <c r="G600" i="93"/>
  <c r="H600" i="93"/>
  <c r="A601" i="93"/>
  <c r="B601" i="93"/>
  <c r="C601" i="93"/>
  <c r="D601" i="93"/>
  <c r="E601" i="93"/>
  <c r="F601" i="93"/>
  <c r="G601" i="93"/>
  <c r="H601" i="93"/>
  <c r="A602" i="93"/>
  <c r="B602" i="93"/>
  <c r="C602" i="93"/>
  <c r="D602" i="93"/>
  <c r="E602" i="93"/>
  <c r="F602" i="93"/>
  <c r="G602" i="93"/>
  <c r="H602" i="93"/>
  <c r="A603" i="93"/>
  <c r="B603" i="93"/>
  <c r="C603" i="93"/>
  <c r="D603" i="93"/>
  <c r="E603" i="93"/>
  <c r="F603" i="93"/>
  <c r="G603" i="93"/>
  <c r="H603" i="93"/>
  <c r="A604" i="93"/>
  <c r="B604" i="93"/>
  <c r="C604" i="93"/>
  <c r="D604" i="93"/>
  <c r="E604" i="93"/>
  <c r="F604" i="93"/>
  <c r="G604" i="93"/>
  <c r="H604" i="93"/>
  <c r="A605" i="93"/>
  <c r="B605" i="93"/>
  <c r="C605" i="93"/>
  <c r="D605" i="93"/>
  <c r="E605" i="93"/>
  <c r="F605" i="93"/>
  <c r="G605" i="93"/>
  <c r="H605" i="93"/>
  <c r="A606" i="93"/>
  <c r="B606" i="93"/>
  <c r="C606" i="93"/>
  <c r="D606" i="93"/>
  <c r="E606" i="93"/>
  <c r="F606" i="93"/>
  <c r="G606" i="93"/>
  <c r="H606" i="93"/>
  <c r="A607" i="93"/>
  <c r="B607" i="93"/>
  <c r="C607" i="93"/>
  <c r="D607" i="93"/>
  <c r="E607" i="93"/>
  <c r="F607" i="93"/>
  <c r="G607" i="93"/>
  <c r="H607" i="93"/>
  <c r="A608" i="93"/>
  <c r="B608" i="93"/>
  <c r="C608" i="93"/>
  <c r="D608" i="93"/>
  <c r="E608" i="93"/>
  <c r="F608" i="93"/>
  <c r="G608" i="93"/>
  <c r="H608" i="93"/>
  <c r="A609" i="93"/>
  <c r="B609" i="93"/>
  <c r="C609" i="93"/>
  <c r="D609" i="93"/>
  <c r="E609" i="93"/>
  <c r="F609" i="93"/>
  <c r="G609" i="93"/>
  <c r="H609" i="93"/>
  <c r="A610" i="93"/>
  <c r="B610" i="93"/>
  <c r="C610" i="93"/>
  <c r="D610" i="93"/>
  <c r="E610" i="93"/>
  <c r="F610" i="93"/>
  <c r="G610" i="93"/>
  <c r="H610" i="93"/>
  <c r="A611" i="93"/>
  <c r="B611" i="93"/>
  <c r="C611" i="93"/>
  <c r="D611" i="93"/>
  <c r="E611" i="93"/>
  <c r="F611" i="93"/>
  <c r="G611" i="93"/>
  <c r="H611" i="93"/>
  <c r="A612" i="93"/>
  <c r="B612" i="93"/>
  <c r="C612" i="93"/>
  <c r="D612" i="93"/>
  <c r="E612" i="93"/>
  <c r="F612" i="93"/>
  <c r="G612" i="93"/>
  <c r="H612" i="93"/>
  <c r="A613" i="93"/>
  <c r="B613" i="93"/>
  <c r="C613" i="93"/>
  <c r="D613" i="93"/>
  <c r="E613" i="93"/>
  <c r="F613" i="93"/>
  <c r="G613" i="93"/>
  <c r="H613" i="93"/>
  <c r="A614" i="93"/>
  <c r="B614" i="93"/>
  <c r="C614" i="93"/>
  <c r="D614" i="93"/>
  <c r="E614" i="93"/>
  <c r="F614" i="93"/>
  <c r="G614" i="93"/>
  <c r="H614" i="93"/>
  <c r="A615" i="93"/>
  <c r="B615" i="93"/>
  <c r="C615" i="93"/>
  <c r="D615" i="93"/>
  <c r="E615" i="93"/>
  <c r="F615" i="93"/>
  <c r="G615" i="93"/>
  <c r="H615" i="93"/>
  <c r="A616" i="93"/>
  <c r="B616" i="93"/>
  <c r="C616" i="93"/>
  <c r="D616" i="93"/>
  <c r="E616" i="93"/>
  <c r="F616" i="93"/>
  <c r="G616" i="93"/>
  <c r="H616" i="93"/>
  <c r="A617" i="93"/>
  <c r="B617" i="93"/>
  <c r="C617" i="93"/>
  <c r="D617" i="93"/>
  <c r="E617" i="93"/>
  <c r="F617" i="93"/>
  <c r="G617" i="93"/>
  <c r="H617" i="93"/>
  <c r="A618" i="93"/>
  <c r="B618" i="93"/>
  <c r="C618" i="93"/>
  <c r="D618" i="93"/>
  <c r="E618" i="93"/>
  <c r="F618" i="93"/>
  <c r="G618" i="93"/>
  <c r="H618" i="93"/>
  <c r="A619" i="93"/>
  <c r="B619" i="93"/>
  <c r="C619" i="93"/>
  <c r="D619" i="93"/>
  <c r="E619" i="93"/>
  <c r="F619" i="93"/>
  <c r="G619" i="93"/>
  <c r="H619" i="93"/>
  <c r="A620" i="93"/>
  <c r="B620" i="93"/>
  <c r="C620" i="93"/>
  <c r="D620" i="93"/>
  <c r="E620" i="93"/>
  <c r="F620" i="93"/>
  <c r="G620" i="93"/>
  <c r="H620" i="93"/>
  <c r="A621" i="93"/>
  <c r="B621" i="93"/>
  <c r="C621" i="93"/>
  <c r="D621" i="93"/>
  <c r="E621" i="93"/>
  <c r="F621" i="93"/>
  <c r="G621" i="93"/>
  <c r="H621" i="93"/>
  <c r="A622" i="93"/>
  <c r="B622" i="93"/>
  <c r="C622" i="93"/>
  <c r="D622" i="93"/>
  <c r="E622" i="93"/>
  <c r="F622" i="93"/>
  <c r="G622" i="93"/>
  <c r="H622" i="93"/>
  <c r="A623" i="93"/>
  <c r="B623" i="93"/>
  <c r="C623" i="93"/>
  <c r="D623" i="93"/>
  <c r="E623" i="93"/>
  <c r="F623" i="93"/>
  <c r="G623" i="93"/>
  <c r="H623" i="93"/>
  <c r="A624" i="93"/>
  <c r="B624" i="93"/>
  <c r="C624" i="93"/>
  <c r="D624" i="93"/>
  <c r="E624" i="93"/>
  <c r="F624" i="93"/>
  <c r="G624" i="93"/>
  <c r="H624" i="93"/>
  <c r="A625" i="93"/>
  <c r="B625" i="93"/>
  <c r="C625" i="93"/>
  <c r="D625" i="93"/>
  <c r="E625" i="93"/>
  <c r="F625" i="93"/>
  <c r="G625" i="93"/>
  <c r="H625" i="93"/>
  <c r="A626" i="93"/>
  <c r="B626" i="93"/>
  <c r="C626" i="93"/>
  <c r="D626" i="93"/>
  <c r="E626" i="93"/>
  <c r="F626" i="93"/>
  <c r="G626" i="93"/>
  <c r="H626" i="93"/>
  <c r="A627" i="93"/>
  <c r="B627" i="93"/>
  <c r="C627" i="93"/>
  <c r="D627" i="93"/>
  <c r="E627" i="93"/>
  <c r="F627" i="93"/>
  <c r="G627" i="93"/>
  <c r="H627" i="93"/>
  <c r="A628" i="93"/>
  <c r="B628" i="93"/>
  <c r="C628" i="93"/>
  <c r="D628" i="93"/>
  <c r="E628" i="93"/>
  <c r="F628" i="93"/>
  <c r="G628" i="93"/>
  <c r="H628" i="93"/>
  <c r="A629" i="93"/>
  <c r="B629" i="93"/>
  <c r="C629" i="93"/>
  <c r="D629" i="93"/>
  <c r="E629" i="93"/>
  <c r="F629" i="93"/>
  <c r="G629" i="93"/>
  <c r="H629" i="93"/>
  <c r="A630" i="93"/>
  <c r="B630" i="93"/>
  <c r="C630" i="93"/>
  <c r="D630" i="93"/>
  <c r="E630" i="93"/>
  <c r="F630" i="93"/>
  <c r="G630" i="93"/>
  <c r="H630" i="93"/>
  <c r="A631" i="93"/>
  <c r="B631" i="93"/>
  <c r="C631" i="93"/>
  <c r="D631" i="93"/>
  <c r="E631" i="93"/>
  <c r="F631" i="93"/>
  <c r="G631" i="93"/>
  <c r="H631" i="93"/>
  <c r="A632" i="93"/>
  <c r="B632" i="93"/>
  <c r="C632" i="93"/>
  <c r="D632" i="93"/>
  <c r="E632" i="93"/>
  <c r="F632" i="93"/>
  <c r="G632" i="93"/>
  <c r="H632" i="93"/>
  <c r="A633" i="93"/>
  <c r="B633" i="93"/>
  <c r="C633" i="93"/>
  <c r="D633" i="93"/>
  <c r="E633" i="93"/>
  <c r="F633" i="93"/>
  <c r="G633" i="93"/>
  <c r="H633" i="93"/>
  <c r="A634" i="93"/>
  <c r="B634" i="93"/>
  <c r="C634" i="93"/>
  <c r="D634" i="93"/>
  <c r="E634" i="93"/>
  <c r="F634" i="93"/>
  <c r="G634" i="93"/>
  <c r="H634" i="93"/>
  <c r="A635" i="93"/>
  <c r="B635" i="93"/>
  <c r="C635" i="93"/>
  <c r="D635" i="93"/>
  <c r="E635" i="93"/>
  <c r="F635" i="93"/>
  <c r="G635" i="93"/>
  <c r="H635" i="93"/>
  <c r="A636" i="93"/>
  <c r="B636" i="93"/>
  <c r="C636" i="93"/>
  <c r="D636" i="93"/>
  <c r="E636" i="93"/>
  <c r="F636" i="93"/>
  <c r="G636" i="93"/>
  <c r="H636" i="93"/>
  <c r="A637" i="93"/>
  <c r="B637" i="93"/>
  <c r="C637" i="93"/>
  <c r="D637" i="93"/>
  <c r="E637" i="93"/>
  <c r="F637" i="93"/>
  <c r="G637" i="93"/>
  <c r="H637" i="93"/>
  <c r="A638" i="93"/>
  <c r="B638" i="93"/>
  <c r="C638" i="93"/>
  <c r="D638" i="93"/>
  <c r="E638" i="93"/>
  <c r="F638" i="93"/>
  <c r="G638" i="93"/>
  <c r="H638" i="93"/>
  <c r="A639" i="93"/>
  <c r="B639" i="93"/>
  <c r="C639" i="93"/>
  <c r="D639" i="93"/>
  <c r="E639" i="93"/>
  <c r="F639" i="93"/>
  <c r="G639" i="93"/>
  <c r="H639" i="93"/>
  <c r="A640" i="93"/>
  <c r="B640" i="93"/>
  <c r="C640" i="93"/>
  <c r="D640" i="93"/>
  <c r="E640" i="93"/>
  <c r="F640" i="93"/>
  <c r="G640" i="93"/>
  <c r="H640" i="93"/>
  <c r="A641" i="93"/>
  <c r="B641" i="93"/>
  <c r="C641" i="93"/>
  <c r="D641" i="93"/>
  <c r="E641" i="93"/>
  <c r="F641" i="93"/>
  <c r="G641" i="93"/>
  <c r="H641" i="93"/>
  <c r="A642" i="93"/>
  <c r="B642" i="93"/>
  <c r="C642" i="93"/>
  <c r="D642" i="93"/>
  <c r="E642" i="93"/>
  <c r="F642" i="93"/>
  <c r="G642" i="93"/>
  <c r="H642" i="93"/>
  <c r="A643" i="93"/>
  <c r="B643" i="93"/>
  <c r="C643" i="93"/>
  <c r="D643" i="93"/>
  <c r="E643" i="93"/>
  <c r="F643" i="93"/>
  <c r="G643" i="93"/>
  <c r="H643" i="93"/>
  <c r="A644" i="93"/>
  <c r="B644" i="93"/>
  <c r="C644" i="93"/>
  <c r="D644" i="93"/>
  <c r="E644" i="93"/>
  <c r="F644" i="93"/>
  <c r="G644" i="93"/>
  <c r="H644" i="93"/>
  <c r="A645" i="93"/>
  <c r="B645" i="93"/>
  <c r="C645" i="93"/>
  <c r="D645" i="93"/>
  <c r="E645" i="93"/>
  <c r="F645" i="93"/>
  <c r="G645" i="93"/>
  <c r="H645" i="93"/>
  <c r="A646" i="93"/>
  <c r="B646" i="93"/>
  <c r="C646" i="93"/>
  <c r="D646" i="93"/>
  <c r="E646" i="93"/>
  <c r="F646" i="93"/>
  <c r="G646" i="93"/>
  <c r="H646" i="93"/>
  <c r="A647" i="93"/>
  <c r="B647" i="93"/>
  <c r="C647" i="93"/>
  <c r="D647" i="93"/>
  <c r="E647" i="93"/>
  <c r="F647" i="93"/>
  <c r="G647" i="93"/>
  <c r="H647" i="93"/>
  <c r="A648" i="93"/>
  <c r="B648" i="93"/>
  <c r="C648" i="93"/>
  <c r="D648" i="93"/>
  <c r="E648" i="93"/>
  <c r="F648" i="93"/>
  <c r="G648" i="93"/>
  <c r="H648" i="93"/>
  <c r="A649" i="93"/>
  <c r="B649" i="93"/>
  <c r="C649" i="93"/>
  <c r="D649" i="93"/>
  <c r="E649" i="93"/>
  <c r="F649" i="93"/>
  <c r="G649" i="93"/>
  <c r="H649" i="93"/>
  <c r="A650" i="93"/>
  <c r="B650" i="93"/>
  <c r="C650" i="93"/>
  <c r="D650" i="93"/>
  <c r="E650" i="93"/>
  <c r="F650" i="93"/>
  <c r="G650" i="93"/>
  <c r="H650" i="93"/>
  <c r="A651" i="93"/>
  <c r="B651" i="93"/>
  <c r="C651" i="93"/>
  <c r="D651" i="93"/>
  <c r="E651" i="93"/>
  <c r="F651" i="93"/>
  <c r="G651" i="93"/>
  <c r="H651" i="93"/>
  <c r="A652" i="93"/>
  <c r="B652" i="93"/>
  <c r="C652" i="93"/>
  <c r="D652" i="93"/>
  <c r="E652" i="93"/>
  <c r="F652" i="93"/>
  <c r="G652" i="93"/>
  <c r="H652" i="93"/>
  <c r="A653" i="93"/>
  <c r="B653" i="93"/>
  <c r="C653" i="93"/>
  <c r="D653" i="93"/>
  <c r="E653" i="93"/>
  <c r="F653" i="93"/>
  <c r="G653" i="93"/>
  <c r="H653" i="93"/>
  <c r="A654" i="93"/>
  <c r="B654" i="93"/>
  <c r="C654" i="93"/>
  <c r="D654" i="93"/>
  <c r="E654" i="93"/>
  <c r="F654" i="93"/>
  <c r="G654" i="93"/>
  <c r="H654" i="93"/>
  <c r="A655" i="93"/>
  <c r="B655" i="93"/>
  <c r="C655" i="93"/>
  <c r="D655" i="93"/>
  <c r="E655" i="93"/>
  <c r="F655" i="93"/>
  <c r="G655" i="93"/>
  <c r="H655" i="93"/>
  <c r="A656" i="93"/>
  <c r="B656" i="93"/>
  <c r="C656" i="93"/>
  <c r="D656" i="93"/>
  <c r="E656" i="93"/>
  <c r="F656" i="93"/>
  <c r="G656" i="93"/>
  <c r="H656" i="93"/>
  <c r="A657" i="93"/>
  <c r="B657" i="93"/>
  <c r="C657" i="93"/>
  <c r="D657" i="93"/>
  <c r="E657" i="93"/>
  <c r="F657" i="93"/>
  <c r="G657" i="93"/>
  <c r="H657" i="93"/>
  <c r="A658" i="93"/>
  <c r="B658" i="93"/>
  <c r="C658" i="93"/>
  <c r="D658" i="93"/>
  <c r="E658" i="93"/>
  <c r="F658" i="93"/>
  <c r="G658" i="93"/>
  <c r="H658" i="93"/>
  <c r="A659" i="93"/>
  <c r="B659" i="93"/>
  <c r="C659" i="93"/>
  <c r="D659" i="93"/>
  <c r="E659" i="93"/>
  <c r="F659" i="93"/>
  <c r="G659" i="93"/>
  <c r="H659" i="93"/>
  <c r="A660" i="93"/>
  <c r="B660" i="93"/>
  <c r="C660" i="93"/>
  <c r="D660" i="93"/>
  <c r="E660" i="93"/>
  <c r="F660" i="93"/>
  <c r="G660" i="93"/>
  <c r="H660" i="93"/>
  <c r="A661" i="93"/>
  <c r="B661" i="93"/>
  <c r="C661" i="93"/>
  <c r="D661" i="93"/>
  <c r="E661" i="93"/>
  <c r="F661" i="93"/>
  <c r="G661" i="93"/>
  <c r="H661" i="93"/>
  <c r="A662" i="93"/>
  <c r="B662" i="93"/>
  <c r="C662" i="93"/>
  <c r="D662" i="93"/>
  <c r="E662" i="93"/>
  <c r="F662" i="93"/>
  <c r="G662" i="93"/>
  <c r="H662" i="93"/>
  <c r="A663" i="93"/>
  <c r="B663" i="93"/>
  <c r="C663" i="93"/>
  <c r="D663" i="93"/>
  <c r="E663" i="93"/>
  <c r="F663" i="93"/>
  <c r="G663" i="93"/>
  <c r="H663" i="93"/>
  <c r="A664" i="93"/>
  <c r="B664" i="93"/>
  <c r="C664" i="93"/>
  <c r="D664" i="93"/>
  <c r="E664" i="93"/>
  <c r="F664" i="93"/>
  <c r="G664" i="93"/>
  <c r="H664" i="93"/>
  <c r="A665" i="93"/>
  <c r="B665" i="93"/>
  <c r="C665" i="93"/>
  <c r="D665" i="93"/>
  <c r="E665" i="93"/>
  <c r="F665" i="93"/>
  <c r="G665" i="93"/>
  <c r="H665" i="93"/>
  <c r="A666" i="93"/>
  <c r="B666" i="93"/>
  <c r="C666" i="93"/>
  <c r="D666" i="93"/>
  <c r="E666" i="93"/>
  <c r="F666" i="93"/>
  <c r="G666" i="93"/>
  <c r="H666" i="93"/>
  <c r="A667" i="93"/>
  <c r="B667" i="93"/>
  <c r="C667" i="93"/>
  <c r="D667" i="93"/>
  <c r="E667" i="93"/>
  <c r="F667" i="93"/>
  <c r="G667" i="93"/>
  <c r="H667" i="93"/>
  <c r="A668" i="93"/>
  <c r="B668" i="93"/>
  <c r="C668" i="93"/>
  <c r="D668" i="93"/>
  <c r="E668" i="93"/>
  <c r="F668" i="93"/>
  <c r="G668" i="93"/>
  <c r="H668" i="93"/>
  <c r="A669" i="93"/>
  <c r="B669" i="93"/>
  <c r="C669" i="93"/>
  <c r="D669" i="93"/>
  <c r="E669" i="93"/>
  <c r="F669" i="93"/>
  <c r="G669" i="93"/>
  <c r="H669" i="93"/>
  <c r="A670" i="93"/>
  <c r="B670" i="93"/>
  <c r="C670" i="93"/>
  <c r="D670" i="93"/>
  <c r="E670" i="93"/>
  <c r="F670" i="93"/>
  <c r="G670" i="93"/>
  <c r="H670" i="93"/>
  <c r="A671" i="93"/>
  <c r="B671" i="93"/>
  <c r="C671" i="93"/>
  <c r="D671" i="93"/>
  <c r="E671" i="93"/>
  <c r="F671" i="93"/>
  <c r="G671" i="93"/>
  <c r="H671" i="93"/>
  <c r="A672" i="93"/>
  <c r="B672" i="93"/>
  <c r="C672" i="93"/>
  <c r="D672" i="93"/>
  <c r="E672" i="93"/>
  <c r="F672" i="93"/>
  <c r="G672" i="93"/>
  <c r="H672" i="93"/>
  <c r="A673" i="93"/>
  <c r="B673" i="93"/>
  <c r="C673" i="93"/>
  <c r="D673" i="93"/>
  <c r="E673" i="93"/>
  <c r="F673" i="93"/>
  <c r="G673" i="93"/>
  <c r="H673" i="93"/>
  <c r="A674" i="93"/>
  <c r="B674" i="93"/>
  <c r="C674" i="93"/>
  <c r="D674" i="93"/>
  <c r="E674" i="93"/>
  <c r="F674" i="93"/>
  <c r="G674" i="93"/>
  <c r="H674" i="93"/>
  <c r="A675" i="93"/>
  <c r="B675" i="93"/>
  <c r="C675" i="93"/>
  <c r="D675" i="93"/>
  <c r="E675" i="93"/>
  <c r="F675" i="93"/>
  <c r="G675" i="93"/>
  <c r="H675" i="93"/>
  <c r="A676" i="93"/>
  <c r="B676" i="93"/>
  <c r="C676" i="93"/>
  <c r="D676" i="93"/>
  <c r="E676" i="93"/>
  <c r="F676" i="93"/>
  <c r="G676" i="93"/>
  <c r="H676" i="93"/>
  <c r="A677" i="93"/>
  <c r="B677" i="93"/>
  <c r="C677" i="93"/>
  <c r="D677" i="93"/>
  <c r="E677" i="93"/>
  <c r="F677" i="93"/>
  <c r="G677" i="93"/>
  <c r="H677" i="93"/>
  <c r="A678" i="93"/>
  <c r="B678" i="93"/>
  <c r="C678" i="93"/>
  <c r="D678" i="93"/>
  <c r="E678" i="93"/>
  <c r="F678" i="93"/>
  <c r="G678" i="93"/>
  <c r="H678" i="93"/>
  <c r="A679" i="93"/>
  <c r="B679" i="93"/>
  <c r="C679" i="93"/>
  <c r="D679" i="93"/>
  <c r="E679" i="93"/>
  <c r="F679" i="93"/>
  <c r="G679" i="93"/>
  <c r="H679" i="93"/>
  <c r="A680" i="93"/>
  <c r="B680" i="93"/>
  <c r="C680" i="93"/>
  <c r="D680" i="93"/>
  <c r="E680" i="93"/>
  <c r="F680" i="93"/>
  <c r="G680" i="93"/>
  <c r="H680" i="93"/>
  <c r="A681" i="93"/>
  <c r="B681" i="93"/>
  <c r="C681" i="93"/>
  <c r="D681" i="93"/>
  <c r="E681" i="93"/>
  <c r="F681" i="93"/>
  <c r="G681" i="93"/>
  <c r="H681" i="93"/>
  <c r="A682" i="93"/>
  <c r="B682" i="93"/>
  <c r="C682" i="93"/>
  <c r="D682" i="93"/>
  <c r="E682" i="93"/>
  <c r="F682" i="93"/>
  <c r="G682" i="93"/>
  <c r="H682" i="93"/>
  <c r="A683" i="93"/>
  <c r="B683" i="93"/>
  <c r="C683" i="93"/>
  <c r="D683" i="93"/>
  <c r="E683" i="93"/>
  <c r="F683" i="93"/>
  <c r="G683" i="93"/>
  <c r="H683" i="93"/>
  <c r="A684" i="93"/>
  <c r="B684" i="93"/>
  <c r="C684" i="93"/>
  <c r="D684" i="93"/>
  <c r="E684" i="93"/>
  <c r="F684" i="93"/>
  <c r="G684" i="93"/>
  <c r="H684" i="93"/>
  <c r="A685" i="93"/>
  <c r="B685" i="93"/>
  <c r="C685" i="93"/>
  <c r="D685" i="93"/>
  <c r="E685" i="93"/>
  <c r="F685" i="93"/>
  <c r="G685" i="93"/>
  <c r="H685" i="93"/>
  <c r="A686" i="93"/>
  <c r="B686" i="93"/>
  <c r="C686" i="93"/>
  <c r="D686" i="93"/>
  <c r="E686" i="93"/>
  <c r="F686" i="93"/>
  <c r="G686" i="93"/>
  <c r="H686" i="93"/>
  <c r="A687" i="93"/>
  <c r="B687" i="93"/>
  <c r="C687" i="93"/>
  <c r="D687" i="93"/>
  <c r="E687" i="93"/>
  <c r="F687" i="93"/>
  <c r="G687" i="93"/>
  <c r="H687" i="93"/>
  <c r="A688" i="93"/>
  <c r="B688" i="93"/>
  <c r="C688" i="93"/>
  <c r="D688" i="93"/>
  <c r="E688" i="93"/>
  <c r="F688" i="93"/>
  <c r="G688" i="93"/>
  <c r="H688" i="93"/>
  <c r="A689" i="93"/>
  <c r="B689" i="93"/>
  <c r="C689" i="93"/>
  <c r="D689" i="93"/>
  <c r="E689" i="93"/>
  <c r="F689" i="93"/>
  <c r="G689" i="93"/>
  <c r="H689" i="93"/>
  <c r="A690" i="93"/>
  <c r="B690" i="93"/>
  <c r="C690" i="93"/>
  <c r="D690" i="93"/>
  <c r="E690" i="93"/>
  <c r="F690" i="93"/>
  <c r="G690" i="93"/>
  <c r="H690" i="93"/>
  <c r="A691" i="93"/>
  <c r="B691" i="93"/>
  <c r="C691" i="93"/>
  <c r="D691" i="93"/>
  <c r="E691" i="93"/>
  <c r="F691" i="93"/>
  <c r="G691" i="93"/>
  <c r="H691" i="93"/>
  <c r="A692" i="93"/>
  <c r="B692" i="93"/>
  <c r="C692" i="93"/>
  <c r="D692" i="93"/>
  <c r="E692" i="93"/>
  <c r="F692" i="93"/>
  <c r="G692" i="93"/>
  <c r="H692" i="93"/>
  <c r="A693" i="93"/>
  <c r="B693" i="93"/>
  <c r="C693" i="93"/>
  <c r="D693" i="93"/>
  <c r="E693" i="93"/>
  <c r="F693" i="93"/>
  <c r="G693" i="93"/>
  <c r="H693" i="93"/>
  <c r="A694" i="93"/>
  <c r="B694" i="93"/>
  <c r="C694" i="93"/>
  <c r="D694" i="93"/>
  <c r="E694" i="93"/>
  <c r="F694" i="93"/>
  <c r="G694" i="93"/>
  <c r="H694" i="93"/>
  <c r="A695" i="93"/>
  <c r="B695" i="93"/>
  <c r="C695" i="93"/>
  <c r="D695" i="93"/>
  <c r="E695" i="93"/>
  <c r="F695" i="93"/>
  <c r="G695" i="93"/>
  <c r="H695" i="93"/>
  <c r="A696" i="93"/>
  <c r="B696" i="93"/>
  <c r="C696" i="93"/>
  <c r="D696" i="93"/>
  <c r="E696" i="93"/>
  <c r="F696" i="93"/>
  <c r="G696" i="93"/>
  <c r="H696" i="93"/>
  <c r="A697" i="93"/>
  <c r="B697" i="93"/>
  <c r="C697" i="93"/>
  <c r="D697" i="93"/>
  <c r="E697" i="93"/>
  <c r="F697" i="93"/>
  <c r="G697" i="93"/>
  <c r="H697" i="93"/>
  <c r="A698" i="93"/>
  <c r="B698" i="93"/>
  <c r="C698" i="93"/>
  <c r="D698" i="93"/>
  <c r="E698" i="93"/>
  <c r="F698" i="93"/>
  <c r="G698" i="93"/>
  <c r="H698" i="93"/>
  <c r="A699" i="93"/>
  <c r="B699" i="93"/>
  <c r="C699" i="93"/>
  <c r="D699" i="93"/>
  <c r="E699" i="93"/>
  <c r="F699" i="93"/>
  <c r="G699" i="93"/>
  <c r="H699" i="93"/>
  <c r="A700" i="93"/>
  <c r="B700" i="93"/>
  <c r="C700" i="93"/>
  <c r="D700" i="93"/>
  <c r="E700" i="93"/>
  <c r="F700" i="93"/>
  <c r="G700" i="93"/>
  <c r="H700" i="93"/>
  <c r="A701" i="93"/>
  <c r="B701" i="93"/>
  <c r="C701" i="93"/>
  <c r="D701" i="93"/>
  <c r="E701" i="93"/>
  <c r="F701" i="93"/>
  <c r="G701" i="93"/>
  <c r="H701" i="93"/>
  <c r="A702" i="93"/>
  <c r="B702" i="93"/>
  <c r="C702" i="93"/>
  <c r="D702" i="93"/>
  <c r="E702" i="93"/>
  <c r="F702" i="93"/>
  <c r="G702" i="93"/>
  <c r="H702" i="93"/>
  <c r="A703" i="93"/>
  <c r="B703" i="93"/>
  <c r="C703" i="93"/>
  <c r="D703" i="93"/>
  <c r="E703" i="93"/>
  <c r="F703" i="93"/>
  <c r="G703" i="93"/>
  <c r="H703" i="93"/>
  <c r="A704" i="93"/>
  <c r="B704" i="93"/>
  <c r="C704" i="93"/>
  <c r="D704" i="93"/>
  <c r="E704" i="93"/>
  <c r="F704" i="93"/>
  <c r="G704" i="93"/>
  <c r="H704" i="93"/>
  <c r="A705" i="93"/>
  <c r="B705" i="93"/>
  <c r="C705" i="93"/>
  <c r="D705" i="93"/>
  <c r="E705" i="93"/>
  <c r="F705" i="93"/>
  <c r="G705" i="93"/>
  <c r="H705" i="93"/>
  <c r="A706" i="93"/>
  <c r="B706" i="93"/>
  <c r="C706" i="93"/>
  <c r="D706" i="93"/>
  <c r="E706" i="93"/>
  <c r="F706" i="93"/>
  <c r="G706" i="93"/>
  <c r="H706" i="93"/>
  <c r="A707" i="93"/>
  <c r="B707" i="93"/>
  <c r="C707" i="93"/>
  <c r="D707" i="93"/>
  <c r="E707" i="93"/>
  <c r="F707" i="93"/>
  <c r="G707" i="93"/>
  <c r="H707" i="93"/>
  <c r="A708" i="93"/>
  <c r="B708" i="93"/>
  <c r="C708" i="93"/>
  <c r="D708" i="93"/>
  <c r="E708" i="93"/>
  <c r="F708" i="93"/>
  <c r="G708" i="93"/>
  <c r="H708" i="93"/>
  <c r="A709" i="93"/>
  <c r="B709" i="93"/>
  <c r="C709" i="93"/>
  <c r="D709" i="93"/>
  <c r="E709" i="93"/>
  <c r="F709" i="93"/>
  <c r="G709" i="93"/>
  <c r="H709" i="93"/>
  <c r="A710" i="93"/>
  <c r="B710" i="93"/>
  <c r="C710" i="93"/>
  <c r="D710" i="93"/>
  <c r="E710" i="93"/>
  <c r="F710" i="93"/>
  <c r="G710" i="93"/>
  <c r="H710" i="93"/>
  <c r="A711" i="93"/>
  <c r="B711" i="93"/>
  <c r="C711" i="93"/>
  <c r="D711" i="93"/>
  <c r="E711" i="93"/>
  <c r="F711" i="93"/>
  <c r="G711" i="93"/>
  <c r="H711" i="93"/>
  <c r="A712" i="93"/>
  <c r="B712" i="93"/>
  <c r="C712" i="93"/>
  <c r="D712" i="93"/>
  <c r="E712" i="93"/>
  <c r="F712" i="93"/>
  <c r="G712" i="93"/>
  <c r="H712" i="93"/>
  <c r="A713" i="93"/>
  <c r="B713" i="93"/>
  <c r="C713" i="93"/>
  <c r="D713" i="93"/>
  <c r="E713" i="93"/>
  <c r="F713" i="93"/>
  <c r="G713" i="93"/>
  <c r="H713" i="93"/>
  <c r="A714" i="93"/>
  <c r="B714" i="93"/>
  <c r="C714" i="93"/>
  <c r="D714" i="93"/>
  <c r="E714" i="93"/>
  <c r="F714" i="93"/>
  <c r="G714" i="93"/>
  <c r="H714" i="93"/>
  <c r="A715" i="93"/>
  <c r="B715" i="93"/>
  <c r="C715" i="93"/>
  <c r="D715" i="93"/>
  <c r="E715" i="93"/>
  <c r="F715" i="93"/>
  <c r="G715" i="93"/>
  <c r="H715" i="93"/>
  <c r="A716" i="93"/>
  <c r="B716" i="93"/>
  <c r="C716" i="93"/>
  <c r="D716" i="93"/>
  <c r="E716" i="93"/>
  <c r="F716" i="93"/>
  <c r="G716" i="93"/>
  <c r="H716" i="93"/>
  <c r="A717" i="93"/>
  <c r="B717" i="93"/>
  <c r="C717" i="93"/>
  <c r="D717" i="93"/>
  <c r="E717" i="93"/>
  <c r="F717" i="93"/>
  <c r="G717" i="93"/>
  <c r="H717" i="93"/>
  <c r="A718" i="93"/>
  <c r="B718" i="93"/>
  <c r="C718" i="93"/>
  <c r="D718" i="93"/>
  <c r="E718" i="93"/>
  <c r="F718" i="93"/>
  <c r="G718" i="93"/>
  <c r="H718" i="93"/>
  <c r="A719" i="93"/>
  <c r="B719" i="93"/>
  <c r="C719" i="93"/>
  <c r="D719" i="93"/>
  <c r="E719" i="93"/>
  <c r="F719" i="93"/>
  <c r="G719" i="93"/>
  <c r="H719" i="93"/>
  <c r="A720" i="93"/>
  <c r="B720" i="93"/>
  <c r="C720" i="93"/>
  <c r="D720" i="93"/>
  <c r="E720" i="93"/>
  <c r="F720" i="93"/>
  <c r="G720" i="93"/>
  <c r="H720" i="93"/>
  <c r="A721" i="93"/>
  <c r="B721" i="93"/>
  <c r="C721" i="93"/>
  <c r="D721" i="93"/>
  <c r="E721" i="93"/>
  <c r="F721" i="93"/>
  <c r="G721" i="93"/>
  <c r="H721" i="93"/>
  <c r="A722" i="93"/>
  <c r="B722" i="93"/>
  <c r="C722" i="93"/>
  <c r="D722" i="93"/>
  <c r="E722" i="93"/>
  <c r="F722" i="93"/>
  <c r="G722" i="93"/>
  <c r="H722" i="93"/>
  <c r="A723" i="93"/>
  <c r="B723" i="93"/>
  <c r="C723" i="93"/>
  <c r="D723" i="93"/>
  <c r="E723" i="93"/>
  <c r="F723" i="93"/>
  <c r="G723" i="93"/>
  <c r="H723" i="93"/>
  <c r="A724" i="93"/>
  <c r="B724" i="93"/>
  <c r="C724" i="93"/>
  <c r="D724" i="93"/>
  <c r="E724" i="93"/>
  <c r="F724" i="93"/>
  <c r="G724" i="93"/>
  <c r="H724" i="93"/>
  <c r="A725" i="93"/>
  <c r="B725" i="93"/>
  <c r="C725" i="93"/>
  <c r="D725" i="93"/>
  <c r="E725" i="93"/>
  <c r="F725" i="93"/>
  <c r="G725" i="93"/>
  <c r="H725" i="93"/>
  <c r="A726" i="93"/>
  <c r="B726" i="93"/>
  <c r="C726" i="93"/>
  <c r="D726" i="93"/>
  <c r="E726" i="93"/>
  <c r="F726" i="93"/>
  <c r="G726" i="93"/>
  <c r="H726" i="93"/>
  <c r="A727" i="93"/>
  <c r="B727" i="93"/>
  <c r="C727" i="93"/>
  <c r="D727" i="93"/>
  <c r="E727" i="93"/>
  <c r="F727" i="93"/>
  <c r="G727" i="93"/>
  <c r="H727" i="93"/>
  <c r="A728" i="93"/>
  <c r="B728" i="93"/>
  <c r="C728" i="93"/>
  <c r="D728" i="93"/>
  <c r="E728" i="93"/>
  <c r="F728" i="93"/>
  <c r="G728" i="93"/>
  <c r="H728" i="93"/>
  <c r="A729" i="93"/>
  <c r="B729" i="93"/>
  <c r="C729" i="93"/>
  <c r="D729" i="93"/>
  <c r="E729" i="93"/>
  <c r="F729" i="93"/>
  <c r="G729" i="93"/>
  <c r="H729" i="93"/>
  <c r="B7" i="89"/>
  <c r="B8" i="89"/>
  <c r="B9" i="89"/>
  <c r="B10" i="89"/>
  <c r="B11" i="89"/>
  <c r="B12" i="89"/>
  <c r="B13" i="89"/>
  <c r="B14" i="89"/>
  <c r="B15" i="89"/>
  <c r="B16" i="89"/>
  <c r="B17" i="89"/>
  <c r="B18" i="89"/>
  <c r="B19" i="89"/>
  <c r="B20" i="89"/>
  <c r="B21" i="89"/>
  <c r="B22" i="89"/>
  <c r="B23" i="89"/>
  <c r="B24" i="89"/>
  <c r="B25" i="89"/>
  <c r="B26" i="89"/>
  <c r="B27" i="89"/>
  <c r="B28" i="89"/>
  <c r="B29" i="89"/>
  <c r="B30" i="89"/>
  <c r="B31" i="89"/>
  <c r="B32" i="89"/>
  <c r="B33" i="89"/>
  <c r="B34" i="89"/>
  <c r="B35" i="89"/>
  <c r="B36" i="89"/>
  <c r="B37" i="89"/>
  <c r="B38" i="89"/>
  <c r="B39" i="89"/>
  <c r="B40" i="89"/>
  <c r="B41" i="89"/>
  <c r="B42" i="89"/>
  <c r="B43" i="89"/>
  <c r="B44" i="89"/>
  <c r="B45" i="89"/>
  <c r="B46" i="89"/>
  <c r="B47" i="89"/>
  <c r="B48" i="89"/>
  <c r="B49" i="89"/>
  <c r="B50" i="89"/>
  <c r="B51" i="89"/>
  <c r="B52" i="89"/>
  <c r="B53" i="89"/>
  <c r="B54" i="89"/>
  <c r="B55" i="89"/>
  <c r="B56" i="89"/>
  <c r="B57" i="89"/>
  <c r="B58" i="89"/>
  <c r="B59" i="89"/>
  <c r="B60" i="89"/>
  <c r="B61" i="89"/>
  <c r="B62" i="89"/>
  <c r="B63" i="89"/>
  <c r="B64" i="89"/>
  <c r="B65" i="89"/>
  <c r="B66" i="89"/>
  <c r="B67" i="89"/>
  <c r="B68" i="89"/>
  <c r="B69" i="89"/>
  <c r="B70" i="89"/>
  <c r="B71" i="89"/>
  <c r="B72" i="89"/>
  <c r="B73" i="89"/>
  <c r="B74" i="89"/>
  <c r="B75" i="89"/>
  <c r="B76" i="89"/>
  <c r="B77" i="89"/>
  <c r="B78" i="89"/>
  <c r="B79" i="89"/>
  <c r="B80" i="89"/>
  <c r="B81" i="89"/>
  <c r="B82" i="89"/>
  <c r="B83" i="89"/>
  <c r="B84" i="89"/>
  <c r="B85" i="89"/>
  <c r="B86" i="89"/>
  <c r="B87" i="89"/>
  <c r="B88" i="89"/>
  <c r="B89" i="89"/>
  <c r="B90" i="89"/>
  <c r="B91" i="89"/>
  <c r="B92" i="89"/>
  <c r="B93" i="89"/>
  <c r="B94" i="89"/>
  <c r="B95" i="89"/>
  <c r="B96" i="89"/>
  <c r="B97" i="89"/>
  <c r="B98" i="89"/>
  <c r="B99" i="89"/>
  <c r="B100" i="89"/>
  <c r="B101" i="89"/>
  <c r="B102" i="89"/>
  <c r="B103" i="89"/>
  <c r="B104" i="89"/>
  <c r="B105" i="89"/>
  <c r="B106" i="89"/>
  <c r="B107" i="89"/>
  <c r="B108" i="89"/>
  <c r="B109" i="89"/>
  <c r="B110" i="89"/>
  <c r="B111" i="89"/>
  <c r="B112" i="89"/>
  <c r="B113" i="89"/>
  <c r="B114" i="89"/>
  <c r="B115" i="89"/>
  <c r="B116" i="89"/>
  <c r="B117" i="89"/>
  <c r="B118" i="89"/>
  <c r="B119" i="89"/>
  <c r="B120" i="89"/>
  <c r="B121" i="89"/>
  <c r="B122" i="89"/>
  <c r="B123" i="89"/>
  <c r="B124" i="89"/>
  <c r="B125" i="89"/>
  <c r="B126" i="89"/>
  <c r="B127" i="89"/>
  <c r="B128" i="89"/>
  <c r="B129" i="89"/>
  <c r="B130" i="89"/>
  <c r="B131" i="89"/>
  <c r="B132" i="89"/>
  <c r="B6" i="89"/>
  <c r="M7" i="89"/>
  <c r="M6" i="89"/>
  <c r="AF5" i="82"/>
  <c r="B8" i="79"/>
  <c r="AB203" i="74" l="1"/>
  <c r="AB204" i="74"/>
  <c r="D121" i="89"/>
  <c r="D120" i="89"/>
  <c r="D131" i="89"/>
  <c r="D132" i="89"/>
  <c r="D130" i="89"/>
  <c r="D129" i="89"/>
  <c r="D127" i="89"/>
  <c r="D128" i="89"/>
  <c r="D125" i="89"/>
  <c r="D126" i="89"/>
  <c r="D124" i="89"/>
  <c r="D123" i="89"/>
  <c r="D122" i="89"/>
  <c r="AA202" i="74"/>
  <c r="AA201" i="74"/>
  <c r="P202" i="74"/>
  <c r="D11" i="69"/>
  <c r="AB202" i="74" l="1"/>
  <c r="P201" i="74"/>
  <c r="AB201" i="74" s="1"/>
  <c r="P200" i="74"/>
  <c r="AA200" i="74"/>
  <c r="AB200" i="74" l="1"/>
  <c r="AM19" i="89"/>
  <c r="O7" i="89"/>
  <c r="D119" i="89"/>
  <c r="D116" i="89"/>
  <c r="D115" i="89"/>
  <c r="D117" i="89"/>
  <c r="D114" i="89"/>
  <c r="D113" i="89"/>
  <c r="X5" i="91"/>
  <c r="X6" i="91"/>
  <c r="D118" i="89" l="1"/>
  <c r="AA199" i="74" l="1"/>
  <c r="AA198" i="74"/>
  <c r="P199" i="74"/>
  <c r="P198" i="74"/>
  <c r="AA197" i="74"/>
  <c r="P197" i="74"/>
  <c r="P3" i="74"/>
  <c r="P4" i="74"/>
  <c r="P5" i="74"/>
  <c r="P6" i="74"/>
  <c r="P7" i="74"/>
  <c r="P8" i="74"/>
  <c r="P9" i="74"/>
  <c r="P10" i="74"/>
  <c r="P11" i="74"/>
  <c r="P12" i="74"/>
  <c r="P13" i="74"/>
  <c r="P14" i="74"/>
  <c r="P15" i="74"/>
  <c r="P16" i="74"/>
  <c r="P17" i="74"/>
  <c r="P18" i="74"/>
  <c r="P19" i="74"/>
  <c r="P20" i="74"/>
  <c r="P21" i="74"/>
  <c r="P22" i="74"/>
  <c r="P23" i="74"/>
  <c r="P24" i="74"/>
  <c r="P25" i="74"/>
  <c r="P26" i="74"/>
  <c r="P27" i="74"/>
  <c r="P28" i="74"/>
  <c r="P29" i="74"/>
  <c r="P30" i="74"/>
  <c r="P31" i="74"/>
  <c r="P32" i="74"/>
  <c r="P33" i="74"/>
  <c r="P34" i="74"/>
  <c r="P35" i="74"/>
  <c r="P36" i="74"/>
  <c r="P37" i="74"/>
  <c r="P38" i="74"/>
  <c r="P39" i="74"/>
  <c r="P40" i="74"/>
  <c r="P41" i="74"/>
  <c r="P42" i="74"/>
  <c r="P43" i="74"/>
  <c r="P44" i="74"/>
  <c r="P45" i="74"/>
  <c r="P46" i="74"/>
  <c r="P47" i="74"/>
  <c r="P48" i="74"/>
  <c r="P49" i="74"/>
  <c r="P50" i="74"/>
  <c r="P51" i="74"/>
  <c r="P52" i="74"/>
  <c r="P53" i="74"/>
  <c r="P54" i="74"/>
  <c r="P55" i="74"/>
  <c r="P56" i="74"/>
  <c r="P57" i="74"/>
  <c r="P58" i="74"/>
  <c r="P59" i="74"/>
  <c r="P60" i="74"/>
  <c r="P61" i="74"/>
  <c r="P62" i="74"/>
  <c r="P63" i="74"/>
  <c r="P64" i="74"/>
  <c r="P65" i="74"/>
  <c r="P66" i="74"/>
  <c r="P67" i="74"/>
  <c r="P68" i="74"/>
  <c r="P69" i="74"/>
  <c r="P70" i="74"/>
  <c r="P71" i="74"/>
  <c r="P72" i="74"/>
  <c r="P73" i="74"/>
  <c r="P74" i="74"/>
  <c r="P75" i="74"/>
  <c r="P76" i="74"/>
  <c r="P77" i="74"/>
  <c r="P78" i="74"/>
  <c r="P79" i="74"/>
  <c r="P80" i="74"/>
  <c r="P81" i="74"/>
  <c r="P82" i="74"/>
  <c r="P83" i="74"/>
  <c r="P84" i="74"/>
  <c r="P85" i="74"/>
  <c r="P86" i="74"/>
  <c r="P87" i="74"/>
  <c r="P88" i="74"/>
  <c r="P89" i="74"/>
  <c r="P90" i="74"/>
  <c r="P91" i="74"/>
  <c r="P92" i="74"/>
  <c r="P93" i="74"/>
  <c r="P94" i="74"/>
  <c r="P95" i="74"/>
  <c r="P96" i="74"/>
  <c r="P97" i="74"/>
  <c r="P98" i="74"/>
  <c r="P99" i="74"/>
  <c r="P100" i="74"/>
  <c r="P101" i="74"/>
  <c r="P102" i="74"/>
  <c r="P103" i="74"/>
  <c r="P104" i="74"/>
  <c r="P105" i="74"/>
  <c r="P106" i="74"/>
  <c r="P107" i="74"/>
  <c r="P108" i="74"/>
  <c r="P109" i="74"/>
  <c r="P110" i="74"/>
  <c r="P111" i="74"/>
  <c r="P112" i="74"/>
  <c r="P113" i="74"/>
  <c r="P114" i="74"/>
  <c r="P115" i="74"/>
  <c r="P116" i="74"/>
  <c r="P117" i="74"/>
  <c r="P118" i="74"/>
  <c r="P119" i="74"/>
  <c r="P120" i="74"/>
  <c r="P121" i="74"/>
  <c r="P122" i="74"/>
  <c r="P123" i="74"/>
  <c r="P124" i="74"/>
  <c r="P125" i="74"/>
  <c r="P126" i="74"/>
  <c r="P127" i="74"/>
  <c r="P128" i="74"/>
  <c r="P129" i="74"/>
  <c r="P130" i="74"/>
  <c r="P131" i="74"/>
  <c r="P132" i="74"/>
  <c r="P133" i="74"/>
  <c r="P134" i="74"/>
  <c r="P135" i="74"/>
  <c r="P136" i="74"/>
  <c r="P137" i="74"/>
  <c r="P138" i="74"/>
  <c r="P139" i="74"/>
  <c r="P140" i="74"/>
  <c r="P141" i="74"/>
  <c r="P142" i="74"/>
  <c r="P143" i="74"/>
  <c r="P145" i="74"/>
  <c r="P146" i="74"/>
  <c r="P147" i="74"/>
  <c r="P148" i="74"/>
  <c r="P149" i="74"/>
  <c r="P150" i="74"/>
  <c r="P151" i="74"/>
  <c r="P152" i="74"/>
  <c r="P153" i="74"/>
  <c r="P154" i="74"/>
  <c r="P155" i="74"/>
  <c r="P156" i="74"/>
  <c r="P157" i="74"/>
  <c r="P158" i="74"/>
  <c r="P159" i="74"/>
  <c r="P160" i="74"/>
  <c r="P161" i="74"/>
  <c r="P162" i="74"/>
  <c r="P163" i="74"/>
  <c r="P164" i="74"/>
  <c r="P165" i="74"/>
  <c r="P166" i="74"/>
  <c r="P167" i="74"/>
  <c r="P168" i="74"/>
  <c r="P169" i="74"/>
  <c r="P170" i="74"/>
  <c r="P171" i="74"/>
  <c r="P172" i="74"/>
  <c r="P173" i="74"/>
  <c r="P174" i="74"/>
  <c r="P175" i="74"/>
  <c r="P176" i="74"/>
  <c r="P177" i="74"/>
  <c r="P178" i="74"/>
  <c r="P179" i="74"/>
  <c r="P180" i="74"/>
  <c r="P181" i="74"/>
  <c r="P182" i="74"/>
  <c r="P183" i="74"/>
  <c r="P184" i="74"/>
  <c r="P185" i="74"/>
  <c r="P186" i="74"/>
  <c r="P187" i="74"/>
  <c r="P188" i="74"/>
  <c r="P189" i="74"/>
  <c r="P190" i="74"/>
  <c r="P191" i="74"/>
  <c r="P192" i="74"/>
  <c r="P193" i="74"/>
  <c r="P194" i="74"/>
  <c r="P195" i="74"/>
  <c r="P196" i="74"/>
  <c r="AA196" i="74"/>
  <c r="AA195" i="74"/>
  <c r="AM18" i="89"/>
  <c r="AM15" i="89"/>
  <c r="AM16" i="89"/>
  <c r="AM17" i="89"/>
  <c r="AM14" i="89"/>
  <c r="O6" i="89"/>
  <c r="D74" i="89"/>
  <c r="D73" i="89"/>
  <c r="D72" i="89"/>
  <c r="D71" i="89"/>
  <c r="D70" i="89"/>
  <c r="D69" i="89"/>
  <c r="D68" i="89"/>
  <c r="D67" i="89"/>
  <c r="D66" i="89"/>
  <c r="D111" i="89"/>
  <c r="D112" i="89"/>
  <c r="D109" i="89"/>
  <c r="D110" i="89"/>
  <c r="D107" i="89"/>
  <c r="D108" i="89"/>
  <c r="D106" i="89"/>
  <c r="D105" i="89"/>
  <c r="D103" i="89"/>
  <c r="D104" i="89"/>
  <c r="D101" i="89"/>
  <c r="D102" i="89"/>
  <c r="D99" i="89"/>
  <c r="D100" i="89"/>
  <c r="D96" i="89"/>
  <c r="D98" i="89"/>
  <c r="D95" i="89"/>
  <c r="D97" i="89"/>
  <c r="D93" i="89"/>
  <c r="D94" i="89"/>
  <c r="D90" i="89"/>
  <c r="D91" i="89"/>
  <c r="D92" i="89"/>
  <c r="D88" i="89"/>
  <c r="D89" i="89"/>
  <c r="D86" i="89"/>
  <c r="D87" i="89"/>
  <c r="D85" i="89"/>
  <c r="D83" i="89"/>
  <c r="D81" i="89"/>
  <c r="D82" i="89"/>
  <c r="D84" i="89"/>
  <c r="AA194" i="74"/>
  <c r="AA193" i="74"/>
  <c r="Q115" i="81"/>
  <c r="R115" i="81"/>
  <c r="S115" i="81"/>
  <c r="T115" i="81"/>
  <c r="Q114" i="81"/>
  <c r="R114" i="81"/>
  <c r="S114" i="81"/>
  <c r="T114" i="81"/>
  <c r="Q113" i="81"/>
  <c r="R113" i="81"/>
  <c r="S113" i="81"/>
  <c r="T113" i="81"/>
  <c r="S237" i="87"/>
  <c r="M237" i="87"/>
  <c r="L237" i="87"/>
  <c r="K237" i="87"/>
  <c r="J237" i="87"/>
  <c r="I237" i="87"/>
  <c r="S236" i="87"/>
  <c r="N236" i="87"/>
  <c r="S235" i="87"/>
  <c r="N235" i="87"/>
  <c r="S234" i="87"/>
  <c r="N234" i="87"/>
  <c r="S233" i="87"/>
  <c r="N233" i="87"/>
  <c r="S232" i="87"/>
  <c r="N232" i="87"/>
  <c r="S231" i="87"/>
  <c r="N231" i="87"/>
  <c r="S230" i="87"/>
  <c r="N230" i="87"/>
  <c r="S229" i="87"/>
  <c r="N229" i="87"/>
  <c r="S228" i="87"/>
  <c r="N228" i="87"/>
  <c r="S227" i="87"/>
  <c r="N227" i="87"/>
  <c r="S226" i="87"/>
  <c r="N226" i="87"/>
  <c r="S225" i="87"/>
  <c r="N225" i="87"/>
  <c r="S224" i="87"/>
  <c r="M224" i="87"/>
  <c r="L224" i="87"/>
  <c r="K224" i="87"/>
  <c r="J224" i="87"/>
  <c r="I224" i="87"/>
  <c r="S223" i="87"/>
  <c r="N223" i="87"/>
  <c r="S222" i="87"/>
  <c r="N222" i="87"/>
  <c r="S221" i="87"/>
  <c r="N221" i="87"/>
  <c r="S220" i="87"/>
  <c r="N220" i="87"/>
  <c r="S219" i="87"/>
  <c r="N219" i="87"/>
  <c r="S218" i="87"/>
  <c r="N218" i="87"/>
  <c r="S217" i="87"/>
  <c r="N217" i="87"/>
  <c r="S216" i="87"/>
  <c r="N216" i="87"/>
  <c r="S215" i="87"/>
  <c r="N215" i="87"/>
  <c r="S214" i="87"/>
  <c r="N214" i="87"/>
  <c r="S213" i="87"/>
  <c r="N213" i="87"/>
  <c r="S212" i="87"/>
  <c r="N212" i="87"/>
  <c r="S211" i="87"/>
  <c r="M211" i="87"/>
  <c r="L211" i="87"/>
  <c r="K211" i="87"/>
  <c r="J211" i="87"/>
  <c r="I211" i="87"/>
  <c r="S210" i="87"/>
  <c r="N210" i="87"/>
  <c r="S209" i="87"/>
  <c r="N209" i="87"/>
  <c r="S208" i="87"/>
  <c r="N208" i="87"/>
  <c r="S207" i="87"/>
  <c r="N207" i="87"/>
  <c r="S206" i="87"/>
  <c r="N206" i="87"/>
  <c r="S205" i="87"/>
  <c r="N205" i="87"/>
  <c r="S204" i="87"/>
  <c r="N204" i="87"/>
  <c r="S203" i="87"/>
  <c r="N203" i="87"/>
  <c r="S202" i="87"/>
  <c r="N202" i="87"/>
  <c r="S201" i="87"/>
  <c r="N201" i="87"/>
  <c r="S200" i="87"/>
  <c r="N200" i="87"/>
  <c r="S199" i="87"/>
  <c r="N199" i="87"/>
  <c r="S198" i="87"/>
  <c r="M198" i="87"/>
  <c r="L198" i="87"/>
  <c r="K198" i="87"/>
  <c r="J198" i="87"/>
  <c r="I198" i="87"/>
  <c r="S197" i="87"/>
  <c r="N197" i="87"/>
  <c r="S196" i="87"/>
  <c r="N196" i="87"/>
  <c r="S195" i="87"/>
  <c r="N195" i="87"/>
  <c r="S194" i="87"/>
  <c r="N194" i="87"/>
  <c r="S193" i="87"/>
  <c r="N193" i="87"/>
  <c r="S192" i="87"/>
  <c r="N192" i="87"/>
  <c r="S191" i="87"/>
  <c r="N191" i="87"/>
  <c r="S190" i="87"/>
  <c r="N190" i="87"/>
  <c r="S189" i="87"/>
  <c r="N189" i="87"/>
  <c r="S188" i="87"/>
  <c r="N188" i="87"/>
  <c r="S187" i="87"/>
  <c r="N187" i="87"/>
  <c r="S186" i="87"/>
  <c r="N186" i="87"/>
  <c r="N173" i="87"/>
  <c r="S173" i="87"/>
  <c r="N174" i="87"/>
  <c r="S174" i="87"/>
  <c r="N175" i="87"/>
  <c r="S175" i="87"/>
  <c r="N176" i="87"/>
  <c r="S176" i="87"/>
  <c r="N177" i="87"/>
  <c r="S177" i="87"/>
  <c r="N178" i="87"/>
  <c r="S178" i="87"/>
  <c r="N179" i="87"/>
  <c r="S179" i="87"/>
  <c r="N180" i="87"/>
  <c r="S180" i="87"/>
  <c r="N181" i="87"/>
  <c r="S181" i="87"/>
  <c r="N182" i="87"/>
  <c r="S182" i="87"/>
  <c r="N183" i="87"/>
  <c r="S183" i="87"/>
  <c r="N184" i="87"/>
  <c r="S184" i="87"/>
  <c r="I185" i="87"/>
  <c r="J185" i="87"/>
  <c r="K185" i="87"/>
  <c r="L185" i="87"/>
  <c r="M185" i="87"/>
  <c r="S185" i="87"/>
  <c r="B19" i="69"/>
  <c r="F5" i="69"/>
  <c r="AA192" i="74"/>
  <c r="D12" i="69"/>
  <c r="D13" i="69" s="1"/>
  <c r="D14" i="69" s="1"/>
  <c r="AA191" i="74"/>
  <c r="AA190" i="74"/>
  <c r="AC1" i="74"/>
  <c r="AA187" i="74"/>
  <c r="AA188" i="74"/>
  <c r="AA189" i="74"/>
  <c r="Q112" i="81"/>
  <c r="R112" i="81"/>
  <c r="S112" i="81"/>
  <c r="T112" i="81"/>
  <c r="Q111" i="81"/>
  <c r="R111" i="81"/>
  <c r="S111" i="81"/>
  <c r="T111" i="81"/>
  <c r="AA186" i="74"/>
  <c r="AA185" i="74"/>
  <c r="AB198" i="74" l="1"/>
  <c r="AB195" i="74"/>
  <c r="AB197" i="74"/>
  <c r="AB199" i="74"/>
  <c r="AB196" i="74"/>
  <c r="AB193" i="74"/>
  <c r="AB194" i="74"/>
  <c r="N198" i="87"/>
  <c r="N237" i="87"/>
  <c r="N211" i="87"/>
  <c r="N224" i="87"/>
  <c r="AB188" i="74"/>
  <c r="N185" i="87"/>
  <c r="AB192" i="74"/>
  <c r="D15" i="69"/>
  <c r="B20" i="69" s="1"/>
  <c r="AB190" i="74"/>
  <c r="AB191" i="74"/>
  <c r="AB189" i="74"/>
  <c r="AB187" i="74"/>
  <c r="AB186" i="74"/>
  <c r="AB185" i="74"/>
  <c r="D79" i="89" l="1"/>
  <c r="D80" i="89"/>
  <c r="D78" i="89"/>
  <c r="V106" i="82"/>
  <c r="X106" i="82"/>
  <c r="W106" i="82"/>
  <c r="V105" i="82"/>
  <c r="L106" i="82"/>
  <c r="M106" i="82"/>
  <c r="M107" i="82"/>
  <c r="M108" i="82"/>
  <c r="M109" i="82"/>
  <c r="M110" i="82"/>
  <c r="M111" i="82"/>
  <c r="M112" i="82"/>
  <c r="M113" i="82"/>
  <c r="M114" i="82"/>
  <c r="M115" i="82"/>
  <c r="M116" i="82"/>
  <c r="M117" i="82"/>
  <c r="M118" i="82"/>
  <c r="M119" i="82"/>
  <c r="M120" i="82"/>
  <c r="M121" i="82"/>
  <c r="M122" i="82"/>
  <c r="M123" i="82"/>
  <c r="M124" i="82"/>
  <c r="M125" i="82"/>
  <c r="M126" i="82"/>
  <c r="M127" i="82"/>
  <c r="M128" i="82"/>
  <c r="M129" i="82"/>
  <c r="M130" i="82"/>
  <c r="M131" i="82"/>
  <c r="M132" i="82"/>
  <c r="M133" i="82"/>
  <c r="M134" i="82"/>
  <c r="M135" i="82"/>
  <c r="M136" i="82"/>
  <c r="M137" i="82"/>
  <c r="M138" i="82"/>
  <c r="M139" i="82"/>
  <c r="M140" i="82"/>
  <c r="M141" i="82"/>
  <c r="M142" i="82"/>
  <c r="M143" i="82"/>
  <c r="M144" i="82"/>
  <c r="M145" i="82"/>
  <c r="M146" i="82"/>
  <c r="M147" i="82"/>
  <c r="M148" i="82"/>
  <c r="M149" i="82"/>
  <c r="M150" i="82"/>
  <c r="M151" i="82"/>
  <c r="M152" i="82"/>
  <c r="M153" i="82"/>
  <c r="M154" i="82"/>
  <c r="M155" i="82"/>
  <c r="M156" i="82"/>
  <c r="M157" i="82"/>
  <c r="M158" i="82"/>
  <c r="M159" i="82"/>
  <c r="M160" i="82"/>
  <c r="M161" i="82"/>
  <c r="M162" i="82"/>
  <c r="M163" i="82"/>
  <c r="M164" i="82"/>
  <c r="M165" i="82"/>
  <c r="M166" i="82"/>
  <c r="M167" i="82"/>
  <c r="M168" i="82"/>
  <c r="M169" i="82"/>
  <c r="M170" i="82"/>
  <c r="M171" i="82"/>
  <c r="M172" i="82"/>
  <c r="M173" i="82"/>
  <c r="M174" i="82"/>
  <c r="M175" i="82"/>
  <c r="M176" i="82"/>
  <c r="M177" i="82"/>
  <c r="M178" i="82"/>
  <c r="M179" i="82"/>
  <c r="M180" i="82"/>
  <c r="M181" i="82"/>
  <c r="M182" i="82"/>
  <c r="M183" i="82"/>
  <c r="M184" i="82"/>
  <c r="M185" i="82"/>
  <c r="M186" i="82"/>
  <c r="M187" i="82"/>
  <c r="M188" i="82"/>
  <c r="M189" i="82"/>
  <c r="M190" i="82"/>
  <c r="M191" i="82"/>
  <c r="M192" i="82"/>
  <c r="M193" i="82"/>
  <c r="M194" i="82"/>
  <c r="M195" i="82"/>
  <c r="M196" i="82"/>
  <c r="M197" i="82"/>
  <c r="M198" i="82"/>
  <c r="M199" i="82"/>
  <c r="M200" i="82"/>
  <c r="M201" i="82"/>
  <c r="M202" i="82"/>
  <c r="M203" i="82"/>
  <c r="M204" i="82"/>
  <c r="M205" i="82"/>
  <c r="M206" i="82"/>
  <c r="M207" i="82"/>
  <c r="M208" i="82"/>
  <c r="M209" i="82"/>
  <c r="M210" i="82"/>
  <c r="M211" i="82"/>
  <c r="M212" i="82"/>
  <c r="M213" i="82"/>
  <c r="M214" i="82"/>
  <c r="M215" i="82"/>
  <c r="M216" i="82"/>
  <c r="M217" i="82"/>
  <c r="M218" i="82"/>
  <c r="M219" i="82"/>
  <c r="M220" i="82"/>
  <c r="M221" i="82"/>
  <c r="M222" i="82"/>
  <c r="M223" i="82"/>
  <c r="M224" i="82"/>
  <c r="M225" i="82"/>
  <c r="M226" i="82"/>
  <c r="M227" i="82"/>
  <c r="M228" i="82"/>
  <c r="M229" i="82"/>
  <c r="M230" i="82"/>
  <c r="M231" i="82"/>
  <c r="M232" i="82"/>
  <c r="M233" i="82"/>
  <c r="M234" i="82"/>
  <c r="M235" i="82"/>
  <c r="M236" i="82"/>
  <c r="M237" i="82"/>
  <c r="M238" i="82"/>
  <c r="M239" i="82"/>
  <c r="M240" i="82"/>
  <c r="M241" i="82"/>
  <c r="M242" i="82"/>
  <c r="M243" i="82"/>
  <c r="M244" i="82"/>
  <c r="M245" i="82"/>
  <c r="M246" i="82"/>
  <c r="M247" i="82"/>
  <c r="M248" i="82"/>
  <c r="M249" i="82"/>
  <c r="M250" i="82"/>
  <c r="M251" i="82"/>
  <c r="M252" i="82"/>
  <c r="M253" i="82"/>
  <c r="M254" i="82"/>
  <c r="M255" i="82"/>
  <c r="M256" i="82"/>
  <c r="M257" i="82"/>
  <c r="M258" i="82"/>
  <c r="M259" i="82"/>
  <c r="M260" i="82"/>
  <c r="M261" i="82"/>
  <c r="M262" i="82"/>
  <c r="M263" i="82"/>
  <c r="M264" i="82"/>
  <c r="M265" i="82"/>
  <c r="M266" i="82"/>
  <c r="M267" i="82"/>
  <c r="M268" i="82"/>
  <c r="M269" i="82"/>
  <c r="M270" i="82"/>
  <c r="M271" i="82"/>
  <c r="M272" i="82"/>
  <c r="M273" i="82"/>
  <c r="M274" i="82"/>
  <c r="M275" i="82"/>
  <c r="M276" i="82"/>
  <c r="M277" i="82"/>
  <c r="M278" i="82"/>
  <c r="M279" i="82"/>
  <c r="M280" i="82"/>
  <c r="M281" i="82"/>
  <c r="M282" i="82"/>
  <c r="M283" i="82"/>
  <c r="M284" i="82"/>
  <c r="M285" i="82"/>
  <c r="M286" i="82"/>
  <c r="M287" i="82"/>
  <c r="M288" i="82"/>
  <c r="M289" i="82"/>
  <c r="M290" i="82"/>
  <c r="M291" i="82"/>
  <c r="M292" i="82"/>
  <c r="M293" i="82"/>
  <c r="M294" i="82"/>
  <c r="M295" i="82"/>
  <c r="M296" i="82"/>
  <c r="M297" i="82"/>
  <c r="M298" i="82"/>
  <c r="M299" i="82"/>
  <c r="M300" i="82"/>
  <c r="M301" i="82"/>
  <c r="M302" i="82"/>
  <c r="M303" i="82"/>
  <c r="M304" i="82"/>
  <c r="M305" i="82"/>
  <c r="M306" i="82"/>
  <c r="M307" i="82"/>
  <c r="M308" i="82"/>
  <c r="M309" i="82"/>
  <c r="M310" i="82"/>
  <c r="M311" i="82"/>
  <c r="M312" i="82"/>
  <c r="M313" i="82"/>
  <c r="M314" i="82"/>
  <c r="M315" i="82"/>
  <c r="M316" i="82"/>
  <c r="M317" i="82"/>
  <c r="M318" i="82"/>
  <c r="M319" i="82"/>
  <c r="M320" i="82"/>
  <c r="M321" i="82"/>
  <c r="M322" i="82"/>
  <c r="M323" i="82"/>
  <c r="M324" i="82"/>
  <c r="M325" i="82"/>
  <c r="M326" i="82"/>
  <c r="M327" i="82"/>
  <c r="M328" i="82"/>
  <c r="M329" i="82"/>
  <c r="M330" i="82"/>
  <c r="M331" i="82"/>
  <c r="M332" i="82"/>
  <c r="M333" i="82"/>
  <c r="M334" i="82"/>
  <c r="M335" i="82"/>
  <c r="M336" i="82"/>
  <c r="M337" i="82"/>
  <c r="M338" i="82"/>
  <c r="M339" i="82"/>
  <c r="M340" i="82"/>
  <c r="M341" i="82"/>
  <c r="M342" i="82"/>
  <c r="M343" i="82"/>
  <c r="M344" i="82"/>
  <c r="M345" i="82"/>
  <c r="M346" i="82"/>
  <c r="M347" i="82"/>
  <c r="M348" i="82"/>
  <c r="M349" i="82"/>
  <c r="M350" i="82"/>
  <c r="M351" i="82"/>
  <c r="M352" i="82"/>
  <c r="M353" i="82"/>
  <c r="M354" i="82"/>
  <c r="M355" i="82"/>
  <c r="M356" i="82"/>
  <c r="M357" i="82"/>
  <c r="M358" i="82"/>
  <c r="M359" i="82"/>
  <c r="M360" i="82"/>
  <c r="M361" i="82"/>
  <c r="M362" i="82"/>
  <c r="M363" i="82"/>
  <c r="M364" i="82"/>
  <c r="M365" i="82"/>
  <c r="M366" i="82"/>
  <c r="M367" i="82"/>
  <c r="M368" i="82"/>
  <c r="M369" i="82"/>
  <c r="M370" i="82"/>
  <c r="M371" i="82"/>
  <c r="M372" i="82"/>
  <c r="M373" i="82"/>
  <c r="M3" i="81"/>
  <c r="N3" i="81"/>
  <c r="O3" i="81"/>
  <c r="K3" i="81"/>
  <c r="Q110" i="81"/>
  <c r="R110" i="81"/>
  <c r="S110" i="81"/>
  <c r="T110" i="81"/>
  <c r="Q109" i="81"/>
  <c r="R109" i="81"/>
  <c r="S109" i="81"/>
  <c r="T109" i="81"/>
  <c r="Q108" i="81"/>
  <c r="R108" i="81"/>
  <c r="S108" i="81"/>
  <c r="T108" i="81"/>
  <c r="AA184" i="74"/>
  <c r="AA183" i="74"/>
  <c r="AA182" i="74"/>
  <c r="D76" i="89"/>
  <c r="D77" i="89"/>
  <c r="D75" i="89"/>
  <c r="D42" i="89"/>
  <c r="Y106" i="82" l="1"/>
  <c r="AB184" i="74"/>
  <c r="AB183" i="74"/>
  <c r="AB182" i="74"/>
  <c r="Q107" i="81"/>
  <c r="R107" i="81"/>
  <c r="S107" i="81"/>
  <c r="T107" i="81"/>
  <c r="Q106" i="81"/>
  <c r="R106" i="81"/>
  <c r="S106" i="81"/>
  <c r="T106" i="81"/>
  <c r="Q105" i="81"/>
  <c r="R105" i="81"/>
  <c r="S105" i="81"/>
  <c r="T105" i="81"/>
  <c r="Q104" i="81"/>
  <c r="R104" i="81"/>
  <c r="S104" i="81"/>
  <c r="T104" i="81"/>
  <c r="AA181" i="74" l="1"/>
  <c r="AA180" i="74"/>
  <c r="AA179" i="74"/>
  <c r="AB179" i="74" l="1"/>
  <c r="AB180" i="74"/>
  <c r="AB181" i="74"/>
  <c r="AA174" i="74"/>
  <c r="AB174" i="74" l="1"/>
  <c r="AA178" i="74"/>
  <c r="AA177" i="74"/>
  <c r="AB177" i="74" l="1"/>
  <c r="AB178" i="74"/>
  <c r="AA176" i="74"/>
  <c r="AB176" i="74" l="1"/>
  <c r="AS18" i="87"/>
  <c r="AS19" i="87"/>
  <c r="N161" i="87"/>
  <c r="N162" i="87"/>
  <c r="N163" i="87"/>
  <c r="N164" i="87"/>
  <c r="N165" i="87"/>
  <c r="N166" i="87"/>
  <c r="N167" i="87"/>
  <c r="N168" i="87"/>
  <c r="N169" i="87"/>
  <c r="N170" i="87"/>
  <c r="N171" i="87"/>
  <c r="N160" i="87"/>
  <c r="S160" i="87"/>
  <c r="S161" i="87"/>
  <c r="S162" i="87"/>
  <c r="S163" i="87"/>
  <c r="S164" i="87"/>
  <c r="S165" i="87"/>
  <c r="S166" i="87"/>
  <c r="S167" i="87"/>
  <c r="S168" i="87"/>
  <c r="S169" i="87"/>
  <c r="S170" i="87"/>
  <c r="S171" i="87"/>
  <c r="S172" i="87"/>
  <c r="M172" i="87"/>
  <c r="L172" i="87"/>
  <c r="K172" i="87"/>
  <c r="J172" i="87"/>
  <c r="I172" i="87"/>
  <c r="CT13" i="81"/>
  <c r="CU13" i="81"/>
  <c r="CV13" i="81"/>
  <c r="CW13" i="81"/>
  <c r="CX13" i="81"/>
  <c r="CY13" i="81"/>
  <c r="CZ13" i="81"/>
  <c r="DA13" i="81"/>
  <c r="DB13" i="81"/>
  <c r="DC13" i="81"/>
  <c r="DD13" i="81"/>
  <c r="DE13" i="81"/>
  <c r="DF13" i="81"/>
  <c r="CT14" i="81"/>
  <c r="CU14" i="81"/>
  <c r="CV14" i="81"/>
  <c r="CW14" i="81"/>
  <c r="CX14" i="81"/>
  <c r="CY14" i="81"/>
  <c r="CZ14" i="81"/>
  <c r="DA14" i="81"/>
  <c r="DB14" i="81"/>
  <c r="DC14" i="81"/>
  <c r="DD14" i="81"/>
  <c r="DE14" i="81"/>
  <c r="DF14" i="81"/>
  <c r="CT15" i="81"/>
  <c r="CU15" i="81"/>
  <c r="CV15" i="81"/>
  <c r="CW15" i="81"/>
  <c r="CX15" i="81"/>
  <c r="CY15" i="81"/>
  <c r="CZ15" i="81"/>
  <c r="DA15" i="81"/>
  <c r="DB15" i="81"/>
  <c r="DC15" i="81"/>
  <c r="DD15" i="81"/>
  <c r="DE15" i="81"/>
  <c r="DF15" i="81"/>
  <c r="CS15" i="81"/>
  <c r="CS14" i="81"/>
  <c r="W100" i="82"/>
  <c r="AA175" i="74"/>
  <c r="V159" i="82"/>
  <c r="W159" i="82"/>
  <c r="X159" i="82"/>
  <c r="V160" i="82"/>
  <c r="W160" i="82"/>
  <c r="X160" i="82"/>
  <c r="V161" i="82"/>
  <c r="Y161" i="82" s="1"/>
  <c r="W161" i="82"/>
  <c r="X161" i="82"/>
  <c r="V162" i="82"/>
  <c r="W162" i="82"/>
  <c r="X162" i="82"/>
  <c r="V163" i="82"/>
  <c r="W163" i="82"/>
  <c r="X163" i="82"/>
  <c r="V164" i="82"/>
  <c r="W164" i="82"/>
  <c r="X164" i="82"/>
  <c r="V165" i="82"/>
  <c r="Y165" i="82" s="1"/>
  <c r="W165" i="82"/>
  <c r="X165" i="82"/>
  <c r="V166" i="82"/>
  <c r="W166" i="82"/>
  <c r="X166" i="82"/>
  <c r="V167" i="82"/>
  <c r="W167" i="82"/>
  <c r="X167" i="82"/>
  <c r="V168" i="82"/>
  <c r="W168" i="82"/>
  <c r="X168" i="82"/>
  <c r="V169" i="82"/>
  <c r="Y169" i="82" s="1"/>
  <c r="W169" i="82"/>
  <c r="X169" i="82"/>
  <c r="V170" i="82"/>
  <c r="W170" i="82"/>
  <c r="X170" i="82"/>
  <c r="V171" i="82"/>
  <c r="W171" i="82"/>
  <c r="X171" i="82"/>
  <c r="V172" i="82"/>
  <c r="W172" i="82"/>
  <c r="X172" i="82"/>
  <c r="V173" i="82"/>
  <c r="Y173" i="82" s="1"/>
  <c r="W173" i="82"/>
  <c r="X173" i="82"/>
  <c r="V174" i="82"/>
  <c r="W174" i="82"/>
  <c r="X174" i="82"/>
  <c r="V175" i="82"/>
  <c r="W175" i="82"/>
  <c r="X175" i="82"/>
  <c r="V176" i="82"/>
  <c r="W176" i="82"/>
  <c r="X176" i="82"/>
  <c r="V177" i="82"/>
  <c r="Y177" i="82" s="1"/>
  <c r="W177" i="82"/>
  <c r="X177" i="82"/>
  <c r="V178" i="82"/>
  <c r="W178" i="82"/>
  <c r="X178" i="82"/>
  <c r="V179" i="82"/>
  <c r="W179" i="82"/>
  <c r="X179" i="82"/>
  <c r="V180" i="82"/>
  <c r="W180" i="82"/>
  <c r="X180" i="82"/>
  <c r="V181" i="82"/>
  <c r="Y181" i="82" s="1"/>
  <c r="W181" i="82"/>
  <c r="X181" i="82"/>
  <c r="V182" i="82"/>
  <c r="W182" i="82"/>
  <c r="X182" i="82"/>
  <c r="V183" i="82"/>
  <c r="W183" i="82"/>
  <c r="X183" i="82"/>
  <c r="V184" i="82"/>
  <c r="W184" i="82"/>
  <c r="X184" i="82"/>
  <c r="V185" i="82"/>
  <c r="Y185" i="82" s="1"/>
  <c r="W185" i="82"/>
  <c r="X185" i="82"/>
  <c r="V186" i="82"/>
  <c r="W186" i="82"/>
  <c r="X186" i="82"/>
  <c r="V187" i="82"/>
  <c r="W187" i="82"/>
  <c r="X187" i="82"/>
  <c r="V188" i="82"/>
  <c r="W188" i="82"/>
  <c r="X188" i="82"/>
  <c r="V189" i="82"/>
  <c r="Y189" i="82" s="1"/>
  <c r="W189" i="82"/>
  <c r="X189" i="82"/>
  <c r="V190" i="82"/>
  <c r="W190" i="82"/>
  <c r="X190" i="82"/>
  <c r="V191" i="82"/>
  <c r="W191" i="82"/>
  <c r="X191" i="82"/>
  <c r="V192" i="82"/>
  <c r="W192" i="82"/>
  <c r="X192" i="82"/>
  <c r="V193" i="82"/>
  <c r="Y193" i="82" s="1"/>
  <c r="W193" i="82"/>
  <c r="X193" i="82"/>
  <c r="V194" i="82"/>
  <c r="W194" i="82"/>
  <c r="X194" i="82"/>
  <c r="V195" i="82"/>
  <c r="W195" i="82"/>
  <c r="X195" i="82"/>
  <c r="V196" i="82"/>
  <c r="W196" i="82"/>
  <c r="X196" i="82"/>
  <c r="V197" i="82"/>
  <c r="Y197" i="82" s="1"/>
  <c r="W197" i="82"/>
  <c r="X197" i="82"/>
  <c r="V198" i="82"/>
  <c r="W198" i="82"/>
  <c r="X198" i="82"/>
  <c r="V199" i="82"/>
  <c r="W199" i="82"/>
  <c r="X199" i="82"/>
  <c r="V200" i="82"/>
  <c r="W200" i="82"/>
  <c r="X200" i="82"/>
  <c r="V201" i="82"/>
  <c r="Y201" i="82" s="1"/>
  <c r="W201" i="82"/>
  <c r="X201" i="82"/>
  <c r="V202" i="82"/>
  <c r="W202" i="82"/>
  <c r="X202" i="82"/>
  <c r="V203" i="82"/>
  <c r="W203" i="82"/>
  <c r="X203" i="82"/>
  <c r="V204" i="82"/>
  <c r="W204" i="82"/>
  <c r="X204" i="82"/>
  <c r="V205" i="82"/>
  <c r="Y205" i="82" s="1"/>
  <c r="W205" i="82"/>
  <c r="X205" i="82"/>
  <c r="V206" i="82"/>
  <c r="W206" i="82"/>
  <c r="X206" i="82"/>
  <c r="V207" i="82"/>
  <c r="W207" i="82"/>
  <c r="X207" i="82"/>
  <c r="V208" i="82"/>
  <c r="W208" i="82"/>
  <c r="X208" i="82"/>
  <c r="V209" i="82"/>
  <c r="Y209" i="82" s="1"/>
  <c r="W209" i="82"/>
  <c r="X209" i="82"/>
  <c r="V210" i="82"/>
  <c r="W210" i="82"/>
  <c r="X210" i="82"/>
  <c r="V211" i="82"/>
  <c r="W211" i="82"/>
  <c r="X211" i="82"/>
  <c r="V212" i="82"/>
  <c r="W212" i="82"/>
  <c r="X212" i="82"/>
  <c r="V213" i="82"/>
  <c r="Y213" i="82" s="1"/>
  <c r="W213" i="82"/>
  <c r="X213" i="82"/>
  <c r="V214" i="82"/>
  <c r="W214" i="82"/>
  <c r="X214" i="82"/>
  <c r="V215" i="82"/>
  <c r="W215" i="82"/>
  <c r="X215" i="82"/>
  <c r="V216" i="82"/>
  <c r="W216" i="82"/>
  <c r="X216" i="82"/>
  <c r="V217" i="82"/>
  <c r="Y217" i="82" s="1"/>
  <c r="W217" i="82"/>
  <c r="X217" i="82"/>
  <c r="V218" i="82"/>
  <c r="W218" i="82"/>
  <c r="X218" i="82"/>
  <c r="V219" i="82"/>
  <c r="W219" i="82"/>
  <c r="X219" i="82"/>
  <c r="V220" i="82"/>
  <c r="W220" i="82"/>
  <c r="X220" i="82"/>
  <c r="V221" i="82"/>
  <c r="Y221" i="82" s="1"/>
  <c r="W221" i="82"/>
  <c r="X221" i="82"/>
  <c r="V222" i="82"/>
  <c r="W222" i="82"/>
  <c r="X222" i="82"/>
  <c r="V223" i="82"/>
  <c r="W223" i="82"/>
  <c r="X223" i="82"/>
  <c r="V224" i="82"/>
  <c r="W224" i="82"/>
  <c r="X224" i="82"/>
  <c r="V225" i="82"/>
  <c r="Y225" i="82" s="1"/>
  <c r="W225" i="82"/>
  <c r="X225" i="82"/>
  <c r="V226" i="82"/>
  <c r="W226" i="82"/>
  <c r="X226" i="82"/>
  <c r="V227" i="82"/>
  <c r="W227" i="82"/>
  <c r="X227" i="82"/>
  <c r="V228" i="82"/>
  <c r="W228" i="82"/>
  <c r="X228" i="82"/>
  <c r="V229" i="82"/>
  <c r="Y229" i="82" s="1"/>
  <c r="W229" i="82"/>
  <c r="X229" i="82"/>
  <c r="V230" i="82"/>
  <c r="W230" i="82"/>
  <c r="X230" i="82"/>
  <c r="V231" i="82"/>
  <c r="W231" i="82"/>
  <c r="X231" i="82"/>
  <c r="V232" i="82"/>
  <c r="W232" i="82"/>
  <c r="X232" i="82"/>
  <c r="V233" i="82"/>
  <c r="Y233" i="82" s="1"/>
  <c r="W233" i="82"/>
  <c r="X233" i="82"/>
  <c r="V234" i="82"/>
  <c r="W234" i="82"/>
  <c r="X234" i="82"/>
  <c r="V235" i="82"/>
  <c r="W235" i="82"/>
  <c r="X235" i="82"/>
  <c r="V236" i="82"/>
  <c r="W236" i="82"/>
  <c r="X236" i="82"/>
  <c r="V237" i="82"/>
  <c r="Y237" i="82" s="1"/>
  <c r="W237" i="82"/>
  <c r="X237" i="82"/>
  <c r="V238" i="82"/>
  <c r="W238" i="82"/>
  <c r="X238" i="82"/>
  <c r="V239" i="82"/>
  <c r="W239" i="82"/>
  <c r="X239" i="82"/>
  <c r="V240" i="82"/>
  <c r="W240" i="82"/>
  <c r="X240" i="82"/>
  <c r="V241" i="82"/>
  <c r="Y241" i="82" s="1"/>
  <c r="W241" i="82"/>
  <c r="X241" i="82"/>
  <c r="V242" i="82"/>
  <c r="W242" i="82"/>
  <c r="X242" i="82"/>
  <c r="V243" i="82"/>
  <c r="W243" i="82"/>
  <c r="X243" i="82"/>
  <c r="V244" i="82"/>
  <c r="W244" i="82"/>
  <c r="X244" i="82"/>
  <c r="V245" i="82"/>
  <c r="Y245" i="82" s="1"/>
  <c r="W245" i="82"/>
  <c r="X245" i="82"/>
  <c r="V246" i="82"/>
  <c r="W246" i="82"/>
  <c r="X246" i="82"/>
  <c r="V247" i="82"/>
  <c r="W247" i="82"/>
  <c r="X247" i="82"/>
  <c r="V248" i="82"/>
  <c r="W248" i="82"/>
  <c r="X248" i="82"/>
  <c r="V249" i="82"/>
  <c r="Y249" i="82" s="1"/>
  <c r="W249" i="82"/>
  <c r="X249" i="82"/>
  <c r="V250" i="82"/>
  <c r="W250" i="82"/>
  <c r="X250" i="82"/>
  <c r="V251" i="82"/>
  <c r="W251" i="82"/>
  <c r="X251" i="82"/>
  <c r="V252" i="82"/>
  <c r="W252" i="82"/>
  <c r="X252" i="82"/>
  <c r="V253" i="82"/>
  <c r="Y253" i="82" s="1"/>
  <c r="W253" i="82"/>
  <c r="X253" i="82"/>
  <c r="V254" i="82"/>
  <c r="W254" i="82"/>
  <c r="X254" i="82"/>
  <c r="V255" i="82"/>
  <c r="W255" i="82"/>
  <c r="X255" i="82"/>
  <c r="V256" i="82"/>
  <c r="W256" i="82"/>
  <c r="X256" i="82"/>
  <c r="V257" i="82"/>
  <c r="Y257" i="82" s="1"/>
  <c r="W257" i="82"/>
  <c r="X257" i="82"/>
  <c r="V258" i="82"/>
  <c r="W258" i="82"/>
  <c r="X258" i="82"/>
  <c r="V259" i="82"/>
  <c r="W259" i="82"/>
  <c r="X259" i="82"/>
  <c r="V260" i="82"/>
  <c r="W260" i="82"/>
  <c r="X260" i="82"/>
  <c r="V261" i="82"/>
  <c r="Y261" i="82" s="1"/>
  <c r="W261" i="82"/>
  <c r="X261" i="82"/>
  <c r="V262" i="82"/>
  <c r="W262" i="82"/>
  <c r="X262" i="82"/>
  <c r="V263" i="82"/>
  <c r="W263" i="82"/>
  <c r="X263" i="82"/>
  <c r="V264" i="82"/>
  <c r="W264" i="82"/>
  <c r="X264" i="82"/>
  <c r="V265" i="82"/>
  <c r="Y265" i="82" s="1"/>
  <c r="W265" i="82"/>
  <c r="X265" i="82"/>
  <c r="V266" i="82"/>
  <c r="W266" i="82"/>
  <c r="X266" i="82"/>
  <c r="V267" i="82"/>
  <c r="W267" i="82"/>
  <c r="X267" i="82"/>
  <c r="V268" i="82"/>
  <c r="W268" i="82"/>
  <c r="X268" i="82"/>
  <c r="V269" i="82"/>
  <c r="Y269" i="82" s="1"/>
  <c r="W269" i="82"/>
  <c r="X269" i="82"/>
  <c r="V270" i="82"/>
  <c r="W270" i="82"/>
  <c r="X270" i="82"/>
  <c r="V271" i="82"/>
  <c r="W271" i="82"/>
  <c r="X271" i="82"/>
  <c r="V272" i="82"/>
  <c r="W272" i="82"/>
  <c r="X272" i="82"/>
  <c r="V273" i="82"/>
  <c r="Y273" i="82" s="1"/>
  <c r="W273" i="82"/>
  <c r="X273" i="82"/>
  <c r="V274" i="82"/>
  <c r="W274" i="82"/>
  <c r="X274" i="82"/>
  <c r="V275" i="82"/>
  <c r="W275" i="82"/>
  <c r="X275" i="82"/>
  <c r="V276" i="82"/>
  <c r="W276" i="82"/>
  <c r="X276" i="82"/>
  <c r="V277" i="82"/>
  <c r="Y277" i="82" s="1"/>
  <c r="W277" i="82"/>
  <c r="X277" i="82"/>
  <c r="V278" i="82"/>
  <c r="W278" i="82"/>
  <c r="X278" i="82"/>
  <c r="V279" i="82"/>
  <c r="W279" i="82"/>
  <c r="X279" i="82"/>
  <c r="V280" i="82"/>
  <c r="W280" i="82"/>
  <c r="X280" i="82"/>
  <c r="V281" i="82"/>
  <c r="Y281" i="82" s="1"/>
  <c r="W281" i="82"/>
  <c r="X281" i="82"/>
  <c r="V282" i="82"/>
  <c r="W282" i="82"/>
  <c r="X282" i="82"/>
  <c r="V283" i="82"/>
  <c r="W283" i="82"/>
  <c r="X283" i="82"/>
  <c r="V284" i="82"/>
  <c r="W284" i="82"/>
  <c r="X284" i="82"/>
  <c r="V285" i="82"/>
  <c r="Y285" i="82" s="1"/>
  <c r="W285" i="82"/>
  <c r="X285" i="82"/>
  <c r="V286" i="82"/>
  <c r="W286" i="82"/>
  <c r="X286" i="82"/>
  <c r="V287" i="82"/>
  <c r="W287" i="82"/>
  <c r="X287" i="82"/>
  <c r="V288" i="82"/>
  <c r="W288" i="82"/>
  <c r="X288" i="82"/>
  <c r="V289" i="82"/>
  <c r="Y289" i="82" s="1"/>
  <c r="W289" i="82"/>
  <c r="X289" i="82"/>
  <c r="V290" i="82"/>
  <c r="W290" i="82"/>
  <c r="X290" i="82"/>
  <c r="V291" i="82"/>
  <c r="W291" i="82"/>
  <c r="X291" i="82"/>
  <c r="V292" i="82"/>
  <c r="W292" i="82"/>
  <c r="X292" i="82"/>
  <c r="V293" i="82"/>
  <c r="Y293" i="82" s="1"/>
  <c r="W293" i="82"/>
  <c r="X293" i="82"/>
  <c r="V294" i="82"/>
  <c r="W294" i="82"/>
  <c r="X294" i="82"/>
  <c r="V295" i="82"/>
  <c r="W295" i="82"/>
  <c r="X295" i="82"/>
  <c r="V296" i="82"/>
  <c r="W296" i="82"/>
  <c r="X296" i="82"/>
  <c r="V297" i="82"/>
  <c r="Y297" i="82" s="1"/>
  <c r="W297" i="82"/>
  <c r="X297" i="82"/>
  <c r="V298" i="82"/>
  <c r="W298" i="82"/>
  <c r="X298" i="82"/>
  <c r="V299" i="82"/>
  <c r="W299" i="82"/>
  <c r="X299" i="82"/>
  <c r="V300" i="82"/>
  <c r="W300" i="82"/>
  <c r="X300" i="82"/>
  <c r="V301" i="82"/>
  <c r="Y301" i="82" s="1"/>
  <c r="W301" i="82"/>
  <c r="X301" i="82"/>
  <c r="V302" i="82"/>
  <c r="W302" i="82"/>
  <c r="X302" i="82"/>
  <c r="V303" i="82"/>
  <c r="W303" i="82"/>
  <c r="X303" i="82"/>
  <c r="V304" i="82"/>
  <c r="W304" i="82"/>
  <c r="X304" i="82"/>
  <c r="V305" i="82"/>
  <c r="Y305" i="82" s="1"/>
  <c r="W305" i="82"/>
  <c r="X305" i="82"/>
  <c r="V306" i="82"/>
  <c r="W306" i="82"/>
  <c r="X306" i="82"/>
  <c r="V307" i="82"/>
  <c r="W307" i="82"/>
  <c r="X307" i="82"/>
  <c r="V308" i="82"/>
  <c r="W308" i="82"/>
  <c r="X308" i="82"/>
  <c r="V309" i="82"/>
  <c r="Y309" i="82" s="1"/>
  <c r="W309" i="82"/>
  <c r="X309" i="82"/>
  <c r="V310" i="82"/>
  <c r="W310" i="82"/>
  <c r="X310" i="82"/>
  <c r="V311" i="82"/>
  <c r="W311" i="82"/>
  <c r="X311" i="82"/>
  <c r="V312" i="82"/>
  <c r="W312" i="82"/>
  <c r="X312" i="82"/>
  <c r="V313" i="82"/>
  <c r="Y313" i="82" s="1"/>
  <c r="W313" i="82"/>
  <c r="X313" i="82"/>
  <c r="V314" i="82"/>
  <c r="W314" i="82"/>
  <c r="X314" i="82"/>
  <c r="V315" i="82"/>
  <c r="W315" i="82"/>
  <c r="X315" i="82"/>
  <c r="V316" i="82"/>
  <c r="W316" i="82"/>
  <c r="X316" i="82"/>
  <c r="V317" i="82"/>
  <c r="Y317" i="82" s="1"/>
  <c r="W317" i="82"/>
  <c r="X317" i="82"/>
  <c r="V318" i="82"/>
  <c r="W318" i="82"/>
  <c r="X318" i="82"/>
  <c r="V319" i="82"/>
  <c r="W319" i="82"/>
  <c r="X319" i="82"/>
  <c r="V320" i="82"/>
  <c r="W320" i="82"/>
  <c r="X320" i="82"/>
  <c r="V321" i="82"/>
  <c r="Y321" i="82" s="1"/>
  <c r="W321" i="82"/>
  <c r="X321" i="82"/>
  <c r="V322" i="82"/>
  <c r="W322" i="82"/>
  <c r="X322" i="82"/>
  <c r="V323" i="82"/>
  <c r="W323" i="82"/>
  <c r="X323" i="82"/>
  <c r="V324" i="82"/>
  <c r="W324" i="82"/>
  <c r="X324" i="82"/>
  <c r="V325" i="82"/>
  <c r="Y325" i="82" s="1"/>
  <c r="W325" i="82"/>
  <c r="X325" i="82"/>
  <c r="V326" i="82"/>
  <c r="W326" i="82"/>
  <c r="X326" i="82"/>
  <c r="V327" i="82"/>
  <c r="W327" i="82"/>
  <c r="X327" i="82"/>
  <c r="V328" i="82"/>
  <c r="W328" i="82"/>
  <c r="X328" i="82"/>
  <c r="V329" i="82"/>
  <c r="Y329" i="82" s="1"/>
  <c r="W329" i="82"/>
  <c r="X329" i="82"/>
  <c r="V330" i="82"/>
  <c r="W330" i="82"/>
  <c r="X330" i="82"/>
  <c r="V331" i="82"/>
  <c r="W331" i="82"/>
  <c r="X331" i="82"/>
  <c r="V332" i="82"/>
  <c r="W332" i="82"/>
  <c r="X332" i="82"/>
  <c r="V333" i="82"/>
  <c r="Y333" i="82" s="1"/>
  <c r="W333" i="82"/>
  <c r="X333" i="82"/>
  <c r="V334" i="82"/>
  <c r="W334" i="82"/>
  <c r="X334" i="82"/>
  <c r="V335" i="82"/>
  <c r="W335" i="82"/>
  <c r="X335" i="82"/>
  <c r="V336" i="82"/>
  <c r="W336" i="82"/>
  <c r="X336" i="82"/>
  <c r="V337" i="82"/>
  <c r="Y337" i="82" s="1"/>
  <c r="W337" i="82"/>
  <c r="X337" i="82"/>
  <c r="V338" i="82"/>
  <c r="W338" i="82"/>
  <c r="X338" i="82"/>
  <c r="V339" i="82"/>
  <c r="W339" i="82"/>
  <c r="X339" i="82"/>
  <c r="V340" i="82"/>
  <c r="W340" i="82"/>
  <c r="X340" i="82"/>
  <c r="V341" i="82"/>
  <c r="Y341" i="82" s="1"/>
  <c r="W341" i="82"/>
  <c r="X341" i="82"/>
  <c r="V342" i="82"/>
  <c r="W342" i="82"/>
  <c r="X342" i="82"/>
  <c r="V343" i="82"/>
  <c r="W343" i="82"/>
  <c r="X343" i="82"/>
  <c r="V344" i="82"/>
  <c r="W344" i="82"/>
  <c r="X344" i="82"/>
  <c r="V345" i="82"/>
  <c r="Y345" i="82" s="1"/>
  <c r="W345" i="82"/>
  <c r="X345" i="82"/>
  <c r="V346" i="82"/>
  <c r="W346" i="82"/>
  <c r="X346" i="82"/>
  <c r="V347" i="82"/>
  <c r="W347" i="82"/>
  <c r="X347" i="82"/>
  <c r="V348" i="82"/>
  <c r="W348" i="82"/>
  <c r="X348" i="82"/>
  <c r="V349" i="82"/>
  <c r="Y349" i="82" s="1"/>
  <c r="W349" i="82"/>
  <c r="X349" i="82"/>
  <c r="V350" i="82"/>
  <c r="W350" i="82"/>
  <c r="X350" i="82"/>
  <c r="V351" i="82"/>
  <c r="W351" i="82"/>
  <c r="X351" i="82"/>
  <c r="V352" i="82"/>
  <c r="W352" i="82"/>
  <c r="X352" i="82"/>
  <c r="V353" i="82"/>
  <c r="Y353" i="82" s="1"/>
  <c r="W353" i="82"/>
  <c r="X353" i="82"/>
  <c r="V354" i="82"/>
  <c r="W354" i="82"/>
  <c r="X354" i="82"/>
  <c r="V355" i="82"/>
  <c r="W355" i="82"/>
  <c r="X355" i="82"/>
  <c r="V356" i="82"/>
  <c r="W356" i="82"/>
  <c r="X356" i="82"/>
  <c r="V357" i="82"/>
  <c r="Y357" i="82" s="1"/>
  <c r="W357" i="82"/>
  <c r="X357" i="82"/>
  <c r="V358" i="82"/>
  <c r="W358" i="82"/>
  <c r="X358" i="82"/>
  <c r="V359" i="82"/>
  <c r="W359" i="82"/>
  <c r="X359" i="82"/>
  <c r="V360" i="82"/>
  <c r="W360" i="82"/>
  <c r="X360" i="82"/>
  <c r="V361" i="82"/>
  <c r="Y361" i="82" s="1"/>
  <c r="W361" i="82"/>
  <c r="X361" i="82"/>
  <c r="V362" i="82"/>
  <c r="W362" i="82"/>
  <c r="X362" i="82"/>
  <c r="V363" i="82"/>
  <c r="W363" i="82"/>
  <c r="X363" i="82"/>
  <c r="V364" i="82"/>
  <c r="W364" i="82"/>
  <c r="X364" i="82"/>
  <c r="V365" i="82"/>
  <c r="Y365" i="82" s="1"/>
  <c r="W365" i="82"/>
  <c r="X365" i="82"/>
  <c r="V366" i="82"/>
  <c r="W366" i="82"/>
  <c r="X366" i="82"/>
  <c r="V367" i="82"/>
  <c r="W367" i="82"/>
  <c r="X367" i="82"/>
  <c r="V368" i="82"/>
  <c r="W368" i="82"/>
  <c r="X368" i="82"/>
  <c r="V369" i="82"/>
  <c r="Y369" i="82" s="1"/>
  <c r="W369" i="82"/>
  <c r="X369" i="82"/>
  <c r="V370" i="82"/>
  <c r="W370" i="82"/>
  <c r="X370" i="82"/>
  <c r="V371" i="82"/>
  <c r="W371" i="82"/>
  <c r="X371" i="82"/>
  <c r="V372" i="82"/>
  <c r="W372" i="82"/>
  <c r="X372" i="82"/>
  <c r="V373" i="82"/>
  <c r="Y373" i="82" s="1"/>
  <c r="W373" i="82"/>
  <c r="X373" i="82"/>
  <c r="V100" i="82"/>
  <c r="X100" i="82"/>
  <c r="V101" i="82"/>
  <c r="W101" i="82"/>
  <c r="X101" i="82"/>
  <c r="V102" i="82"/>
  <c r="Y102" i="82" s="1"/>
  <c r="W102" i="82"/>
  <c r="X102" i="82"/>
  <c r="V103" i="82"/>
  <c r="W103" i="82"/>
  <c r="X103" i="82"/>
  <c r="V104" i="82"/>
  <c r="W104" i="82"/>
  <c r="X104" i="82"/>
  <c r="W105" i="82"/>
  <c r="X105" i="82"/>
  <c r="V107" i="82"/>
  <c r="W107" i="82"/>
  <c r="X107" i="82"/>
  <c r="V108" i="82"/>
  <c r="W108" i="82"/>
  <c r="X108" i="82"/>
  <c r="V109" i="82"/>
  <c r="W109" i="82"/>
  <c r="X109" i="82"/>
  <c r="V110" i="82"/>
  <c r="Y110" i="82" s="1"/>
  <c r="X110" i="82"/>
  <c r="V111" i="82"/>
  <c r="W111" i="82"/>
  <c r="X111" i="82"/>
  <c r="V112" i="82"/>
  <c r="W112" i="82"/>
  <c r="X112" i="82"/>
  <c r="V113" i="82"/>
  <c r="Y113" i="82" s="1"/>
  <c r="W113" i="82"/>
  <c r="X113" i="82"/>
  <c r="V114" i="82"/>
  <c r="W114" i="82"/>
  <c r="X114" i="82"/>
  <c r="V115" i="82"/>
  <c r="W115" i="82"/>
  <c r="X115" i="82"/>
  <c r="V116" i="82"/>
  <c r="W116" i="82"/>
  <c r="X116" i="82"/>
  <c r="V117" i="82"/>
  <c r="Y117" i="82" s="1"/>
  <c r="W117" i="82"/>
  <c r="X117" i="82"/>
  <c r="V118" i="82"/>
  <c r="W118" i="82"/>
  <c r="X118" i="82"/>
  <c r="V119" i="82"/>
  <c r="W119" i="82"/>
  <c r="X119" i="82"/>
  <c r="V120" i="82"/>
  <c r="W120" i="82"/>
  <c r="X120" i="82"/>
  <c r="V121" i="82"/>
  <c r="Y121" i="82" s="1"/>
  <c r="W121" i="82"/>
  <c r="X121" i="82"/>
  <c r="V122" i="82"/>
  <c r="W122" i="82"/>
  <c r="X122" i="82"/>
  <c r="V123" i="82"/>
  <c r="W123" i="82"/>
  <c r="X123" i="82"/>
  <c r="V124" i="82"/>
  <c r="W124" i="82"/>
  <c r="X124" i="82"/>
  <c r="V125" i="82"/>
  <c r="Y125" i="82" s="1"/>
  <c r="W125" i="82"/>
  <c r="X125" i="82"/>
  <c r="V126" i="82"/>
  <c r="W126" i="82"/>
  <c r="X126" i="82"/>
  <c r="V127" i="82"/>
  <c r="W127" i="82"/>
  <c r="X127" i="82"/>
  <c r="V128" i="82"/>
  <c r="W128" i="82"/>
  <c r="X128" i="82"/>
  <c r="V129" i="82"/>
  <c r="Y129" i="82" s="1"/>
  <c r="W129" i="82"/>
  <c r="X129" i="82"/>
  <c r="V130" i="82"/>
  <c r="W130" i="82"/>
  <c r="X130" i="82"/>
  <c r="V131" i="82"/>
  <c r="W131" i="82"/>
  <c r="X131" i="82"/>
  <c r="V132" i="82"/>
  <c r="W132" i="82"/>
  <c r="X132" i="82"/>
  <c r="V133" i="82"/>
  <c r="Y133" i="82" s="1"/>
  <c r="W133" i="82"/>
  <c r="X133" i="82"/>
  <c r="V134" i="82"/>
  <c r="W134" i="82"/>
  <c r="X134" i="82"/>
  <c r="V135" i="82"/>
  <c r="W135" i="82"/>
  <c r="X135" i="82"/>
  <c r="V136" i="82"/>
  <c r="W136" i="82"/>
  <c r="X136" i="82"/>
  <c r="V137" i="82"/>
  <c r="Y137" i="82" s="1"/>
  <c r="W137" i="82"/>
  <c r="X137" i="82"/>
  <c r="V138" i="82"/>
  <c r="W138" i="82"/>
  <c r="X138" i="82"/>
  <c r="V139" i="82"/>
  <c r="W139" i="82"/>
  <c r="X139" i="82"/>
  <c r="V140" i="82"/>
  <c r="W140" i="82"/>
  <c r="X140" i="82"/>
  <c r="V141" i="82"/>
  <c r="Y141" i="82" s="1"/>
  <c r="W141" i="82"/>
  <c r="X141" i="82"/>
  <c r="V142" i="82"/>
  <c r="W142" i="82"/>
  <c r="X142" i="82"/>
  <c r="V143" i="82"/>
  <c r="W143" i="82"/>
  <c r="X143" i="82"/>
  <c r="V144" i="82"/>
  <c r="W144" i="82"/>
  <c r="X144" i="82"/>
  <c r="V145" i="82"/>
  <c r="Y145" i="82" s="1"/>
  <c r="W145" i="82"/>
  <c r="X145" i="82"/>
  <c r="V146" i="82"/>
  <c r="W146" i="82"/>
  <c r="X146" i="82"/>
  <c r="V147" i="82"/>
  <c r="W147" i="82"/>
  <c r="X147" i="82"/>
  <c r="V148" i="82"/>
  <c r="W148" i="82"/>
  <c r="X148" i="82"/>
  <c r="V149" i="82"/>
  <c r="Y149" i="82" s="1"/>
  <c r="W149" i="82"/>
  <c r="X149" i="82"/>
  <c r="V150" i="82"/>
  <c r="W150" i="82"/>
  <c r="X150" i="82"/>
  <c r="V151" i="82"/>
  <c r="W151" i="82"/>
  <c r="X151" i="82"/>
  <c r="V152" i="82"/>
  <c r="W152" i="82"/>
  <c r="X152" i="82"/>
  <c r="V153" i="82"/>
  <c r="Y153" i="82" s="1"/>
  <c r="W153" i="82"/>
  <c r="X153" i="82"/>
  <c r="V154" i="82"/>
  <c r="W154" i="82"/>
  <c r="X154" i="82"/>
  <c r="V155" i="82"/>
  <c r="W155" i="82"/>
  <c r="X155" i="82"/>
  <c r="V156" i="82"/>
  <c r="W156" i="82"/>
  <c r="X156" i="82"/>
  <c r="V157" i="82"/>
  <c r="Y157" i="82" s="1"/>
  <c r="W157" i="82"/>
  <c r="X157" i="82"/>
  <c r="V158" i="82"/>
  <c r="W158" i="82"/>
  <c r="X158" i="82"/>
  <c r="X99" i="82"/>
  <c r="W99" i="82"/>
  <c r="V99" i="82"/>
  <c r="Y99" i="82" s="1"/>
  <c r="V87" i="82"/>
  <c r="W87" i="82"/>
  <c r="X87" i="82"/>
  <c r="V88" i="82"/>
  <c r="Y88" i="82" s="1"/>
  <c r="W88" i="82"/>
  <c r="X88" i="82"/>
  <c r="V89" i="82"/>
  <c r="W89" i="82"/>
  <c r="X89" i="82"/>
  <c r="V90" i="82"/>
  <c r="W90" i="82"/>
  <c r="X90" i="82"/>
  <c r="V91" i="82"/>
  <c r="W91" i="82"/>
  <c r="X91" i="82"/>
  <c r="V92" i="82"/>
  <c r="Y92" i="82" s="1"/>
  <c r="W92" i="82"/>
  <c r="X92" i="82"/>
  <c r="V93" i="82"/>
  <c r="W93" i="82"/>
  <c r="X93" i="82"/>
  <c r="V94" i="82"/>
  <c r="W94" i="82"/>
  <c r="X94" i="82"/>
  <c r="V95" i="82"/>
  <c r="W95" i="82"/>
  <c r="X95" i="82"/>
  <c r="V96" i="82"/>
  <c r="Y96" i="82" s="1"/>
  <c r="W96" i="82"/>
  <c r="X96" i="82"/>
  <c r="V97" i="82"/>
  <c r="W97" i="82"/>
  <c r="X97" i="82"/>
  <c r="V98" i="82"/>
  <c r="W98" i="82"/>
  <c r="X98" i="82"/>
  <c r="L94" i="82"/>
  <c r="L95" i="82"/>
  <c r="L96" i="82"/>
  <c r="L97" i="82"/>
  <c r="L98" i="82"/>
  <c r="L99" i="82"/>
  <c r="L100" i="82"/>
  <c r="L101" i="82"/>
  <c r="L102" i="82"/>
  <c r="L103" i="82"/>
  <c r="L104" i="82"/>
  <c r="L105" i="82"/>
  <c r="L107" i="82"/>
  <c r="L108" i="82"/>
  <c r="L109" i="82"/>
  <c r="L110" i="82"/>
  <c r="L111" i="82"/>
  <c r="L112" i="82"/>
  <c r="L113" i="82"/>
  <c r="L114" i="82"/>
  <c r="L115" i="82"/>
  <c r="L116" i="82"/>
  <c r="L117" i="82"/>
  <c r="L118" i="82"/>
  <c r="L119" i="82"/>
  <c r="L120" i="82"/>
  <c r="L121" i="82"/>
  <c r="L122" i="82"/>
  <c r="L123" i="82"/>
  <c r="L124" i="82"/>
  <c r="L125" i="82"/>
  <c r="L126" i="82"/>
  <c r="L127" i="82"/>
  <c r="L128" i="82"/>
  <c r="L129" i="82"/>
  <c r="L130" i="82"/>
  <c r="L131" i="82"/>
  <c r="L132" i="82"/>
  <c r="L133" i="82"/>
  <c r="L134" i="82"/>
  <c r="L135" i="82"/>
  <c r="L136" i="82"/>
  <c r="L137" i="82"/>
  <c r="L138" i="82"/>
  <c r="L139" i="82"/>
  <c r="L140" i="82"/>
  <c r="L141" i="82"/>
  <c r="L142" i="82"/>
  <c r="L143" i="82"/>
  <c r="L144" i="82"/>
  <c r="L145" i="82"/>
  <c r="L146" i="82"/>
  <c r="L147" i="82"/>
  <c r="L148" i="82"/>
  <c r="L149" i="82"/>
  <c r="L150" i="82"/>
  <c r="L151" i="82"/>
  <c r="L152" i="82"/>
  <c r="L153" i="82"/>
  <c r="L154" i="82"/>
  <c r="L155" i="82"/>
  <c r="L156" i="82"/>
  <c r="L157" i="82"/>
  <c r="L158" i="82"/>
  <c r="L159" i="82"/>
  <c r="L160" i="82"/>
  <c r="L161" i="82"/>
  <c r="L162" i="82"/>
  <c r="L163" i="82"/>
  <c r="L164" i="82"/>
  <c r="L165" i="82"/>
  <c r="L166" i="82"/>
  <c r="L167" i="82"/>
  <c r="L168" i="82"/>
  <c r="L169" i="82"/>
  <c r="L170" i="82"/>
  <c r="L171" i="82"/>
  <c r="L172" i="82"/>
  <c r="L173" i="82"/>
  <c r="L174" i="82"/>
  <c r="L175" i="82"/>
  <c r="L176" i="82"/>
  <c r="L177" i="82"/>
  <c r="L178" i="82"/>
  <c r="L179" i="82"/>
  <c r="L180" i="82"/>
  <c r="L181" i="82"/>
  <c r="L182" i="82"/>
  <c r="L183" i="82"/>
  <c r="L184" i="82"/>
  <c r="L185" i="82"/>
  <c r="L186" i="82"/>
  <c r="L187" i="82"/>
  <c r="L188" i="82"/>
  <c r="L189" i="82"/>
  <c r="L190" i="82"/>
  <c r="L191" i="82"/>
  <c r="L192" i="82"/>
  <c r="L193" i="82"/>
  <c r="L194" i="82"/>
  <c r="L195" i="82"/>
  <c r="L196" i="82"/>
  <c r="L197" i="82"/>
  <c r="L198" i="82"/>
  <c r="L199" i="82"/>
  <c r="L200" i="82"/>
  <c r="L201" i="82"/>
  <c r="L202" i="82"/>
  <c r="L203" i="82"/>
  <c r="L204" i="82"/>
  <c r="L205" i="82"/>
  <c r="L206" i="82"/>
  <c r="L207" i="82"/>
  <c r="L208" i="82"/>
  <c r="L209" i="82"/>
  <c r="L210" i="82"/>
  <c r="L211" i="82"/>
  <c r="L212" i="82"/>
  <c r="L213" i="82"/>
  <c r="L214" i="82"/>
  <c r="L215" i="82"/>
  <c r="L216" i="82"/>
  <c r="L217" i="82"/>
  <c r="L218" i="82"/>
  <c r="L219" i="82"/>
  <c r="L220" i="82"/>
  <c r="L221" i="82"/>
  <c r="L222" i="82"/>
  <c r="L223" i="82"/>
  <c r="L224" i="82"/>
  <c r="L225" i="82"/>
  <c r="L226" i="82"/>
  <c r="L227" i="82"/>
  <c r="L228" i="82"/>
  <c r="L229" i="82"/>
  <c r="L230" i="82"/>
  <c r="L231" i="82"/>
  <c r="L232" i="82"/>
  <c r="L233" i="82"/>
  <c r="L234" i="82"/>
  <c r="L235" i="82"/>
  <c r="L236" i="82"/>
  <c r="L237" i="82"/>
  <c r="L238" i="82"/>
  <c r="L239" i="82"/>
  <c r="L240" i="82"/>
  <c r="L241" i="82"/>
  <c r="L242" i="82"/>
  <c r="L243" i="82"/>
  <c r="L244" i="82"/>
  <c r="L245" i="82"/>
  <c r="L246" i="82"/>
  <c r="L247" i="82"/>
  <c r="L248" i="82"/>
  <c r="L249" i="82"/>
  <c r="L250" i="82"/>
  <c r="L251" i="82"/>
  <c r="L252" i="82"/>
  <c r="L253" i="82"/>
  <c r="L254" i="82"/>
  <c r="L255" i="82"/>
  <c r="L256" i="82"/>
  <c r="L257" i="82"/>
  <c r="L258" i="82"/>
  <c r="L259" i="82"/>
  <c r="L260" i="82"/>
  <c r="L261" i="82"/>
  <c r="L262" i="82"/>
  <c r="L263" i="82"/>
  <c r="L264" i="82"/>
  <c r="L265" i="82"/>
  <c r="L266" i="82"/>
  <c r="L267" i="82"/>
  <c r="L268" i="82"/>
  <c r="L269" i="82"/>
  <c r="L270" i="82"/>
  <c r="L271" i="82"/>
  <c r="L272" i="82"/>
  <c r="L273" i="82"/>
  <c r="L274" i="82"/>
  <c r="L275" i="82"/>
  <c r="L276" i="82"/>
  <c r="L277" i="82"/>
  <c r="L278" i="82"/>
  <c r="L279" i="82"/>
  <c r="L280" i="82"/>
  <c r="L281" i="82"/>
  <c r="L282" i="82"/>
  <c r="L283" i="82"/>
  <c r="L284" i="82"/>
  <c r="L285" i="82"/>
  <c r="L286" i="82"/>
  <c r="L287" i="82"/>
  <c r="L288" i="82"/>
  <c r="L289" i="82"/>
  <c r="L290" i="82"/>
  <c r="L291" i="82"/>
  <c r="L292" i="82"/>
  <c r="L293" i="82"/>
  <c r="L294" i="82"/>
  <c r="L295" i="82"/>
  <c r="L296" i="82"/>
  <c r="L297" i="82"/>
  <c r="L298" i="82"/>
  <c r="L299" i="82"/>
  <c r="L300" i="82"/>
  <c r="L301" i="82"/>
  <c r="L302" i="82"/>
  <c r="L303" i="82"/>
  <c r="L304" i="82"/>
  <c r="L305" i="82"/>
  <c r="L306" i="82"/>
  <c r="L307" i="82"/>
  <c r="L308" i="82"/>
  <c r="L309" i="82"/>
  <c r="L310" i="82"/>
  <c r="L311" i="82"/>
  <c r="L312" i="82"/>
  <c r="L313" i="82"/>
  <c r="L314" i="82"/>
  <c r="L315" i="82"/>
  <c r="L316" i="82"/>
  <c r="L317" i="82"/>
  <c r="L318" i="82"/>
  <c r="L319" i="82"/>
  <c r="L320" i="82"/>
  <c r="L321" i="82"/>
  <c r="L322" i="82"/>
  <c r="L323" i="82"/>
  <c r="L324" i="82"/>
  <c r="L325" i="82"/>
  <c r="L326" i="82"/>
  <c r="L327" i="82"/>
  <c r="L328" i="82"/>
  <c r="L329" i="82"/>
  <c r="L330" i="82"/>
  <c r="L331" i="82"/>
  <c r="L332" i="82"/>
  <c r="L333" i="82"/>
  <c r="L334" i="82"/>
  <c r="L335" i="82"/>
  <c r="L336" i="82"/>
  <c r="L337" i="82"/>
  <c r="L338" i="82"/>
  <c r="L339" i="82"/>
  <c r="L340" i="82"/>
  <c r="L341" i="82"/>
  <c r="L342" i="82"/>
  <c r="L343" i="82"/>
  <c r="L344" i="82"/>
  <c r="L345" i="82"/>
  <c r="L346" i="82"/>
  <c r="L347" i="82"/>
  <c r="L348" i="82"/>
  <c r="L349" i="82"/>
  <c r="L350" i="82"/>
  <c r="L351" i="82"/>
  <c r="L352" i="82"/>
  <c r="L353" i="82"/>
  <c r="L354" i="82"/>
  <c r="L355" i="82"/>
  <c r="L356" i="82"/>
  <c r="L357" i="82"/>
  <c r="L358" i="82"/>
  <c r="L359" i="82"/>
  <c r="L360" i="82"/>
  <c r="L361" i="82"/>
  <c r="L362" i="82"/>
  <c r="L363" i="82"/>
  <c r="L364" i="82"/>
  <c r="L365" i="82"/>
  <c r="L366" i="82"/>
  <c r="L367" i="82"/>
  <c r="L368" i="82"/>
  <c r="L369" i="82"/>
  <c r="L370" i="82"/>
  <c r="L371" i="82"/>
  <c r="L372" i="82"/>
  <c r="L373" i="82"/>
  <c r="M94" i="82"/>
  <c r="M95" i="82"/>
  <c r="M96" i="82"/>
  <c r="M97" i="82"/>
  <c r="M98" i="82"/>
  <c r="M99" i="82"/>
  <c r="M100" i="82"/>
  <c r="M101" i="82"/>
  <c r="M102" i="82"/>
  <c r="M103" i="82"/>
  <c r="M104" i="82"/>
  <c r="M105" i="82"/>
  <c r="L87" i="82"/>
  <c r="L88" i="82"/>
  <c r="L89" i="82"/>
  <c r="L90" i="82"/>
  <c r="L91" i="82"/>
  <c r="L92" i="82"/>
  <c r="L93" i="82"/>
  <c r="M87" i="82"/>
  <c r="M88" i="82"/>
  <c r="M89" i="82"/>
  <c r="M90" i="82"/>
  <c r="M91" i="82"/>
  <c r="M92" i="82"/>
  <c r="M93" i="82"/>
  <c r="L86" i="82"/>
  <c r="M86" i="82"/>
  <c r="Q103" i="81"/>
  <c r="R103" i="81"/>
  <c r="S103" i="81"/>
  <c r="T103" i="81"/>
  <c r="Y89" i="82" l="1"/>
  <c r="Y146" i="82"/>
  <c r="Y142" i="82"/>
  <c r="Y138" i="82"/>
  <c r="Y130" i="82"/>
  <c r="Y122" i="82"/>
  <c r="Y111" i="82"/>
  <c r="Y107" i="82"/>
  <c r="Y103" i="82"/>
  <c r="Y370" i="82"/>
  <c r="Y362" i="82"/>
  <c r="Y346" i="82"/>
  <c r="Y342" i="82"/>
  <c r="Y334" i="82"/>
  <c r="Y330" i="82"/>
  <c r="Y322" i="82"/>
  <c r="Y314" i="82"/>
  <c r="Y302" i="82"/>
  <c r="Y286" i="82"/>
  <c r="Y270" i="82"/>
  <c r="Y97" i="82"/>
  <c r="Y93" i="82"/>
  <c r="Y158" i="82"/>
  <c r="Y154" i="82"/>
  <c r="Y150" i="82"/>
  <c r="Y134" i="82"/>
  <c r="Y126" i="82"/>
  <c r="Y118" i="82"/>
  <c r="Y114" i="82"/>
  <c r="Y100" i="82"/>
  <c r="Y366" i="82"/>
  <c r="Y358" i="82"/>
  <c r="Y354" i="82"/>
  <c r="Y350" i="82"/>
  <c r="Y338" i="82"/>
  <c r="Y326" i="82"/>
  <c r="Y318" i="82"/>
  <c r="Y310" i="82"/>
  <c r="Y306" i="82"/>
  <c r="Y298" i="82"/>
  <c r="Y294" i="82"/>
  <c r="Y290" i="82"/>
  <c r="Y282" i="82"/>
  <c r="Y278" i="82"/>
  <c r="Y274" i="82"/>
  <c r="Y266" i="82"/>
  <c r="Y262" i="82"/>
  <c r="Y258" i="82"/>
  <c r="Y250" i="82"/>
  <c r="Y234" i="82"/>
  <c r="Y226" i="82"/>
  <c r="Y218" i="82"/>
  <c r="Y210" i="82"/>
  <c r="Y202" i="82"/>
  <c r="Y198" i="82"/>
  <c r="Y186" i="82"/>
  <c r="Y182" i="82"/>
  <c r="Y178" i="82"/>
  <c r="Y162" i="82"/>
  <c r="Y98" i="82"/>
  <c r="Y94" i="82"/>
  <c r="Y90" i="82"/>
  <c r="Y155" i="82"/>
  <c r="Y151" i="82"/>
  <c r="Y147" i="82"/>
  <c r="Y143" i="82"/>
  <c r="Y139" i="82"/>
  <c r="Y135" i="82"/>
  <c r="Y131" i="82"/>
  <c r="Y127" i="82"/>
  <c r="Y123" i="82"/>
  <c r="Y119" i="82"/>
  <c r="Y115" i="82"/>
  <c r="Y108" i="82"/>
  <c r="Y104" i="82"/>
  <c r="Y371" i="82"/>
  <c r="Y367" i="82"/>
  <c r="Y363" i="82"/>
  <c r="Y359" i="82"/>
  <c r="Y355" i="82"/>
  <c r="Y351" i="82"/>
  <c r="Y347" i="82"/>
  <c r="Y343" i="82"/>
  <c r="Y339" i="82"/>
  <c r="Y335" i="82"/>
  <c r="Y331" i="82"/>
  <c r="Y327" i="82"/>
  <c r="Y323" i="82"/>
  <c r="Y319" i="82"/>
  <c r="Y315" i="82"/>
  <c r="Y311" i="82"/>
  <c r="Y307" i="82"/>
  <c r="Y303" i="82"/>
  <c r="Y299" i="82"/>
  <c r="Y295" i="82"/>
  <c r="Y291" i="82"/>
  <c r="Y287" i="82"/>
  <c r="Y283" i="82"/>
  <c r="Y279" i="82"/>
  <c r="Y275" i="82"/>
  <c r="Y271" i="82"/>
  <c r="Y267" i="82"/>
  <c r="Y263" i="82"/>
  <c r="Y259" i="82"/>
  <c r="Y255" i="82"/>
  <c r="Y251" i="82"/>
  <c r="Y247" i="82"/>
  <c r="Y243" i="82"/>
  <c r="Y239" i="82"/>
  <c r="Y235" i="82"/>
  <c r="Y231" i="82"/>
  <c r="Y227" i="82"/>
  <c r="Y223" i="82"/>
  <c r="Y219" i="82"/>
  <c r="Y215" i="82"/>
  <c r="Y211" i="82"/>
  <c r="Y207" i="82"/>
  <c r="Y203" i="82"/>
  <c r="Y199" i="82"/>
  <c r="Y195" i="82"/>
  <c r="Y191" i="82"/>
  <c r="Y187" i="82"/>
  <c r="Y183" i="82"/>
  <c r="Y179" i="82"/>
  <c r="Y175" i="82"/>
  <c r="Y171" i="82"/>
  <c r="Y167" i="82"/>
  <c r="Y163" i="82"/>
  <c r="Y159" i="82"/>
  <c r="Y254" i="82"/>
  <c r="Y246" i="82"/>
  <c r="Y242" i="82"/>
  <c r="Y238" i="82"/>
  <c r="Y230" i="82"/>
  <c r="Y222" i="82"/>
  <c r="Y214" i="82"/>
  <c r="Y206" i="82"/>
  <c r="Y194" i="82"/>
  <c r="Y190" i="82"/>
  <c r="Y174" i="82"/>
  <c r="Y170" i="82"/>
  <c r="Y166" i="82"/>
  <c r="Y95" i="82"/>
  <c r="Y91" i="82"/>
  <c r="Y87" i="82"/>
  <c r="Y156" i="82"/>
  <c r="Y152" i="82"/>
  <c r="Y148" i="82"/>
  <c r="Y144" i="82"/>
  <c r="Y140" i="82"/>
  <c r="Y136" i="82"/>
  <c r="Y132" i="82"/>
  <c r="Y128" i="82"/>
  <c r="Y124" i="82"/>
  <c r="Y120" i="82"/>
  <c r="Y116" i="82"/>
  <c r="Y112" i="82"/>
  <c r="Y109" i="82"/>
  <c r="Y105" i="82"/>
  <c r="Y101" i="82"/>
  <c r="Y372" i="82"/>
  <c r="Y368" i="82"/>
  <c r="Y364" i="82"/>
  <c r="Y360" i="82"/>
  <c r="Y356" i="82"/>
  <c r="Y352" i="82"/>
  <c r="Y348" i="82"/>
  <c r="Y344" i="82"/>
  <c r="Y340" i="82"/>
  <c r="Y336" i="82"/>
  <c r="Y332" i="82"/>
  <c r="Y328" i="82"/>
  <c r="Y324" i="82"/>
  <c r="Y320" i="82"/>
  <c r="Y316" i="82"/>
  <c r="Y312" i="82"/>
  <c r="Y308" i="82"/>
  <c r="Y304" i="82"/>
  <c r="Y300" i="82"/>
  <c r="Y296" i="82"/>
  <c r="Y292" i="82"/>
  <c r="Y288" i="82"/>
  <c r="Y284" i="82"/>
  <c r="Y280" i="82"/>
  <c r="Y276" i="82"/>
  <c r="Y272" i="82"/>
  <c r="Y268" i="82"/>
  <c r="Y264" i="82"/>
  <c r="Y260" i="82"/>
  <c r="Y256" i="82"/>
  <c r="Y252" i="82"/>
  <c r="Y248" i="82"/>
  <c r="Y244" i="82"/>
  <c r="Y240" i="82"/>
  <c r="Y236" i="82"/>
  <c r="Y232" i="82"/>
  <c r="Y228" i="82"/>
  <c r="Y224" i="82"/>
  <c r="Y220" i="82"/>
  <c r="Y216" i="82"/>
  <c r="Y212" i="82"/>
  <c r="Y208" i="82"/>
  <c r="Y204" i="82"/>
  <c r="Y200" i="82"/>
  <c r="Y196" i="82"/>
  <c r="Y192" i="82"/>
  <c r="Y188" i="82"/>
  <c r="Y184" i="82"/>
  <c r="Y180" i="82"/>
  <c r="Y176" i="82"/>
  <c r="Y172" i="82"/>
  <c r="Y168" i="82"/>
  <c r="Y164" i="82"/>
  <c r="Y160" i="82"/>
  <c r="DI14" i="81"/>
  <c r="DI15" i="81"/>
  <c r="N172" i="87"/>
  <c r="AB175" i="74"/>
  <c r="Q102" i="81" l="1"/>
  <c r="R102" i="81"/>
  <c r="S102" i="81"/>
  <c r="T102" i="81"/>
  <c r="Q101" i="81"/>
  <c r="R101" i="81"/>
  <c r="S101" i="81"/>
  <c r="T101" i="81"/>
  <c r="Q100" i="81"/>
  <c r="R100" i="81"/>
  <c r="S100" i="81"/>
  <c r="T100" i="81"/>
  <c r="Q99" i="81"/>
  <c r="R99" i="81"/>
  <c r="S99" i="81"/>
  <c r="T99" i="81"/>
  <c r="Q98" i="81"/>
  <c r="R98" i="81"/>
  <c r="S98" i="81"/>
  <c r="T98" i="81"/>
  <c r="AA173" i="74"/>
  <c r="AA172" i="74"/>
  <c r="N4" i="79"/>
  <c r="AA171" i="74"/>
  <c r="AG4" i="65"/>
  <c r="AL7" i="65"/>
  <c r="AB173" i="74" l="1"/>
  <c r="AB172" i="74"/>
  <c r="AB171" i="74"/>
  <c r="AA170" i="74"/>
  <c r="AB170" i="74" l="1"/>
  <c r="AA167" i="74"/>
  <c r="AA168" i="74"/>
  <c r="AA169" i="74"/>
  <c r="AA166" i="74"/>
  <c r="D46" i="89"/>
  <c r="D52" i="89"/>
  <c r="D51" i="89"/>
  <c r="D53" i="89"/>
  <c r="D54" i="89"/>
  <c r="D55" i="89"/>
  <c r="D56" i="89"/>
  <c r="D57" i="89"/>
  <c r="D58" i="89"/>
  <c r="D59" i="89"/>
  <c r="D60" i="89"/>
  <c r="D61" i="89"/>
  <c r="D62" i="89"/>
  <c r="D63" i="89"/>
  <c r="D64" i="89"/>
  <c r="D65" i="89"/>
  <c r="Q97" i="81"/>
  <c r="R97" i="81"/>
  <c r="S97" i="81"/>
  <c r="T97" i="81"/>
  <c r="Q96" i="81"/>
  <c r="R96" i="81"/>
  <c r="S96" i="81"/>
  <c r="T96" i="81"/>
  <c r="Q95" i="81"/>
  <c r="R95" i="81"/>
  <c r="S95" i="81"/>
  <c r="T95" i="81"/>
  <c r="Q94" i="81"/>
  <c r="R94" i="81"/>
  <c r="S94" i="81"/>
  <c r="T94" i="81"/>
  <c r="Q91" i="81"/>
  <c r="Q92" i="81"/>
  <c r="Q93" i="81"/>
  <c r="R91" i="81"/>
  <c r="R92" i="81"/>
  <c r="R93" i="81"/>
  <c r="S91" i="81"/>
  <c r="S92" i="81"/>
  <c r="S93" i="81"/>
  <c r="T91" i="81"/>
  <c r="T92" i="81"/>
  <c r="T93" i="81"/>
  <c r="Q90" i="81"/>
  <c r="R90" i="81"/>
  <c r="S90" i="81"/>
  <c r="T90" i="81"/>
  <c r="Q89" i="81"/>
  <c r="R89" i="81"/>
  <c r="S89" i="81"/>
  <c r="T89" i="81"/>
  <c r="AB168" i="74" l="1"/>
  <c r="AB169" i="74"/>
  <c r="AB167" i="74"/>
  <c r="AB166" i="74"/>
  <c r="AA3" i="74"/>
  <c r="AA4" i="74"/>
  <c r="AA5" i="74"/>
  <c r="AA6" i="74"/>
  <c r="AA7" i="74"/>
  <c r="AA8" i="74"/>
  <c r="AA9" i="74"/>
  <c r="AA10" i="74"/>
  <c r="AA11" i="74"/>
  <c r="AA12" i="74"/>
  <c r="AA13" i="74"/>
  <c r="AA14" i="74"/>
  <c r="AA15" i="74"/>
  <c r="AA16" i="74"/>
  <c r="AA17" i="74"/>
  <c r="AA18" i="74"/>
  <c r="AA19" i="74"/>
  <c r="AA20" i="74"/>
  <c r="AA21" i="74"/>
  <c r="AA22" i="74"/>
  <c r="AA23" i="74"/>
  <c r="AA24" i="74"/>
  <c r="AA25" i="74"/>
  <c r="AA26" i="74"/>
  <c r="AA27" i="74"/>
  <c r="AA28" i="74"/>
  <c r="AA29" i="74"/>
  <c r="AA30" i="74"/>
  <c r="AA31" i="74"/>
  <c r="AA32" i="74"/>
  <c r="AA33" i="74"/>
  <c r="AA34" i="74"/>
  <c r="AA35" i="74"/>
  <c r="AA36" i="74"/>
  <c r="AA37" i="74"/>
  <c r="AA38" i="74"/>
  <c r="AA39" i="74"/>
  <c r="AA40" i="74"/>
  <c r="AA41" i="74"/>
  <c r="AA42" i="74"/>
  <c r="AA43" i="74"/>
  <c r="AA44" i="74"/>
  <c r="AA45" i="74"/>
  <c r="AA46" i="74"/>
  <c r="AA47" i="74"/>
  <c r="AA48" i="74"/>
  <c r="AA49" i="74"/>
  <c r="AA50" i="74"/>
  <c r="AA51" i="74"/>
  <c r="AA52" i="74"/>
  <c r="AA53" i="74"/>
  <c r="AA54" i="74"/>
  <c r="AA55" i="74"/>
  <c r="AA56" i="74"/>
  <c r="AA57" i="74"/>
  <c r="AA58" i="74"/>
  <c r="AA59" i="74"/>
  <c r="AA60" i="74"/>
  <c r="AA61" i="74"/>
  <c r="AA62" i="74"/>
  <c r="AA63" i="74"/>
  <c r="AA64" i="74"/>
  <c r="AA65" i="74"/>
  <c r="AA66" i="74"/>
  <c r="AA67" i="74"/>
  <c r="AA68" i="74"/>
  <c r="AA69" i="74"/>
  <c r="AA70" i="74"/>
  <c r="AA71" i="74"/>
  <c r="AA72" i="74"/>
  <c r="AA73" i="74"/>
  <c r="AA74" i="74"/>
  <c r="AA75" i="74"/>
  <c r="AA76" i="74"/>
  <c r="AA77" i="74"/>
  <c r="AA78" i="74"/>
  <c r="AA79" i="74"/>
  <c r="AA80" i="74"/>
  <c r="AA81" i="74"/>
  <c r="AA82" i="74"/>
  <c r="AA83" i="74"/>
  <c r="AA84" i="74"/>
  <c r="AA85" i="74"/>
  <c r="AA86" i="74"/>
  <c r="AA87" i="74"/>
  <c r="AA88" i="74"/>
  <c r="AA89" i="74"/>
  <c r="AA90" i="74"/>
  <c r="AA91" i="74"/>
  <c r="AA92" i="74"/>
  <c r="AA93" i="74"/>
  <c r="AA94" i="74"/>
  <c r="AA95" i="74"/>
  <c r="AA96" i="74"/>
  <c r="AA97" i="74"/>
  <c r="AA98" i="74"/>
  <c r="AA99" i="74"/>
  <c r="AA100" i="74"/>
  <c r="AA101" i="74"/>
  <c r="AA102" i="74"/>
  <c r="AA103" i="74"/>
  <c r="AA104" i="74"/>
  <c r="AA105" i="74"/>
  <c r="AA106" i="74"/>
  <c r="AA107" i="74"/>
  <c r="AA108" i="74"/>
  <c r="AA109" i="74"/>
  <c r="AA110" i="74"/>
  <c r="AA111" i="74"/>
  <c r="AA112" i="74"/>
  <c r="AA113" i="74"/>
  <c r="AA114" i="74"/>
  <c r="AA115" i="74"/>
  <c r="AA116" i="74"/>
  <c r="AA117" i="74"/>
  <c r="AA118" i="74"/>
  <c r="AA119" i="74"/>
  <c r="AA120" i="74"/>
  <c r="AA121" i="74"/>
  <c r="AA122" i="74"/>
  <c r="AA123" i="74"/>
  <c r="AA124" i="74"/>
  <c r="AA125" i="74"/>
  <c r="AA126" i="74"/>
  <c r="AA127" i="74"/>
  <c r="AA128" i="74"/>
  <c r="AA129" i="74"/>
  <c r="AA130" i="74"/>
  <c r="AA131" i="74"/>
  <c r="AA132" i="74"/>
  <c r="AA133" i="74"/>
  <c r="AA134" i="74"/>
  <c r="AA135" i="74"/>
  <c r="AA136" i="74"/>
  <c r="AA137" i="74"/>
  <c r="AA138" i="74"/>
  <c r="AA139" i="74"/>
  <c r="AA140" i="74"/>
  <c r="AA141" i="74"/>
  <c r="AA142" i="74"/>
  <c r="AA143" i="74"/>
  <c r="AA144" i="74"/>
  <c r="AA145" i="74"/>
  <c r="AA146" i="74"/>
  <c r="AA147" i="74"/>
  <c r="AA148" i="74"/>
  <c r="AA149" i="74"/>
  <c r="AA150" i="74"/>
  <c r="AA151" i="74"/>
  <c r="AA152" i="74"/>
  <c r="AA153" i="74"/>
  <c r="AA154" i="74"/>
  <c r="AA155" i="74"/>
  <c r="AA156" i="74"/>
  <c r="AA157" i="74"/>
  <c r="AA158" i="74"/>
  <c r="AA159" i="74"/>
  <c r="AA160" i="74"/>
  <c r="AA161" i="74"/>
  <c r="AA162" i="74"/>
  <c r="AA163" i="74"/>
  <c r="AA164" i="74"/>
  <c r="AA165" i="74"/>
  <c r="AB165" i="74" l="1"/>
  <c r="AB164" i="74"/>
  <c r="AB163" i="74"/>
  <c r="AB162" i="74"/>
  <c r="S148" i="87"/>
  <c r="S149" i="87"/>
  <c r="S150" i="87"/>
  <c r="S151" i="87"/>
  <c r="S152" i="87"/>
  <c r="S153" i="87"/>
  <c r="S154" i="87"/>
  <c r="S155" i="87"/>
  <c r="S156" i="87"/>
  <c r="S157" i="87"/>
  <c r="S158" i="87"/>
  <c r="S159" i="87"/>
  <c r="M159" i="87"/>
  <c r="L159" i="87"/>
  <c r="K159" i="87"/>
  <c r="J159" i="87"/>
  <c r="I159" i="87"/>
  <c r="N158" i="87"/>
  <c r="N157" i="87"/>
  <c r="N156" i="87"/>
  <c r="N155" i="87"/>
  <c r="N154" i="87"/>
  <c r="N153" i="87"/>
  <c r="N152" i="87"/>
  <c r="N151" i="87"/>
  <c r="N150" i="87"/>
  <c r="N149" i="87"/>
  <c r="N148" i="87"/>
  <c r="N147" i="87"/>
  <c r="S147" i="87"/>
  <c r="D7" i="89"/>
  <c r="D8" i="89"/>
  <c r="D9" i="89"/>
  <c r="D10" i="89"/>
  <c r="D11" i="89"/>
  <c r="D12" i="89"/>
  <c r="D13" i="89"/>
  <c r="D14" i="89"/>
  <c r="D15" i="89"/>
  <c r="D16" i="89"/>
  <c r="D17" i="89"/>
  <c r="D18" i="89"/>
  <c r="D19" i="89"/>
  <c r="D20" i="89"/>
  <c r="D21" i="89"/>
  <c r="D22" i="89"/>
  <c r="D23" i="89"/>
  <c r="D24" i="89"/>
  <c r="D25" i="89"/>
  <c r="D26" i="89"/>
  <c r="D27" i="89"/>
  <c r="D28" i="89"/>
  <c r="D29" i="89"/>
  <c r="D30" i="89"/>
  <c r="D31" i="89"/>
  <c r="D32" i="89"/>
  <c r="D33" i="89"/>
  <c r="D34" i="89"/>
  <c r="D35" i="89"/>
  <c r="D36" i="89"/>
  <c r="D37" i="89"/>
  <c r="D38" i="89"/>
  <c r="D39" i="89"/>
  <c r="D40" i="89"/>
  <c r="D41" i="89"/>
  <c r="D50" i="89"/>
  <c r="D49" i="89"/>
  <c r="D48" i="89"/>
  <c r="D47" i="89"/>
  <c r="D45" i="89"/>
  <c r="D43" i="89"/>
  <c r="D44" i="89"/>
  <c r="D6" i="89"/>
  <c r="N159" i="87" l="1"/>
  <c r="AB161" i="74"/>
  <c r="AB157" i="74"/>
  <c r="AB159" i="74"/>
  <c r="AB158" i="74"/>
  <c r="AB160" i="74"/>
  <c r="AB155" i="74"/>
  <c r="AB156" i="74"/>
  <c r="V84" i="82"/>
  <c r="W84" i="82"/>
  <c r="X84" i="82"/>
  <c r="V85" i="82"/>
  <c r="W85" i="82"/>
  <c r="X85" i="82"/>
  <c r="V86" i="82"/>
  <c r="W86" i="82"/>
  <c r="X86" i="82"/>
  <c r="W83" i="82"/>
  <c r="X83" i="82"/>
  <c r="V83" i="82"/>
  <c r="L85" i="82"/>
  <c r="M85" i="82"/>
  <c r="L84" i="82"/>
  <c r="M84" i="82"/>
  <c r="L83" i="82"/>
  <c r="M83" i="82"/>
  <c r="Q88" i="81"/>
  <c r="R88" i="81"/>
  <c r="S88" i="81"/>
  <c r="T88" i="81"/>
  <c r="Q87" i="81"/>
  <c r="R87" i="81"/>
  <c r="S87" i="81"/>
  <c r="T87" i="81"/>
  <c r="Q86" i="81"/>
  <c r="R86" i="81"/>
  <c r="S86" i="81"/>
  <c r="T86" i="81"/>
  <c r="Q85" i="81"/>
  <c r="R85" i="81"/>
  <c r="S85" i="81"/>
  <c r="T85" i="81"/>
  <c r="Q84" i="81"/>
  <c r="R84" i="81"/>
  <c r="S84" i="81"/>
  <c r="T84" i="81"/>
  <c r="Y83" i="82" l="1"/>
  <c r="Y85" i="82"/>
  <c r="Y86" i="82"/>
  <c r="Y84" i="82"/>
  <c r="V82" i="82"/>
  <c r="W82" i="82"/>
  <c r="X82" i="82"/>
  <c r="L82" i="82"/>
  <c r="M82" i="82"/>
  <c r="L81" i="82"/>
  <c r="M81" i="82"/>
  <c r="J97" i="66"/>
  <c r="X11" i="91"/>
  <c r="Y82" i="82" l="1"/>
  <c r="AB151" i="74"/>
  <c r="AB153" i="74"/>
  <c r="AB154" i="74"/>
  <c r="AB152" i="74"/>
  <c r="AB149" i="74"/>
  <c r="AB150" i="74"/>
  <c r="AB148" i="74"/>
  <c r="H56" i="91"/>
  <c r="H57" i="91" s="1"/>
  <c r="H58" i="91" s="1"/>
  <c r="H59" i="91" s="1"/>
  <c r="H60" i="91" s="1"/>
  <c r="H61" i="91" s="1"/>
  <c r="H62" i="91" s="1"/>
  <c r="H63" i="91" s="1"/>
  <c r="H64" i="91" s="1"/>
  <c r="H65" i="91" s="1"/>
  <c r="H6" i="91"/>
  <c r="H7" i="91" s="1"/>
  <c r="H8" i="91" s="1"/>
  <c r="H9" i="91" s="1"/>
  <c r="H10" i="91" s="1"/>
  <c r="H11" i="91" s="1"/>
  <c r="H12" i="91" s="1"/>
  <c r="H13" i="91" s="1"/>
  <c r="H14" i="91" s="1"/>
  <c r="H15" i="91" s="1"/>
  <c r="H16" i="91" s="1"/>
  <c r="H17" i="91" s="1"/>
  <c r="H18" i="91" s="1"/>
  <c r="H19" i="91" s="1"/>
  <c r="H20" i="91" s="1"/>
  <c r="H21" i="91" s="1"/>
  <c r="H22" i="91" s="1"/>
  <c r="H23" i="91" s="1"/>
  <c r="H24" i="91" s="1"/>
  <c r="H25" i="91" s="1"/>
  <c r="H26" i="91" s="1"/>
  <c r="H27" i="91" s="1"/>
  <c r="H28" i="91" s="1"/>
  <c r="H29" i="91" s="1"/>
  <c r="H30" i="91" s="1"/>
  <c r="H31" i="91" s="1"/>
  <c r="H32" i="91" s="1"/>
  <c r="H33" i="91" s="1"/>
  <c r="H34" i="91" s="1"/>
  <c r="H35" i="91" s="1"/>
  <c r="H36" i="91" s="1"/>
  <c r="H37" i="91" s="1"/>
  <c r="H38" i="91" s="1"/>
  <c r="H39" i="91" s="1"/>
  <c r="M48" i="79"/>
  <c r="U48" i="79"/>
  <c r="U46" i="79"/>
  <c r="U44" i="79"/>
  <c r="V80" i="82"/>
  <c r="W80" i="82"/>
  <c r="X80" i="82"/>
  <c r="V81" i="82"/>
  <c r="Y81" i="82" s="1"/>
  <c r="W81" i="82"/>
  <c r="X81" i="82"/>
  <c r="V79" i="82"/>
  <c r="W79" i="82"/>
  <c r="X79" i="82"/>
  <c r="L80" i="82"/>
  <c r="M80" i="82"/>
  <c r="L79" i="82"/>
  <c r="M79" i="82"/>
  <c r="Q83" i="81"/>
  <c r="R83" i="81"/>
  <c r="S83" i="81"/>
  <c r="T83" i="81"/>
  <c r="Q82" i="81"/>
  <c r="R82" i="81"/>
  <c r="S82" i="81"/>
  <c r="T82" i="81"/>
  <c r="B7" i="93"/>
  <c r="C7" i="93"/>
  <c r="D7" i="93"/>
  <c r="E7" i="93"/>
  <c r="F7" i="93"/>
  <c r="G7" i="93"/>
  <c r="H7" i="93"/>
  <c r="S146" i="87"/>
  <c r="X10" i="91"/>
  <c r="Y79" i="82" l="1"/>
  <c r="Y80" i="82"/>
  <c r="Z5" i="91"/>
  <c r="Z6" i="91"/>
  <c r="Z10" i="91"/>
  <c r="AB147" i="74"/>
  <c r="L4" i="93"/>
  <c r="Z11" i="91"/>
  <c r="AB146" i="74"/>
  <c r="AB145" i="74"/>
  <c r="L5" i="93"/>
  <c r="H1" i="91" l="1"/>
  <c r="M46" i="79" s="1"/>
  <c r="O1" i="93"/>
  <c r="M44" i="79" s="1"/>
  <c r="J129" i="87" l="1"/>
  <c r="CV8" i="81" l="1"/>
  <c r="DE12" i="81"/>
  <c r="CT6" i="81"/>
  <c r="CU6" i="81"/>
  <c r="CV6" i="81"/>
  <c r="CW6" i="81"/>
  <c r="CX6" i="81"/>
  <c r="CY6" i="81"/>
  <c r="CZ6" i="81"/>
  <c r="DA6" i="81"/>
  <c r="DB6" i="81"/>
  <c r="DC6" i="81"/>
  <c r="DD6" i="81"/>
  <c r="DE6" i="81"/>
  <c r="DF6" i="81"/>
  <c r="CU7" i="81"/>
  <c r="CV7" i="81"/>
  <c r="CW7" i="81"/>
  <c r="CX7" i="81"/>
  <c r="CY7" i="81"/>
  <c r="CZ7" i="81"/>
  <c r="DA7" i="81"/>
  <c r="DB7" i="81"/>
  <c r="DC7" i="81"/>
  <c r="DD7" i="81"/>
  <c r="DE7" i="81"/>
  <c r="DF7" i="81"/>
  <c r="CU8" i="81"/>
  <c r="CW8" i="81"/>
  <c r="CX8" i="81"/>
  <c r="CY8" i="81"/>
  <c r="CZ8" i="81"/>
  <c r="DA8" i="81"/>
  <c r="DB8" i="81"/>
  <c r="DC8" i="81"/>
  <c r="DD8" i="81"/>
  <c r="DE8" i="81"/>
  <c r="DF8" i="81"/>
  <c r="CU9" i="81"/>
  <c r="CV9" i="81"/>
  <c r="CW9" i="81"/>
  <c r="CX9" i="81"/>
  <c r="CY9" i="81"/>
  <c r="CZ9" i="81"/>
  <c r="DA9" i="81"/>
  <c r="DB9" i="81"/>
  <c r="DC9" i="81"/>
  <c r="DD9" i="81"/>
  <c r="DE9" i="81"/>
  <c r="DF9" i="81"/>
  <c r="CU10" i="81"/>
  <c r="CV10" i="81"/>
  <c r="CW10" i="81"/>
  <c r="CX10" i="81"/>
  <c r="CY10" i="81"/>
  <c r="CZ10" i="81"/>
  <c r="DA10" i="81"/>
  <c r="DB10" i="81"/>
  <c r="DC10" i="81"/>
  <c r="DD10" i="81"/>
  <c r="DE10" i="81"/>
  <c r="DF10" i="81"/>
  <c r="CU11" i="81"/>
  <c r="CV11" i="81"/>
  <c r="CW11" i="81"/>
  <c r="CX11" i="81"/>
  <c r="CY11" i="81"/>
  <c r="CZ11" i="81"/>
  <c r="DA11" i="81"/>
  <c r="DB11" i="81"/>
  <c r="DC11" i="81"/>
  <c r="DD11" i="81"/>
  <c r="DE11" i="81"/>
  <c r="DF11" i="81"/>
  <c r="CU12" i="81"/>
  <c r="CV12" i="81"/>
  <c r="CW12" i="81"/>
  <c r="CX12" i="81"/>
  <c r="CY12" i="81"/>
  <c r="CZ12" i="81"/>
  <c r="DA12" i="81"/>
  <c r="DB12" i="81"/>
  <c r="DC12" i="81"/>
  <c r="DD12" i="81"/>
  <c r="DF12" i="81"/>
  <c r="CT7" i="81"/>
  <c r="CT8" i="81"/>
  <c r="CT9" i="81"/>
  <c r="CT10" i="81"/>
  <c r="CT11" i="81"/>
  <c r="CT12" i="81"/>
  <c r="DF5" i="81"/>
  <c r="DE5" i="81"/>
  <c r="DD5" i="81"/>
  <c r="DC5" i="81"/>
  <c r="DB5" i="81"/>
  <c r="DA5" i="81"/>
  <c r="CZ5" i="81"/>
  <c r="CY5" i="81"/>
  <c r="CX5" i="81"/>
  <c r="CW5" i="81"/>
  <c r="CV5" i="81"/>
  <c r="CU5" i="81"/>
  <c r="CT5" i="81"/>
  <c r="CS13" i="81"/>
  <c r="CS12" i="81"/>
  <c r="CS11" i="81"/>
  <c r="CS10" i="81"/>
  <c r="CS9" i="81"/>
  <c r="CS8" i="81"/>
  <c r="CS7" i="81"/>
  <c r="CS6" i="81"/>
  <c r="T80" i="81"/>
  <c r="S80" i="81"/>
  <c r="R80" i="81"/>
  <c r="Q80" i="81"/>
  <c r="Q81" i="81"/>
  <c r="R81" i="81"/>
  <c r="S81" i="81"/>
  <c r="T81" i="81"/>
  <c r="L78" i="82"/>
  <c r="M78" i="82"/>
  <c r="A1" i="87"/>
  <c r="J144" i="74"/>
  <c r="I144" i="74"/>
  <c r="R1" i="87"/>
  <c r="B1" i="87"/>
  <c r="C1" i="87"/>
  <c r="D1" i="87"/>
  <c r="E1" i="87"/>
  <c r="X1" i="74"/>
  <c r="U18" i="79"/>
  <c r="U42" i="79"/>
  <c r="U40" i="79"/>
  <c r="U38" i="79"/>
  <c r="U36" i="79"/>
  <c r="U34" i="79"/>
  <c r="U32" i="79"/>
  <c r="U30" i="79"/>
  <c r="U28" i="79"/>
  <c r="U26" i="79"/>
  <c r="U24" i="79"/>
  <c r="U22" i="79"/>
  <c r="U20" i="79"/>
  <c r="P144" i="74" l="1"/>
  <c r="AB144" i="74" s="1"/>
  <c r="AN12" i="89"/>
  <c r="DI11" i="81"/>
  <c r="DI7" i="81"/>
  <c r="DI12" i="81"/>
  <c r="DI8" i="81"/>
  <c r="DI6" i="81"/>
  <c r="DI10" i="81"/>
  <c r="DI13" i="81"/>
  <c r="DI9" i="81"/>
  <c r="AB143" i="74"/>
  <c r="X16" i="79"/>
  <c r="DI5" i="81" l="1"/>
  <c r="S2" i="81" s="1"/>
  <c r="Q79" i="81" l="1"/>
  <c r="R79" i="81"/>
  <c r="S79" i="81"/>
  <c r="T79" i="81"/>
  <c r="B2" i="79"/>
  <c r="S5" i="87" l="1"/>
  <c r="S6" i="87"/>
  <c r="S7" i="87"/>
  <c r="S8" i="87"/>
  <c r="S9" i="87"/>
  <c r="S10" i="87"/>
  <c r="S11" i="87"/>
  <c r="S12" i="87"/>
  <c r="S13" i="87"/>
  <c r="S14" i="87"/>
  <c r="S15" i="87"/>
  <c r="S16" i="87"/>
  <c r="S17" i="87"/>
  <c r="S18" i="87"/>
  <c r="S19" i="87"/>
  <c r="S20" i="87"/>
  <c r="S21" i="87"/>
  <c r="S22" i="87"/>
  <c r="S23" i="87"/>
  <c r="S24" i="87"/>
  <c r="S25" i="87"/>
  <c r="S26" i="87"/>
  <c r="S27" i="87"/>
  <c r="S28" i="87"/>
  <c r="S29" i="87"/>
  <c r="S30" i="87"/>
  <c r="S31" i="87"/>
  <c r="S32" i="87"/>
  <c r="S33" i="87"/>
  <c r="S34" i="87"/>
  <c r="S35" i="87"/>
  <c r="S36" i="87"/>
  <c r="S37" i="87"/>
  <c r="S38" i="87"/>
  <c r="S39" i="87"/>
  <c r="S40" i="87"/>
  <c r="S41" i="87"/>
  <c r="S42" i="87"/>
  <c r="S43" i="87"/>
  <c r="S44" i="87"/>
  <c r="S45" i="87"/>
  <c r="S46" i="87"/>
  <c r="S47" i="87"/>
  <c r="S48" i="87"/>
  <c r="S49" i="87"/>
  <c r="S50" i="87"/>
  <c r="S51" i="87"/>
  <c r="S52" i="87"/>
  <c r="S53" i="87"/>
  <c r="S54" i="87"/>
  <c r="S55" i="87"/>
  <c r="S56" i="87"/>
  <c r="S57" i="87"/>
  <c r="S58" i="87"/>
  <c r="S59" i="87"/>
  <c r="S60" i="87"/>
  <c r="S61" i="87"/>
  <c r="S62" i="87"/>
  <c r="S63" i="87"/>
  <c r="S64" i="87"/>
  <c r="S65" i="87"/>
  <c r="S66" i="87"/>
  <c r="S67" i="87"/>
  <c r="S68" i="87"/>
  <c r="S69" i="87"/>
  <c r="S70" i="87"/>
  <c r="S71" i="87"/>
  <c r="S72" i="87"/>
  <c r="S73" i="87"/>
  <c r="S74" i="87"/>
  <c r="S75" i="87"/>
  <c r="S76" i="87"/>
  <c r="S77" i="87"/>
  <c r="S78" i="87"/>
  <c r="S79" i="87"/>
  <c r="S80" i="87"/>
  <c r="S81" i="87"/>
  <c r="S82" i="87"/>
  <c r="S83" i="87"/>
  <c r="S84" i="87"/>
  <c r="S85" i="87"/>
  <c r="S86" i="87"/>
  <c r="S87" i="87"/>
  <c r="S88" i="87"/>
  <c r="S89" i="87"/>
  <c r="S90" i="87"/>
  <c r="S91" i="87"/>
  <c r="S92" i="87"/>
  <c r="S93" i="87"/>
  <c r="S94" i="87"/>
  <c r="S95" i="87"/>
  <c r="S96" i="87"/>
  <c r="S97" i="87"/>
  <c r="S98" i="87"/>
  <c r="S99" i="87"/>
  <c r="S100" i="87"/>
  <c r="S101" i="87"/>
  <c r="S102" i="87"/>
  <c r="S103" i="87"/>
  <c r="S104" i="87"/>
  <c r="S105" i="87"/>
  <c r="S106" i="87"/>
  <c r="S107" i="87"/>
  <c r="S108" i="87"/>
  <c r="S109" i="87"/>
  <c r="S110" i="87"/>
  <c r="S111" i="87"/>
  <c r="S112" i="87"/>
  <c r="S113" i="87"/>
  <c r="S114" i="87"/>
  <c r="S115" i="87"/>
  <c r="S116" i="87"/>
  <c r="S117" i="87"/>
  <c r="S118" i="87"/>
  <c r="S119" i="87"/>
  <c r="S120" i="87"/>
  <c r="S121" i="87"/>
  <c r="S122" i="87"/>
  <c r="S123" i="87"/>
  <c r="S124" i="87"/>
  <c r="S125" i="87"/>
  <c r="S126" i="87"/>
  <c r="S127" i="87"/>
  <c r="S128" i="87"/>
  <c r="S129" i="87"/>
  <c r="S130" i="87"/>
  <c r="S131" i="87"/>
  <c r="S132" i="87"/>
  <c r="S133" i="87"/>
  <c r="S134" i="87"/>
  <c r="S135" i="87"/>
  <c r="S136" i="87"/>
  <c r="S137" i="87"/>
  <c r="S138" i="87"/>
  <c r="S139" i="87"/>
  <c r="S140" i="87"/>
  <c r="S141" i="87"/>
  <c r="S142" i="87"/>
  <c r="S143" i="87"/>
  <c r="S144" i="87"/>
  <c r="S145" i="87"/>
  <c r="S4" i="87"/>
  <c r="AS7" i="87"/>
  <c r="AS8" i="87"/>
  <c r="AS9" i="87"/>
  <c r="AS10" i="87"/>
  <c r="AS11" i="87"/>
  <c r="AS12" i="87"/>
  <c r="AS13" i="87"/>
  <c r="AS14" i="87"/>
  <c r="AS15" i="87"/>
  <c r="AS16" i="87"/>
  <c r="AS17" i="87"/>
  <c r="AS6" i="87"/>
  <c r="J133" i="87"/>
  <c r="P109" i="87"/>
  <c r="P110" i="87" s="1"/>
  <c r="P111" i="87" s="1"/>
  <c r="P112" i="87" s="1"/>
  <c r="P113" i="87" s="1"/>
  <c r="M146" i="87"/>
  <c r="L146" i="87"/>
  <c r="K146" i="87"/>
  <c r="J146" i="87"/>
  <c r="I146" i="87"/>
  <c r="N145" i="87"/>
  <c r="N144" i="87"/>
  <c r="N143" i="87"/>
  <c r="N142" i="87"/>
  <c r="N141" i="87"/>
  <c r="N140" i="87"/>
  <c r="N139" i="87"/>
  <c r="N138" i="87"/>
  <c r="N137" i="87"/>
  <c r="N136" i="87"/>
  <c r="N135" i="87"/>
  <c r="N134" i="87"/>
  <c r="M133" i="87"/>
  <c r="L133" i="87"/>
  <c r="K133" i="87"/>
  <c r="I133" i="87"/>
  <c r="N132" i="87"/>
  <c r="N131" i="87"/>
  <c r="N130" i="87"/>
  <c r="N128" i="87"/>
  <c r="N127" i="87"/>
  <c r="N126" i="87"/>
  <c r="N125" i="87"/>
  <c r="N124" i="87"/>
  <c r="N123" i="87"/>
  <c r="N122" i="87"/>
  <c r="N121" i="87"/>
  <c r="M120" i="87"/>
  <c r="L120" i="87"/>
  <c r="K120" i="87"/>
  <c r="J120" i="87"/>
  <c r="I120" i="87"/>
  <c r="N119" i="87"/>
  <c r="N118" i="87"/>
  <c r="N117" i="87"/>
  <c r="N116" i="87"/>
  <c r="N115" i="87"/>
  <c r="N114" i="87"/>
  <c r="N113" i="87"/>
  <c r="N112" i="87"/>
  <c r="N111" i="87"/>
  <c r="N110" i="87"/>
  <c r="N109" i="87"/>
  <c r="N108" i="87"/>
  <c r="M107" i="87"/>
  <c r="L107" i="87"/>
  <c r="K107" i="87"/>
  <c r="J107" i="87"/>
  <c r="I107" i="87"/>
  <c r="N106" i="87"/>
  <c r="N105" i="87"/>
  <c r="N104" i="87"/>
  <c r="N103" i="87"/>
  <c r="N102" i="87"/>
  <c r="N101" i="87"/>
  <c r="N100" i="87"/>
  <c r="N99" i="87"/>
  <c r="N98" i="87"/>
  <c r="N97" i="87"/>
  <c r="N96" i="87"/>
  <c r="N95" i="87"/>
  <c r="M94" i="87"/>
  <c r="L94" i="87"/>
  <c r="K94" i="87"/>
  <c r="J94" i="87"/>
  <c r="I94" i="87"/>
  <c r="N93" i="87"/>
  <c r="N92" i="87"/>
  <c r="N91" i="87"/>
  <c r="N90" i="87"/>
  <c r="N89" i="87"/>
  <c r="N88" i="87"/>
  <c r="N87" i="87"/>
  <c r="N86" i="87"/>
  <c r="N85" i="87"/>
  <c r="N84" i="87"/>
  <c r="N83" i="87"/>
  <c r="N82" i="87"/>
  <c r="M81" i="87"/>
  <c r="L81" i="87"/>
  <c r="K81" i="87"/>
  <c r="J81" i="87"/>
  <c r="I81" i="87"/>
  <c r="N80" i="87"/>
  <c r="N79" i="87"/>
  <c r="N78" i="87"/>
  <c r="N77" i="87"/>
  <c r="N76" i="87"/>
  <c r="N75" i="87"/>
  <c r="N74" i="87"/>
  <c r="N73" i="87"/>
  <c r="N72" i="87"/>
  <c r="N71" i="87"/>
  <c r="N70" i="87"/>
  <c r="N69" i="87"/>
  <c r="N67" i="87"/>
  <c r="N66" i="87"/>
  <c r="N65" i="87"/>
  <c r="N64" i="87"/>
  <c r="N63" i="87"/>
  <c r="N62" i="87"/>
  <c r="N61" i="87"/>
  <c r="N60" i="87"/>
  <c r="N59" i="87"/>
  <c r="N58" i="87"/>
  <c r="N57" i="87"/>
  <c r="N56" i="87"/>
  <c r="N54" i="87"/>
  <c r="N53" i="87"/>
  <c r="N52" i="87"/>
  <c r="N51" i="87"/>
  <c r="N50" i="87"/>
  <c r="N49" i="87"/>
  <c r="N48" i="87"/>
  <c r="N47" i="87"/>
  <c r="N46" i="87"/>
  <c r="N45" i="87"/>
  <c r="N44" i="87"/>
  <c r="N43" i="87"/>
  <c r="N41" i="87"/>
  <c r="N40" i="87"/>
  <c r="N39" i="87"/>
  <c r="N38" i="87"/>
  <c r="N37" i="87"/>
  <c r="N36" i="87"/>
  <c r="N35" i="87"/>
  <c r="N34" i="87"/>
  <c r="N33" i="87"/>
  <c r="N32" i="87"/>
  <c r="N31" i="87"/>
  <c r="N30" i="87"/>
  <c r="N28" i="87"/>
  <c r="N27" i="87"/>
  <c r="N26" i="87"/>
  <c r="N25" i="87"/>
  <c r="N24" i="87"/>
  <c r="N23" i="87"/>
  <c r="N22" i="87"/>
  <c r="N21" i="87"/>
  <c r="N20" i="87"/>
  <c r="N19" i="87"/>
  <c r="N18" i="87"/>
  <c r="N17" i="87"/>
  <c r="N5" i="87"/>
  <c r="N6" i="87"/>
  <c r="N7" i="87"/>
  <c r="N8" i="87"/>
  <c r="N9" i="87"/>
  <c r="N10" i="87"/>
  <c r="N11" i="87"/>
  <c r="N12" i="87"/>
  <c r="N13" i="87"/>
  <c r="N14" i="87"/>
  <c r="N15" i="87"/>
  <c r="N4" i="87"/>
  <c r="O4" i="87" s="1"/>
  <c r="M68" i="87"/>
  <c r="L68" i="87"/>
  <c r="K68" i="87"/>
  <c r="J68" i="87"/>
  <c r="I68" i="87"/>
  <c r="M55" i="87"/>
  <c r="L55" i="87"/>
  <c r="K55" i="87"/>
  <c r="J55" i="87"/>
  <c r="I55" i="87"/>
  <c r="M42" i="87"/>
  <c r="L42" i="87"/>
  <c r="K42" i="87"/>
  <c r="J42" i="87"/>
  <c r="I42" i="87"/>
  <c r="M29" i="87"/>
  <c r="L29" i="87"/>
  <c r="K29" i="87"/>
  <c r="J29" i="87"/>
  <c r="I29" i="87"/>
  <c r="G17" i="87"/>
  <c r="G18" i="87" s="1"/>
  <c r="M16" i="87"/>
  <c r="L16" i="87"/>
  <c r="K16" i="87"/>
  <c r="J16" i="87"/>
  <c r="I16" i="87"/>
  <c r="G5" i="87"/>
  <c r="H4" i="87"/>
  <c r="B19" i="79"/>
  <c r="B18" i="79"/>
  <c r="B21" i="79" l="1"/>
  <c r="S2" i="87"/>
  <c r="M24" i="79" s="1"/>
  <c r="N129" i="87"/>
  <c r="N133" i="87" s="1"/>
  <c r="N107" i="87"/>
  <c r="N94" i="87"/>
  <c r="N120" i="87"/>
  <c r="N146" i="87"/>
  <c r="N81" i="87"/>
  <c r="N68" i="87"/>
  <c r="N55" i="87"/>
  <c r="N42" i="87"/>
  <c r="N29" i="87"/>
  <c r="Q4" i="87"/>
  <c r="O5" i="87"/>
  <c r="N16" i="87"/>
  <c r="H17" i="87"/>
  <c r="G19" i="87"/>
  <c r="H18" i="87"/>
  <c r="G6" i="87"/>
  <c r="H5" i="87"/>
  <c r="G30" i="87"/>
  <c r="O6" i="87" l="1"/>
  <c r="Q5" i="87"/>
  <c r="G31" i="87"/>
  <c r="H30" i="87"/>
  <c r="G43" i="87"/>
  <c r="G20" i="87"/>
  <c r="H19" i="87"/>
  <c r="G7" i="87"/>
  <c r="H6" i="87"/>
  <c r="O7" i="87" l="1"/>
  <c r="Q6" i="87"/>
  <c r="H43" i="87"/>
  <c r="G44" i="87"/>
  <c r="G56" i="87"/>
  <c r="G69" i="87" s="1"/>
  <c r="H7" i="87"/>
  <c r="G8" i="87"/>
  <c r="G21" i="87"/>
  <c r="H20" i="87"/>
  <c r="G32" i="87"/>
  <c r="H31" i="87"/>
  <c r="G70" i="87" l="1"/>
  <c r="G82" i="87"/>
  <c r="H69" i="87"/>
  <c r="O8" i="87"/>
  <c r="Q7" i="87"/>
  <c r="G45" i="87"/>
  <c r="H44" i="87"/>
  <c r="G22" i="87"/>
  <c r="H21" i="87"/>
  <c r="G33" i="87"/>
  <c r="H32" i="87"/>
  <c r="H8" i="87"/>
  <c r="G9" i="87"/>
  <c r="G57" i="87"/>
  <c r="H56" i="87"/>
  <c r="G83" i="87" l="1"/>
  <c r="G95" i="87"/>
  <c r="H82" i="87"/>
  <c r="H70" i="87"/>
  <c r="G71" i="87"/>
  <c r="O9" i="87"/>
  <c r="Q8" i="87"/>
  <c r="H33" i="87"/>
  <c r="G34" i="87"/>
  <c r="G58" i="87"/>
  <c r="H57" i="87"/>
  <c r="G23" i="87"/>
  <c r="H22" i="87"/>
  <c r="G10" i="87"/>
  <c r="H9" i="87"/>
  <c r="G46" i="87"/>
  <c r="H45" i="87"/>
  <c r="H95" i="87" l="1"/>
  <c r="G108" i="87"/>
  <c r="G96" i="87"/>
  <c r="H71" i="87"/>
  <c r="G72" i="87"/>
  <c r="G84" i="87"/>
  <c r="H83" i="87"/>
  <c r="O10" i="87"/>
  <c r="Q9" i="87"/>
  <c r="G35" i="87"/>
  <c r="H34" i="87"/>
  <c r="H46" i="87"/>
  <c r="G47" i="87"/>
  <c r="G11" i="87"/>
  <c r="H10" i="87"/>
  <c r="G59" i="87"/>
  <c r="H58" i="87"/>
  <c r="G24" i="87"/>
  <c r="H23" i="87"/>
  <c r="G85" i="87" l="1"/>
  <c r="H84" i="87"/>
  <c r="G109" i="87"/>
  <c r="G121" i="87"/>
  <c r="H108" i="87"/>
  <c r="G97" i="87"/>
  <c r="H96" i="87"/>
  <c r="H72" i="87"/>
  <c r="G73" i="87"/>
  <c r="O11" i="87"/>
  <c r="Q10" i="87"/>
  <c r="H11" i="87"/>
  <c r="G12" i="87"/>
  <c r="G36" i="87"/>
  <c r="H35" i="87"/>
  <c r="G48" i="87"/>
  <c r="H47" i="87"/>
  <c r="G25" i="87"/>
  <c r="H24" i="87"/>
  <c r="G60" i="87"/>
  <c r="H59" i="87"/>
  <c r="H121" i="87" l="1"/>
  <c r="G134" i="87"/>
  <c r="G147" i="87" s="1"/>
  <c r="G160" i="87" s="1"/>
  <c r="G122" i="87"/>
  <c r="G110" i="87"/>
  <c r="H109" i="87"/>
  <c r="G98" i="87"/>
  <c r="H97" i="87"/>
  <c r="G74" i="87"/>
  <c r="H73" i="87"/>
  <c r="G86" i="87"/>
  <c r="H85" i="87"/>
  <c r="O12" i="87"/>
  <c r="Q11" i="87"/>
  <c r="H12" i="87"/>
  <c r="G13" i="87"/>
  <c r="G61" i="87"/>
  <c r="H60" i="87"/>
  <c r="G49" i="87"/>
  <c r="H48" i="87"/>
  <c r="G26" i="87"/>
  <c r="H25" i="87"/>
  <c r="G37" i="87"/>
  <c r="H36" i="87"/>
  <c r="H160" i="87" l="1"/>
  <c r="G173" i="87"/>
  <c r="G161" i="87"/>
  <c r="H161" i="87" s="1"/>
  <c r="G148" i="87"/>
  <c r="H147" i="87"/>
  <c r="H74" i="87"/>
  <c r="G75" i="87"/>
  <c r="G87" i="87"/>
  <c r="H86" i="87"/>
  <c r="G99" i="87"/>
  <c r="H98" i="87"/>
  <c r="G111" i="87"/>
  <c r="H110" i="87"/>
  <c r="H122" i="87"/>
  <c r="G123" i="87"/>
  <c r="G135" i="87"/>
  <c r="H134" i="87"/>
  <c r="O13" i="87"/>
  <c r="Q12" i="87"/>
  <c r="G14" i="87"/>
  <c r="H13" i="87"/>
  <c r="G27" i="87"/>
  <c r="H26" i="87"/>
  <c r="G62" i="87"/>
  <c r="H61" i="87"/>
  <c r="H37" i="87"/>
  <c r="G38" i="87"/>
  <c r="G50" i="87"/>
  <c r="H49" i="87"/>
  <c r="H173" i="87" l="1"/>
  <c r="G186" i="87"/>
  <c r="G174" i="87"/>
  <c r="G162" i="87"/>
  <c r="H162" i="87" s="1"/>
  <c r="H148" i="87"/>
  <c r="G149" i="87"/>
  <c r="G112" i="87"/>
  <c r="H111" i="87"/>
  <c r="H123" i="87"/>
  <c r="G124" i="87"/>
  <c r="G76" i="87"/>
  <c r="H75" i="87"/>
  <c r="H135" i="87"/>
  <c r="G136" i="87"/>
  <c r="H87" i="87"/>
  <c r="G88" i="87"/>
  <c r="H99" i="87"/>
  <c r="G100" i="87"/>
  <c r="Q13" i="87"/>
  <c r="O14" i="87"/>
  <c r="G63" i="87"/>
  <c r="H62" i="87"/>
  <c r="G39" i="87"/>
  <c r="H38" i="87"/>
  <c r="G51" i="87"/>
  <c r="H50" i="87"/>
  <c r="G28" i="87"/>
  <c r="H27" i="87"/>
  <c r="G15" i="87"/>
  <c r="H14" i="87"/>
  <c r="G175" i="87" l="1"/>
  <c r="H174" i="87"/>
  <c r="G187" i="87"/>
  <c r="G199" i="87"/>
  <c r="H186" i="87"/>
  <c r="G163" i="87"/>
  <c r="H163" i="87" s="1"/>
  <c r="G150" i="87"/>
  <c r="H149" i="87"/>
  <c r="H28" i="87"/>
  <c r="G29" i="87"/>
  <c r="H15" i="87"/>
  <c r="G16" i="87"/>
  <c r="H88" i="87"/>
  <c r="G89" i="87"/>
  <c r="G101" i="87"/>
  <c r="H100" i="87"/>
  <c r="G137" i="87"/>
  <c r="G138" i="87" s="1"/>
  <c r="H138" i="87" s="1"/>
  <c r="H136" i="87"/>
  <c r="G125" i="87"/>
  <c r="H124" i="87"/>
  <c r="H76" i="87"/>
  <c r="G77" i="87"/>
  <c r="G113" i="87"/>
  <c r="H112" i="87"/>
  <c r="O15" i="87"/>
  <c r="Q14" i="87"/>
  <c r="G52" i="87"/>
  <c r="H51" i="87"/>
  <c r="G40" i="87"/>
  <c r="H39" i="87"/>
  <c r="G64" i="87"/>
  <c r="H63" i="87"/>
  <c r="G200" i="87" l="1"/>
  <c r="G212" i="87"/>
  <c r="H199" i="87"/>
  <c r="G188" i="87"/>
  <c r="H187" i="87"/>
  <c r="H175" i="87"/>
  <c r="G176" i="87"/>
  <c r="G164" i="87"/>
  <c r="H164" i="87" s="1"/>
  <c r="H150" i="87"/>
  <c r="G151" i="87"/>
  <c r="G114" i="87"/>
  <c r="H113" i="87"/>
  <c r="H125" i="87"/>
  <c r="G126" i="87"/>
  <c r="H101" i="87"/>
  <c r="G102" i="87"/>
  <c r="H89" i="87"/>
  <c r="G90" i="87"/>
  <c r="H77" i="87"/>
  <c r="G78" i="87"/>
  <c r="H137" i="87"/>
  <c r="Q15" i="87"/>
  <c r="Q16" i="87" s="1"/>
  <c r="O16" i="87" s="1"/>
  <c r="O17" i="87" s="1"/>
  <c r="G65" i="87"/>
  <c r="H64" i="87"/>
  <c r="G53" i="87"/>
  <c r="H52" i="87"/>
  <c r="G41" i="87"/>
  <c r="H40" i="87"/>
  <c r="G213" i="87" l="1"/>
  <c r="G225" i="87"/>
  <c r="H212" i="87"/>
  <c r="G189" i="87"/>
  <c r="H188" i="87"/>
  <c r="H176" i="87"/>
  <c r="G177" i="87"/>
  <c r="G201" i="87"/>
  <c r="H200" i="87"/>
  <c r="G165" i="87"/>
  <c r="H165" i="87" s="1"/>
  <c r="G152" i="87"/>
  <c r="H151" i="87"/>
  <c r="H41" i="87"/>
  <c r="G42" i="87"/>
  <c r="G139" i="87"/>
  <c r="H90" i="87"/>
  <c r="G91" i="87"/>
  <c r="H126" i="87"/>
  <c r="G127" i="87"/>
  <c r="H78" i="87"/>
  <c r="G79" i="87"/>
  <c r="H102" i="87"/>
  <c r="G103" i="87"/>
  <c r="H114" i="87"/>
  <c r="G115" i="87"/>
  <c r="Q17" i="87"/>
  <c r="O18" i="87"/>
  <c r="G66" i="87"/>
  <c r="H65" i="87"/>
  <c r="G54" i="87"/>
  <c r="H53" i="87"/>
  <c r="G202" i="87" l="1"/>
  <c r="H201" i="87"/>
  <c r="H189" i="87"/>
  <c r="G190" i="87"/>
  <c r="H177" i="87"/>
  <c r="G178" i="87"/>
  <c r="G226" i="87"/>
  <c r="H225" i="87"/>
  <c r="H213" i="87"/>
  <c r="G214" i="87"/>
  <c r="G166" i="87"/>
  <c r="H166" i="87" s="1"/>
  <c r="G153" i="87"/>
  <c r="H152" i="87"/>
  <c r="H54" i="87"/>
  <c r="G55" i="87"/>
  <c r="H115" i="87"/>
  <c r="G116" i="87"/>
  <c r="G92" i="87"/>
  <c r="H91" i="87"/>
  <c r="G104" i="87"/>
  <c r="H103" i="87"/>
  <c r="H127" i="87"/>
  <c r="G128" i="87"/>
  <c r="G140" i="87"/>
  <c r="H139" i="87"/>
  <c r="G80" i="87"/>
  <c r="H79" i="87"/>
  <c r="Q18" i="87"/>
  <c r="O19" i="87"/>
  <c r="G67" i="87"/>
  <c r="H66" i="87"/>
  <c r="H226" i="87" l="1"/>
  <c r="G227" i="87"/>
  <c r="G215" i="87"/>
  <c r="H214" i="87"/>
  <c r="H178" i="87"/>
  <c r="G179" i="87"/>
  <c r="G191" i="87"/>
  <c r="H190" i="87"/>
  <c r="G203" i="87"/>
  <c r="H202" i="87"/>
  <c r="G167" i="87"/>
  <c r="H167" i="87" s="1"/>
  <c r="G154" i="87"/>
  <c r="H153" i="87"/>
  <c r="H67" i="87"/>
  <c r="G68" i="87"/>
  <c r="H80" i="87"/>
  <c r="G81" i="87"/>
  <c r="G129" i="87"/>
  <c r="H128" i="87"/>
  <c r="G93" i="87"/>
  <c r="H92" i="87"/>
  <c r="H116" i="87"/>
  <c r="G117" i="87"/>
  <c r="H140" i="87"/>
  <c r="G141" i="87"/>
  <c r="H104" i="87"/>
  <c r="G105" i="87"/>
  <c r="O20" i="87"/>
  <c r="Q19" i="87"/>
  <c r="G204" i="87" l="1"/>
  <c r="H203" i="87"/>
  <c r="H191" i="87"/>
  <c r="G192" i="87"/>
  <c r="G216" i="87"/>
  <c r="H215" i="87"/>
  <c r="G180" i="87"/>
  <c r="H179" i="87"/>
  <c r="G228" i="87"/>
  <c r="H227" i="87"/>
  <c r="G168" i="87"/>
  <c r="H168" i="87" s="1"/>
  <c r="G155" i="87"/>
  <c r="H154" i="87"/>
  <c r="H93" i="87"/>
  <c r="G94" i="87"/>
  <c r="G142" i="87"/>
  <c r="H141" i="87"/>
  <c r="G106" i="87"/>
  <c r="H105" i="87"/>
  <c r="G118" i="87"/>
  <c r="H117" i="87"/>
  <c r="G130" i="87"/>
  <c r="H129" i="87"/>
  <c r="O21" i="87"/>
  <c r="Q20" i="87"/>
  <c r="H192" i="87" l="1"/>
  <c r="G193" i="87"/>
  <c r="H180" i="87"/>
  <c r="G181" i="87"/>
  <c r="G229" i="87"/>
  <c r="H228" i="87"/>
  <c r="H216" i="87"/>
  <c r="G217" i="87"/>
  <c r="H204" i="87"/>
  <c r="G205" i="87"/>
  <c r="G169" i="87"/>
  <c r="H169" i="87" s="1"/>
  <c r="G156" i="87"/>
  <c r="H155" i="87"/>
  <c r="H106" i="87"/>
  <c r="G107" i="87"/>
  <c r="H130" i="87"/>
  <c r="G131" i="87"/>
  <c r="G119" i="87"/>
  <c r="H118" i="87"/>
  <c r="H142" i="87"/>
  <c r="G143" i="87"/>
  <c r="O22" i="87"/>
  <c r="Q21" i="87"/>
  <c r="H181" i="87" l="1"/>
  <c r="G182" i="87"/>
  <c r="G206" i="87"/>
  <c r="H205" i="87"/>
  <c r="H193" i="87"/>
  <c r="G194" i="87"/>
  <c r="H217" i="87"/>
  <c r="G218" i="87"/>
  <c r="G230" i="87"/>
  <c r="H229" i="87"/>
  <c r="G170" i="87"/>
  <c r="H170" i="87" s="1"/>
  <c r="G157" i="87"/>
  <c r="H156" i="87"/>
  <c r="H119" i="87"/>
  <c r="G120" i="87"/>
  <c r="G144" i="87"/>
  <c r="H143" i="87"/>
  <c r="G132" i="87"/>
  <c r="H131" i="87"/>
  <c r="Q22" i="87"/>
  <c r="O23" i="87"/>
  <c r="G207" i="87" l="1"/>
  <c r="H206" i="87"/>
  <c r="H194" i="87"/>
  <c r="G195" i="87"/>
  <c r="H182" i="87"/>
  <c r="G183" i="87"/>
  <c r="G219" i="87"/>
  <c r="H218" i="87"/>
  <c r="H230" i="87"/>
  <c r="G231" i="87"/>
  <c r="G171" i="87"/>
  <c r="H171" i="87" s="1"/>
  <c r="G158" i="87"/>
  <c r="G159" i="87" s="1"/>
  <c r="H157" i="87"/>
  <c r="H132" i="87"/>
  <c r="G133" i="87"/>
  <c r="G145" i="87"/>
  <c r="H144" i="87"/>
  <c r="Q23" i="87"/>
  <c r="O24" i="87"/>
  <c r="H195" i="87" l="1"/>
  <c r="G196" i="87"/>
  <c r="G220" i="87"/>
  <c r="H219" i="87"/>
  <c r="G232" i="87"/>
  <c r="H231" i="87"/>
  <c r="H183" i="87"/>
  <c r="G184" i="87"/>
  <c r="G208" i="87"/>
  <c r="H207" i="87"/>
  <c r="G172" i="87"/>
  <c r="H158" i="87"/>
  <c r="H145" i="87"/>
  <c r="G146" i="87"/>
  <c r="O25" i="87"/>
  <c r="Q24" i="87"/>
  <c r="H184" i="87" l="1"/>
  <c r="G185" i="87"/>
  <c r="G221" i="87"/>
  <c r="H220" i="87"/>
  <c r="G197" i="87"/>
  <c r="H196" i="87"/>
  <c r="H208" i="87"/>
  <c r="G209" i="87"/>
  <c r="H232" i="87"/>
  <c r="G233" i="87"/>
  <c r="O26" i="87"/>
  <c r="Q25" i="87"/>
  <c r="G222" i="87" l="1"/>
  <c r="H221" i="87"/>
  <c r="G210" i="87"/>
  <c r="H209" i="87"/>
  <c r="G234" i="87"/>
  <c r="H233" i="87"/>
  <c r="G198" i="87"/>
  <c r="H197" i="87"/>
  <c r="Q26" i="87"/>
  <c r="O27" i="87"/>
  <c r="G211" i="87" l="1"/>
  <c r="H210" i="87"/>
  <c r="H234" i="87"/>
  <c r="G235" i="87"/>
  <c r="H222" i="87"/>
  <c r="G223" i="87"/>
  <c r="O28" i="87"/>
  <c r="Q28" i="87" s="1"/>
  <c r="Q27" i="87"/>
  <c r="G236" i="87" l="1"/>
  <c r="H235" i="87"/>
  <c r="H223" i="87"/>
  <c r="G224" i="87"/>
  <c r="Q29" i="87"/>
  <c r="O29" i="87" s="1"/>
  <c r="O30" i="87" s="1"/>
  <c r="G237" i="87" l="1"/>
  <c r="H236" i="87"/>
  <c r="Q30" i="87"/>
  <c r="O31" i="87"/>
  <c r="O32" i="87" l="1"/>
  <c r="Q31" i="87"/>
  <c r="O33" i="87" l="1"/>
  <c r="Q32" i="87"/>
  <c r="O34" i="87" l="1"/>
  <c r="Q33" i="87"/>
  <c r="Q34" i="87" l="1"/>
  <c r="O35" i="87"/>
  <c r="Q35" i="87" l="1"/>
  <c r="O36" i="87"/>
  <c r="O37" i="87" l="1"/>
  <c r="Q36" i="87"/>
  <c r="O38" i="87" l="1"/>
  <c r="Q37" i="87"/>
  <c r="Q38" i="87" l="1"/>
  <c r="O39" i="87"/>
  <c r="O40" i="87" l="1"/>
  <c r="Q39" i="87"/>
  <c r="Q40" i="87" l="1"/>
  <c r="O41" i="87"/>
  <c r="Q41" i="87" l="1"/>
  <c r="Q42" i="87" s="1"/>
  <c r="O42" i="87" s="1"/>
  <c r="O43" i="87" s="1"/>
  <c r="O44" i="87" l="1"/>
  <c r="Q43" i="87"/>
  <c r="O45" i="87" l="1"/>
  <c r="Q44" i="87"/>
  <c r="O46" i="87" l="1"/>
  <c r="Q45" i="87"/>
  <c r="O47" i="87" l="1"/>
  <c r="Q46" i="87"/>
  <c r="O48" i="87" l="1"/>
  <c r="Q47" i="87"/>
  <c r="O49" i="87" l="1"/>
  <c r="Q48" i="87"/>
  <c r="O50" i="87" l="1"/>
  <c r="Q49" i="87"/>
  <c r="O51" i="87" l="1"/>
  <c r="Q50" i="87"/>
  <c r="O52" i="87" l="1"/>
  <c r="Q51" i="87"/>
  <c r="O53" i="87" l="1"/>
  <c r="Q52" i="87"/>
  <c r="O54" i="87" l="1"/>
  <c r="Q54" i="87" s="1"/>
  <c r="Q53" i="87"/>
  <c r="Q55" i="87" l="1"/>
  <c r="O55" i="87" s="1"/>
  <c r="O56" i="87" s="1"/>
  <c r="O57" i="87" l="1"/>
  <c r="Q56" i="87"/>
  <c r="Q57" i="87" l="1"/>
  <c r="O58" i="87"/>
  <c r="O59" i="87" l="1"/>
  <c r="Q58" i="87"/>
  <c r="O60" i="87" l="1"/>
  <c r="Q59" i="87"/>
  <c r="Q60" i="87" l="1"/>
  <c r="O61" i="87"/>
  <c r="O62" i="87" l="1"/>
  <c r="Q61" i="87"/>
  <c r="O63" i="87" l="1"/>
  <c r="Q62" i="87"/>
  <c r="O64" i="87" l="1"/>
  <c r="Q63" i="87"/>
  <c r="O65" i="87" l="1"/>
  <c r="Q64" i="87"/>
  <c r="O66" i="87" l="1"/>
  <c r="Q65" i="87"/>
  <c r="O67" i="87" l="1"/>
  <c r="Q66" i="87"/>
  <c r="Q67" i="87" l="1"/>
  <c r="Q68" i="87" s="1"/>
  <c r="O68" i="87" s="1"/>
  <c r="O69" i="87" s="1"/>
  <c r="Q69" i="87" l="1"/>
  <c r="O70" i="87"/>
  <c r="O71" i="87" l="1"/>
  <c r="Q70" i="87"/>
  <c r="O72" i="87" l="1"/>
  <c r="Q71" i="87"/>
  <c r="O73" i="87" l="1"/>
  <c r="Q72" i="87"/>
  <c r="O74" i="87" l="1"/>
  <c r="Q73" i="87"/>
  <c r="O75" i="87" l="1"/>
  <c r="Q74" i="87"/>
  <c r="O76" i="87" l="1"/>
  <c r="Q75" i="87"/>
  <c r="O77" i="87" l="1"/>
  <c r="Q76" i="87"/>
  <c r="Q77" i="87" l="1"/>
  <c r="O78" i="87"/>
  <c r="O79" i="87" l="1"/>
  <c r="Q78" i="87"/>
  <c r="O80" i="87" l="1"/>
  <c r="Q80" i="87" s="1"/>
  <c r="Q79" i="87"/>
  <c r="Q81" i="87" l="1"/>
  <c r="O81" i="87" s="1"/>
  <c r="O82" i="87" s="1"/>
  <c r="O83" i="87" l="1"/>
  <c r="Q82" i="87"/>
  <c r="Q83" i="87" l="1"/>
  <c r="O84" i="87"/>
  <c r="Q84" i="87" l="1"/>
  <c r="O85" i="87"/>
  <c r="O86" i="87" l="1"/>
  <c r="Q85" i="87"/>
  <c r="O87" i="87" l="1"/>
  <c r="Q86" i="87"/>
  <c r="O88" i="87" l="1"/>
  <c r="Q87" i="87"/>
  <c r="Q88" i="87" l="1"/>
  <c r="O89" i="87"/>
  <c r="O90" i="87" l="1"/>
  <c r="Q89" i="87"/>
  <c r="O91" i="87" l="1"/>
  <c r="Q90" i="87"/>
  <c r="O92" i="87" l="1"/>
  <c r="Q91" i="87"/>
  <c r="Q92" i="87" l="1"/>
  <c r="O93" i="87"/>
  <c r="Q93" i="87" s="1"/>
  <c r="Q94" i="87" l="1"/>
  <c r="O94" i="87" s="1"/>
  <c r="O95" i="87" s="1"/>
  <c r="O96" i="87" s="1"/>
  <c r="Q95" i="87" l="1"/>
  <c r="O97" i="87"/>
  <c r="Q96" i="87"/>
  <c r="Q97" i="87" l="1"/>
  <c r="O98" i="87"/>
  <c r="O99" i="87" l="1"/>
  <c r="Q98" i="87"/>
  <c r="Q99" i="87" l="1"/>
  <c r="O100" i="87"/>
  <c r="O101" i="87" l="1"/>
  <c r="Q100" i="87"/>
  <c r="O102" i="87" l="1"/>
  <c r="Q101" i="87"/>
  <c r="O103" i="87" l="1"/>
  <c r="Q102" i="87"/>
  <c r="O104" i="87" l="1"/>
  <c r="Q103" i="87"/>
  <c r="O105" i="87" l="1"/>
  <c r="Q104" i="87"/>
  <c r="O106" i="87" l="1"/>
  <c r="Q106" i="87" s="1"/>
  <c r="Q105" i="87"/>
  <c r="Q107" i="87" l="1"/>
  <c r="O107" i="87" s="1"/>
  <c r="O108" i="87" s="1"/>
  <c r="O109" i="87" l="1"/>
  <c r="Q108" i="87"/>
  <c r="Q109" i="87" l="1"/>
  <c r="O110" i="87"/>
  <c r="O111" i="87" l="1"/>
  <c r="Q110" i="87"/>
  <c r="O112" i="87" l="1"/>
  <c r="Q111" i="87"/>
  <c r="O113" i="87" l="1"/>
  <c r="Q112" i="87"/>
  <c r="O114" i="87" l="1"/>
  <c r="Q113" i="87"/>
  <c r="O115" i="87" l="1"/>
  <c r="Q114" i="87"/>
  <c r="O116" i="87" l="1"/>
  <c r="Q115" i="87"/>
  <c r="O117" i="87" l="1"/>
  <c r="Q116" i="87"/>
  <c r="O118" i="87" l="1"/>
  <c r="Q117" i="87"/>
  <c r="O119" i="87" l="1"/>
  <c r="Q118" i="87"/>
  <c r="Q119" i="87" l="1"/>
  <c r="Q120" i="87" s="1"/>
  <c r="O120" i="87" s="1"/>
  <c r="O121" i="87" s="1"/>
  <c r="O122" i="87" l="1"/>
  <c r="Q121" i="87"/>
  <c r="O123" i="87" l="1"/>
  <c r="Q122" i="87"/>
  <c r="O124" i="87" l="1"/>
  <c r="Q123" i="87"/>
  <c r="O125" i="87" l="1"/>
  <c r="Q124" i="87"/>
  <c r="O126" i="87" l="1"/>
  <c r="Q125" i="87"/>
  <c r="O127" i="87" l="1"/>
  <c r="Q126" i="87"/>
  <c r="O128" i="87" l="1"/>
  <c r="Q127" i="87"/>
  <c r="O129" i="87" l="1"/>
  <c r="Q128" i="87"/>
  <c r="O130" i="87" l="1"/>
  <c r="Q129" i="87"/>
  <c r="O131" i="87" l="1"/>
  <c r="Q130" i="87"/>
  <c r="O132" i="87" l="1"/>
  <c r="Q132" i="87" s="1"/>
  <c r="Q131" i="87"/>
  <c r="Q133" i="87" l="1"/>
  <c r="O133" i="87" l="1"/>
  <c r="O134" i="87" s="1"/>
  <c r="O135" i="87" s="1"/>
  <c r="U133" i="87"/>
  <c r="Q134" i="87" l="1"/>
  <c r="O136" i="87"/>
  <c r="Q135" i="87"/>
  <c r="O137" i="87" l="1"/>
  <c r="Q136" i="87"/>
  <c r="O138" i="87" l="1"/>
  <c r="Q137" i="87"/>
  <c r="O139" i="87" l="1"/>
  <c r="Q138" i="87"/>
  <c r="O140" i="87" l="1"/>
  <c r="Q139" i="87"/>
  <c r="O141" i="87" l="1"/>
  <c r="Q140" i="87"/>
  <c r="O142" i="87" l="1"/>
  <c r="Q141" i="87"/>
  <c r="O143" i="87" l="1"/>
  <c r="Q142" i="87"/>
  <c r="O144" i="87" l="1"/>
  <c r="Q143" i="87"/>
  <c r="O145" i="87" l="1"/>
  <c r="Q144" i="87"/>
  <c r="Q145" i="87" l="1"/>
  <c r="Q146" i="87" s="1"/>
  <c r="O146" i="87" l="1"/>
  <c r="O147" i="87" s="1"/>
  <c r="U146" i="87"/>
  <c r="M2" i="82"/>
  <c r="M3" i="82"/>
  <c r="M4" i="82"/>
  <c r="M5" i="82"/>
  <c r="M6" i="82"/>
  <c r="M7" i="82"/>
  <c r="M8" i="82"/>
  <c r="M9" i="82"/>
  <c r="M10" i="82"/>
  <c r="M11" i="82"/>
  <c r="M12" i="82"/>
  <c r="M13" i="82"/>
  <c r="M14" i="82"/>
  <c r="M15" i="82"/>
  <c r="M16" i="82"/>
  <c r="M17" i="82"/>
  <c r="M18" i="82"/>
  <c r="M19" i="82"/>
  <c r="M20" i="82"/>
  <c r="M21" i="82"/>
  <c r="M22" i="82"/>
  <c r="M23" i="82"/>
  <c r="M24" i="82"/>
  <c r="M25" i="82"/>
  <c r="M26" i="82"/>
  <c r="M27" i="82"/>
  <c r="M28" i="82"/>
  <c r="M29" i="82"/>
  <c r="M30" i="82"/>
  <c r="M31" i="82"/>
  <c r="M32" i="82"/>
  <c r="M33" i="82"/>
  <c r="M34" i="82"/>
  <c r="M35" i="82"/>
  <c r="M36" i="82"/>
  <c r="M37" i="82"/>
  <c r="M38" i="82"/>
  <c r="M39" i="82"/>
  <c r="M40" i="82"/>
  <c r="M41" i="82"/>
  <c r="M42" i="82"/>
  <c r="M43" i="82"/>
  <c r="M44" i="82"/>
  <c r="M45" i="82"/>
  <c r="M46" i="82"/>
  <c r="M47" i="82"/>
  <c r="M48" i="82"/>
  <c r="M49" i="82"/>
  <c r="M50" i="82"/>
  <c r="M51" i="82"/>
  <c r="M52" i="82"/>
  <c r="M53" i="82"/>
  <c r="M54" i="82"/>
  <c r="M55" i="82"/>
  <c r="M56" i="82"/>
  <c r="M57" i="82"/>
  <c r="M58" i="82"/>
  <c r="M59" i="82"/>
  <c r="M60" i="82"/>
  <c r="M61" i="82"/>
  <c r="M62" i="82"/>
  <c r="M63" i="82"/>
  <c r="M64" i="82"/>
  <c r="M65" i="82"/>
  <c r="M66" i="82"/>
  <c r="M67" i="82"/>
  <c r="M68" i="82"/>
  <c r="M69" i="82"/>
  <c r="M70" i="82"/>
  <c r="M71" i="82"/>
  <c r="M72" i="82"/>
  <c r="M73" i="82"/>
  <c r="M74" i="82"/>
  <c r="M75" i="82"/>
  <c r="M76" i="82"/>
  <c r="M77" i="82"/>
  <c r="L2" i="82"/>
  <c r="L3" i="82"/>
  <c r="L4" i="82"/>
  <c r="L5" i="82"/>
  <c r="L6" i="82"/>
  <c r="L7" i="82"/>
  <c r="L8" i="82"/>
  <c r="L9" i="82"/>
  <c r="L10" i="82"/>
  <c r="L11" i="82"/>
  <c r="L12" i="82"/>
  <c r="L13" i="82"/>
  <c r="L14" i="82"/>
  <c r="L15" i="82"/>
  <c r="L16" i="82"/>
  <c r="L17" i="82"/>
  <c r="L18" i="82"/>
  <c r="L19" i="82"/>
  <c r="L20" i="82"/>
  <c r="L21" i="82"/>
  <c r="L22" i="82"/>
  <c r="L23" i="82"/>
  <c r="L24" i="82"/>
  <c r="L25" i="82"/>
  <c r="L26" i="82"/>
  <c r="L27" i="82"/>
  <c r="L28" i="82"/>
  <c r="L29" i="82"/>
  <c r="L30" i="82"/>
  <c r="L31" i="82"/>
  <c r="L32" i="82"/>
  <c r="L33" i="82"/>
  <c r="L34" i="82"/>
  <c r="L35" i="82"/>
  <c r="L36" i="82"/>
  <c r="L37" i="82"/>
  <c r="L38" i="82"/>
  <c r="L39" i="82"/>
  <c r="L40" i="82"/>
  <c r="L41" i="82"/>
  <c r="L42" i="82"/>
  <c r="L43" i="82"/>
  <c r="L44" i="82"/>
  <c r="L45" i="82"/>
  <c r="L46" i="82"/>
  <c r="L47" i="82"/>
  <c r="L48" i="82"/>
  <c r="L49" i="82"/>
  <c r="L50" i="82"/>
  <c r="L51" i="82"/>
  <c r="L52" i="82"/>
  <c r="L53" i="82"/>
  <c r="L54" i="82"/>
  <c r="L55" i="82"/>
  <c r="L56" i="82"/>
  <c r="L57" i="82"/>
  <c r="L58" i="82"/>
  <c r="L59" i="82"/>
  <c r="L60" i="82"/>
  <c r="L61" i="82"/>
  <c r="L62" i="82"/>
  <c r="L63" i="82"/>
  <c r="L64" i="82"/>
  <c r="L65" i="82"/>
  <c r="L66" i="82"/>
  <c r="L67" i="82"/>
  <c r="L68" i="82"/>
  <c r="L69" i="82"/>
  <c r="L70" i="82"/>
  <c r="L71" i="82"/>
  <c r="L72" i="82"/>
  <c r="L73" i="82"/>
  <c r="L74" i="82"/>
  <c r="L75" i="82"/>
  <c r="L76" i="82"/>
  <c r="L77" i="82"/>
  <c r="T6" i="81"/>
  <c r="T7" i="81"/>
  <c r="T8" i="81"/>
  <c r="T9" i="81"/>
  <c r="T10" i="81"/>
  <c r="T11" i="81"/>
  <c r="T5" i="81"/>
  <c r="T12" i="81"/>
  <c r="T13" i="81"/>
  <c r="T14" i="81"/>
  <c r="T15" i="81"/>
  <c r="T16" i="81"/>
  <c r="T17" i="81"/>
  <c r="T18" i="81"/>
  <c r="T19" i="81"/>
  <c r="T20" i="81"/>
  <c r="T21" i="81"/>
  <c r="T22" i="81"/>
  <c r="T23" i="81"/>
  <c r="T24" i="81"/>
  <c r="T25" i="81"/>
  <c r="T26" i="81"/>
  <c r="T27" i="81"/>
  <c r="T28" i="81"/>
  <c r="T29" i="81"/>
  <c r="T30" i="81"/>
  <c r="T31" i="81"/>
  <c r="T32" i="81"/>
  <c r="T33" i="81"/>
  <c r="T34" i="81"/>
  <c r="T35" i="81"/>
  <c r="T36" i="81"/>
  <c r="T37" i="81"/>
  <c r="T38" i="81"/>
  <c r="T39" i="81"/>
  <c r="T40" i="81"/>
  <c r="T41" i="81"/>
  <c r="T42" i="81"/>
  <c r="T43" i="81"/>
  <c r="T44" i="81"/>
  <c r="T45" i="81"/>
  <c r="T46" i="81"/>
  <c r="T47" i="81"/>
  <c r="T48" i="81"/>
  <c r="T49" i="81"/>
  <c r="T50" i="81"/>
  <c r="T51" i="81"/>
  <c r="T52" i="81"/>
  <c r="T53" i="81"/>
  <c r="T54" i="81"/>
  <c r="T55" i="81"/>
  <c r="T56" i="81"/>
  <c r="T57" i="81"/>
  <c r="T58" i="81"/>
  <c r="T59" i="81"/>
  <c r="T60" i="81"/>
  <c r="T61" i="81"/>
  <c r="T62" i="81"/>
  <c r="T63" i="81"/>
  <c r="T64" i="81"/>
  <c r="T65" i="81"/>
  <c r="T66" i="81"/>
  <c r="T67" i="81"/>
  <c r="T68" i="81"/>
  <c r="T69" i="81"/>
  <c r="T70" i="81"/>
  <c r="T71" i="81"/>
  <c r="T72" i="81"/>
  <c r="T73" i="81"/>
  <c r="T74" i="81"/>
  <c r="T75" i="81"/>
  <c r="T76" i="81"/>
  <c r="T77" i="81"/>
  <c r="T78" i="81"/>
  <c r="S6" i="81"/>
  <c r="S7" i="81"/>
  <c r="S8" i="81"/>
  <c r="S9" i="81"/>
  <c r="S10" i="81"/>
  <c r="S11" i="81"/>
  <c r="S5" i="81"/>
  <c r="S12" i="81"/>
  <c r="S13" i="81"/>
  <c r="S14" i="81"/>
  <c r="S15" i="81"/>
  <c r="S16" i="81"/>
  <c r="S17" i="81"/>
  <c r="S18" i="81"/>
  <c r="S19" i="81"/>
  <c r="S20" i="81"/>
  <c r="S21" i="81"/>
  <c r="S22" i="81"/>
  <c r="S23" i="81"/>
  <c r="S24" i="81"/>
  <c r="S25" i="81"/>
  <c r="S26" i="81"/>
  <c r="S27" i="81"/>
  <c r="S28" i="81"/>
  <c r="S29" i="81"/>
  <c r="S30" i="81"/>
  <c r="S31" i="81"/>
  <c r="S32" i="81"/>
  <c r="S33" i="81"/>
  <c r="S34" i="81"/>
  <c r="S35" i="81"/>
  <c r="S36" i="81"/>
  <c r="S37" i="81"/>
  <c r="S38" i="81"/>
  <c r="S39" i="81"/>
  <c r="S40" i="81"/>
  <c r="S41" i="81"/>
  <c r="S42" i="81"/>
  <c r="S43" i="81"/>
  <c r="S44" i="81"/>
  <c r="S45" i="81"/>
  <c r="S46" i="81"/>
  <c r="S47" i="81"/>
  <c r="S48" i="81"/>
  <c r="S49" i="81"/>
  <c r="S50" i="81"/>
  <c r="S51" i="81"/>
  <c r="S52" i="81"/>
  <c r="S53" i="81"/>
  <c r="S54" i="81"/>
  <c r="S55" i="81"/>
  <c r="S56" i="81"/>
  <c r="S57" i="81"/>
  <c r="S58" i="81"/>
  <c r="S59" i="81"/>
  <c r="S60" i="81"/>
  <c r="S61" i="81"/>
  <c r="S62" i="81"/>
  <c r="S63" i="81"/>
  <c r="S64" i="81"/>
  <c r="S65" i="81"/>
  <c r="S66" i="81"/>
  <c r="S67" i="81"/>
  <c r="S68" i="81"/>
  <c r="S69" i="81"/>
  <c r="S70" i="81"/>
  <c r="S71" i="81"/>
  <c r="S72" i="81"/>
  <c r="S73" i="81"/>
  <c r="S74" i="81"/>
  <c r="S75" i="81"/>
  <c r="S76" i="81"/>
  <c r="S77" i="81"/>
  <c r="S78" i="81"/>
  <c r="R6" i="81"/>
  <c r="R7" i="81"/>
  <c r="R8" i="81"/>
  <c r="R9" i="81"/>
  <c r="R10" i="81"/>
  <c r="R11" i="81"/>
  <c r="R5" i="81"/>
  <c r="R12" i="81"/>
  <c r="R13" i="81"/>
  <c r="R14" i="81"/>
  <c r="R15" i="81"/>
  <c r="R16" i="81"/>
  <c r="R17" i="81"/>
  <c r="R18" i="81"/>
  <c r="R19" i="81"/>
  <c r="R20" i="81"/>
  <c r="R21" i="81"/>
  <c r="R22" i="81"/>
  <c r="R23" i="81"/>
  <c r="R24" i="81"/>
  <c r="R25" i="81"/>
  <c r="R26" i="81"/>
  <c r="R27" i="81"/>
  <c r="R28" i="81"/>
  <c r="R29" i="81"/>
  <c r="R30" i="81"/>
  <c r="R31" i="81"/>
  <c r="R32" i="81"/>
  <c r="R33" i="81"/>
  <c r="R34" i="81"/>
  <c r="R35" i="81"/>
  <c r="R36" i="81"/>
  <c r="R37" i="81"/>
  <c r="R38" i="81"/>
  <c r="R39" i="81"/>
  <c r="R40" i="81"/>
  <c r="R41" i="81"/>
  <c r="R42" i="81"/>
  <c r="R43" i="81"/>
  <c r="R44" i="81"/>
  <c r="R45" i="81"/>
  <c r="R46" i="81"/>
  <c r="R47" i="81"/>
  <c r="R48" i="81"/>
  <c r="R49" i="81"/>
  <c r="R50" i="81"/>
  <c r="R51" i="81"/>
  <c r="R52" i="81"/>
  <c r="R53" i="81"/>
  <c r="R54" i="81"/>
  <c r="R55" i="81"/>
  <c r="R56" i="81"/>
  <c r="R57" i="81"/>
  <c r="R58" i="81"/>
  <c r="R59" i="81"/>
  <c r="R60" i="81"/>
  <c r="R61" i="81"/>
  <c r="R62" i="81"/>
  <c r="R63" i="81"/>
  <c r="R64" i="81"/>
  <c r="R65" i="81"/>
  <c r="R66" i="81"/>
  <c r="R67" i="81"/>
  <c r="R68" i="81"/>
  <c r="R69" i="81"/>
  <c r="R70" i="81"/>
  <c r="R71" i="81"/>
  <c r="R72" i="81"/>
  <c r="R73" i="81"/>
  <c r="R74" i="81"/>
  <c r="R75" i="81"/>
  <c r="R76" i="81"/>
  <c r="R77" i="81"/>
  <c r="R78" i="81"/>
  <c r="BF5" i="81"/>
  <c r="BG5" i="81"/>
  <c r="BH5" i="81"/>
  <c r="BI5" i="81"/>
  <c r="BJ5" i="81"/>
  <c r="BK5" i="81"/>
  <c r="BL5" i="81"/>
  <c r="BM5" i="81"/>
  <c r="BN5" i="81"/>
  <c r="BO5" i="81"/>
  <c r="BP5" i="81"/>
  <c r="BQ5" i="81"/>
  <c r="BR5" i="81"/>
  <c r="BS5" i="81"/>
  <c r="BT5" i="81"/>
  <c r="BF6" i="81"/>
  <c r="BG6" i="81"/>
  <c r="BH6" i="81"/>
  <c r="BI6" i="81"/>
  <c r="BJ6" i="81"/>
  <c r="BK6" i="81"/>
  <c r="BL6" i="81"/>
  <c r="BM6" i="81"/>
  <c r="BN6" i="81"/>
  <c r="BO6" i="81"/>
  <c r="BP6" i="81"/>
  <c r="BQ6" i="81"/>
  <c r="BR6" i="81"/>
  <c r="BS6" i="81"/>
  <c r="BT6" i="81"/>
  <c r="BF7" i="81"/>
  <c r="BG7" i="81"/>
  <c r="BH7" i="81"/>
  <c r="BI7" i="81"/>
  <c r="BJ7" i="81"/>
  <c r="BK7" i="81"/>
  <c r="BL7" i="81"/>
  <c r="BM7" i="81"/>
  <c r="BN7" i="81"/>
  <c r="BO7" i="81"/>
  <c r="BP7" i="81"/>
  <c r="BQ7" i="81"/>
  <c r="BR7" i="81"/>
  <c r="BS7" i="81"/>
  <c r="BT7" i="81"/>
  <c r="BF8" i="81"/>
  <c r="BG8" i="81"/>
  <c r="BH8" i="81"/>
  <c r="BI8" i="81"/>
  <c r="BJ8" i="81"/>
  <c r="BK8" i="81"/>
  <c r="BL8" i="81"/>
  <c r="BM8" i="81"/>
  <c r="BN8" i="81"/>
  <c r="BO8" i="81"/>
  <c r="BP8" i="81"/>
  <c r="BQ8" i="81"/>
  <c r="BR8" i="81"/>
  <c r="BS8" i="81"/>
  <c r="BT8" i="81"/>
  <c r="BF9" i="81"/>
  <c r="BG9" i="81"/>
  <c r="BH9" i="81"/>
  <c r="BI9" i="81"/>
  <c r="BJ9" i="81"/>
  <c r="BK9" i="81"/>
  <c r="BL9" i="81"/>
  <c r="BM9" i="81"/>
  <c r="BN9" i="81"/>
  <c r="BO9" i="81"/>
  <c r="BP9" i="81"/>
  <c r="BQ9" i="81"/>
  <c r="BR9" i="81"/>
  <c r="BS9" i="81"/>
  <c r="BT9" i="81"/>
  <c r="BF10" i="81"/>
  <c r="BG10" i="81"/>
  <c r="BH10" i="81"/>
  <c r="BI10" i="81"/>
  <c r="BJ10" i="81"/>
  <c r="BK10" i="81"/>
  <c r="BL10" i="81"/>
  <c r="BM10" i="81"/>
  <c r="BN10" i="81"/>
  <c r="BO10" i="81"/>
  <c r="BP10" i="81"/>
  <c r="BQ10" i="81"/>
  <c r="BR10" i="81"/>
  <c r="BS10" i="81"/>
  <c r="BT10" i="81"/>
  <c r="BF11" i="81"/>
  <c r="BG11" i="81"/>
  <c r="BH11" i="81"/>
  <c r="BI11" i="81"/>
  <c r="BJ11" i="81"/>
  <c r="BK11" i="81"/>
  <c r="BL11" i="81"/>
  <c r="BM11" i="81"/>
  <c r="BN11" i="81"/>
  <c r="BO11" i="81"/>
  <c r="BP11" i="81"/>
  <c r="BQ11" i="81"/>
  <c r="BR11" i="81"/>
  <c r="BS11" i="81"/>
  <c r="BT11" i="81"/>
  <c r="BF12" i="81"/>
  <c r="BG12" i="81"/>
  <c r="BH12" i="81"/>
  <c r="BI12" i="81"/>
  <c r="BJ12" i="81"/>
  <c r="BK12" i="81"/>
  <c r="BL12" i="81"/>
  <c r="BM12" i="81"/>
  <c r="BN12" i="81"/>
  <c r="BO12" i="81"/>
  <c r="BP12" i="81"/>
  <c r="BQ12" i="81"/>
  <c r="BR12" i="81"/>
  <c r="BS12" i="81"/>
  <c r="BT12" i="81"/>
  <c r="BT13" i="81"/>
  <c r="BT14" i="81"/>
  <c r="BT15" i="81"/>
  <c r="BT16" i="81"/>
  <c r="AC6" i="82"/>
  <c r="AC5" i="82"/>
  <c r="V35" i="82"/>
  <c r="W35" i="82"/>
  <c r="X35" i="82"/>
  <c r="V36" i="82"/>
  <c r="W36" i="82"/>
  <c r="X36" i="82"/>
  <c r="V37" i="82"/>
  <c r="W37" i="82"/>
  <c r="X37" i="82"/>
  <c r="V38" i="82"/>
  <c r="Y38" i="82" s="1"/>
  <c r="W38" i="82"/>
  <c r="X38" i="82"/>
  <c r="V39" i="82"/>
  <c r="W39" i="82"/>
  <c r="X39" i="82"/>
  <c r="V40" i="82"/>
  <c r="W40" i="82"/>
  <c r="X40" i="82"/>
  <c r="V41" i="82"/>
  <c r="W41" i="82"/>
  <c r="X41" i="82"/>
  <c r="V42" i="82"/>
  <c r="Y42" i="82" s="1"/>
  <c r="W42" i="82"/>
  <c r="X42" i="82"/>
  <c r="V43" i="82"/>
  <c r="W43" i="82"/>
  <c r="X43" i="82"/>
  <c r="V44" i="82"/>
  <c r="W44" i="82"/>
  <c r="X44" i="82"/>
  <c r="V45" i="82"/>
  <c r="W45" i="82"/>
  <c r="X45" i="82"/>
  <c r="V46" i="82"/>
  <c r="Y46" i="82" s="1"/>
  <c r="W46" i="82"/>
  <c r="X46" i="82"/>
  <c r="V47" i="82"/>
  <c r="W47" i="82"/>
  <c r="X47" i="82"/>
  <c r="V48" i="82"/>
  <c r="W48" i="82"/>
  <c r="X48" i="82"/>
  <c r="V49" i="82"/>
  <c r="W49" i="82"/>
  <c r="X49" i="82"/>
  <c r="V50" i="82"/>
  <c r="Y50" i="82" s="1"/>
  <c r="W50" i="82"/>
  <c r="X50" i="82"/>
  <c r="V51" i="82"/>
  <c r="W51" i="82"/>
  <c r="X51" i="82"/>
  <c r="V52" i="82"/>
  <c r="W52" i="82"/>
  <c r="X52" i="82"/>
  <c r="V53" i="82"/>
  <c r="W53" i="82"/>
  <c r="X53" i="82"/>
  <c r="V54" i="82"/>
  <c r="Y54" i="82" s="1"/>
  <c r="W54" i="82"/>
  <c r="X54" i="82"/>
  <c r="V55" i="82"/>
  <c r="W55" i="82"/>
  <c r="X55" i="82"/>
  <c r="V56" i="82"/>
  <c r="W56" i="82"/>
  <c r="X56" i="82"/>
  <c r="V57" i="82"/>
  <c r="W57" i="82"/>
  <c r="X57" i="82"/>
  <c r="V58" i="82"/>
  <c r="Y58" i="82" s="1"/>
  <c r="W58" i="82"/>
  <c r="X58" i="82"/>
  <c r="V59" i="82"/>
  <c r="W59" i="82"/>
  <c r="X59" i="82"/>
  <c r="V60" i="82"/>
  <c r="W60" i="82"/>
  <c r="X60" i="82"/>
  <c r="V61" i="82"/>
  <c r="W61" i="82"/>
  <c r="X61" i="82"/>
  <c r="V62" i="82"/>
  <c r="Y62" i="82" s="1"/>
  <c r="W62" i="82"/>
  <c r="X62" i="82"/>
  <c r="V63" i="82"/>
  <c r="W63" i="82"/>
  <c r="X63" i="82"/>
  <c r="V64" i="82"/>
  <c r="W64" i="82"/>
  <c r="X64" i="82"/>
  <c r="V65" i="82"/>
  <c r="W65" i="82"/>
  <c r="X65" i="82"/>
  <c r="V66" i="82"/>
  <c r="Y66" i="82" s="1"/>
  <c r="W66" i="82"/>
  <c r="X66" i="82"/>
  <c r="V67" i="82"/>
  <c r="W67" i="82"/>
  <c r="X67" i="82"/>
  <c r="V68" i="82"/>
  <c r="W68" i="82"/>
  <c r="X68" i="82"/>
  <c r="V69" i="82"/>
  <c r="W69" i="82"/>
  <c r="X69" i="82"/>
  <c r="V70" i="82"/>
  <c r="Y70" i="82" s="1"/>
  <c r="W70" i="82"/>
  <c r="X70" i="82"/>
  <c r="V71" i="82"/>
  <c r="W71" i="82"/>
  <c r="X71" i="82"/>
  <c r="V72" i="82"/>
  <c r="W72" i="82"/>
  <c r="X72" i="82"/>
  <c r="V73" i="82"/>
  <c r="W73" i="82"/>
  <c r="X73" i="82"/>
  <c r="V74" i="82"/>
  <c r="Y74" i="82" s="1"/>
  <c r="W74" i="82"/>
  <c r="X74" i="82"/>
  <c r="V75" i="82"/>
  <c r="W75" i="82"/>
  <c r="X75" i="82"/>
  <c r="V76" i="82"/>
  <c r="W76" i="82"/>
  <c r="X76" i="82"/>
  <c r="V77" i="82"/>
  <c r="W77" i="82"/>
  <c r="X77" i="82"/>
  <c r="V78" i="82"/>
  <c r="Y78" i="82" s="1"/>
  <c r="W78" i="82"/>
  <c r="X78" i="82"/>
  <c r="V33" i="82"/>
  <c r="W33" i="82"/>
  <c r="X33" i="82"/>
  <c r="V34" i="82"/>
  <c r="W34" i="82"/>
  <c r="X34" i="82"/>
  <c r="V3" i="82"/>
  <c r="W3" i="82"/>
  <c r="X3" i="82"/>
  <c r="V4" i="82"/>
  <c r="Y4" i="82" s="1"/>
  <c r="W4" i="82"/>
  <c r="X4" i="82"/>
  <c r="V5" i="82"/>
  <c r="W5" i="82"/>
  <c r="X5" i="82"/>
  <c r="V6" i="82"/>
  <c r="W6" i="82"/>
  <c r="X6" i="82"/>
  <c r="V7" i="82"/>
  <c r="W7" i="82"/>
  <c r="X7" i="82"/>
  <c r="V8" i="82"/>
  <c r="Y8" i="82" s="1"/>
  <c r="W8" i="82"/>
  <c r="X8" i="82"/>
  <c r="V9" i="82"/>
  <c r="W9" i="82"/>
  <c r="X9" i="82"/>
  <c r="V10" i="82"/>
  <c r="W10" i="82"/>
  <c r="X10" i="82"/>
  <c r="V11" i="82"/>
  <c r="W11" i="82"/>
  <c r="X11" i="82"/>
  <c r="V12" i="82"/>
  <c r="Y12" i="82" s="1"/>
  <c r="W12" i="82"/>
  <c r="X12" i="82"/>
  <c r="V13" i="82"/>
  <c r="W13" i="82"/>
  <c r="X13" i="82"/>
  <c r="V14" i="82"/>
  <c r="W14" i="82"/>
  <c r="X14" i="82"/>
  <c r="V15" i="82"/>
  <c r="W15" i="82"/>
  <c r="X15" i="82"/>
  <c r="V16" i="82"/>
  <c r="Y16" i="82" s="1"/>
  <c r="W16" i="82"/>
  <c r="X16" i="82"/>
  <c r="V17" i="82"/>
  <c r="W17" i="82"/>
  <c r="X17" i="82"/>
  <c r="V18" i="82"/>
  <c r="W18" i="82"/>
  <c r="X18" i="82"/>
  <c r="V19" i="82"/>
  <c r="W19" i="82"/>
  <c r="X19" i="82"/>
  <c r="V20" i="82"/>
  <c r="Y20" i="82" s="1"/>
  <c r="W20" i="82"/>
  <c r="X20" i="82"/>
  <c r="V21" i="82"/>
  <c r="W21" i="82"/>
  <c r="X21" i="82"/>
  <c r="V22" i="82"/>
  <c r="W22" i="82"/>
  <c r="X22" i="82"/>
  <c r="V23" i="82"/>
  <c r="W23" i="82"/>
  <c r="X23" i="82"/>
  <c r="V24" i="82"/>
  <c r="Y24" i="82" s="1"/>
  <c r="W24" i="82"/>
  <c r="X24" i="82"/>
  <c r="V25" i="82"/>
  <c r="W25" i="82"/>
  <c r="X25" i="82"/>
  <c r="V26" i="82"/>
  <c r="W26" i="82"/>
  <c r="X26" i="82"/>
  <c r="V27" i="82"/>
  <c r="W27" i="82"/>
  <c r="X27" i="82"/>
  <c r="V28" i="82"/>
  <c r="Y28" i="82" s="1"/>
  <c r="W28" i="82"/>
  <c r="X28" i="82"/>
  <c r="V29" i="82"/>
  <c r="W29" i="82"/>
  <c r="X29" i="82"/>
  <c r="V30" i="82"/>
  <c r="W30" i="82"/>
  <c r="X30" i="82"/>
  <c r="V31" i="82"/>
  <c r="W31" i="82"/>
  <c r="X31" i="82"/>
  <c r="V32" i="82"/>
  <c r="Y32" i="82" s="1"/>
  <c r="W32" i="82"/>
  <c r="X32" i="82"/>
  <c r="X2" i="82"/>
  <c r="W2" i="82"/>
  <c r="V2" i="82"/>
  <c r="BR13" i="81"/>
  <c r="BS13" i="81"/>
  <c r="BR14" i="81"/>
  <c r="BS14" i="81"/>
  <c r="BR15" i="81"/>
  <c r="BS15" i="81"/>
  <c r="BR16" i="81"/>
  <c r="BS16" i="81"/>
  <c r="BH13" i="81"/>
  <c r="BI13" i="81"/>
  <c r="BJ13" i="81"/>
  <c r="BK13" i="81"/>
  <c r="BL13" i="81"/>
  <c r="BM13" i="81"/>
  <c r="BN13" i="81"/>
  <c r="BO13" i="81"/>
  <c r="BP13" i="81"/>
  <c r="BH14" i="81"/>
  <c r="BI14" i="81"/>
  <c r="BJ14" i="81"/>
  <c r="BK14" i="81"/>
  <c r="BL14" i="81"/>
  <c r="BM14" i="81"/>
  <c r="BN14" i="81"/>
  <c r="BO14" i="81"/>
  <c r="BP14" i="81"/>
  <c r="BH15" i="81"/>
  <c r="BI15" i="81"/>
  <c r="BJ15" i="81"/>
  <c r="BK15" i="81"/>
  <c r="BL15" i="81"/>
  <c r="BM15" i="81"/>
  <c r="BN15" i="81"/>
  <c r="BO15" i="81"/>
  <c r="BP15" i="81"/>
  <c r="BH16" i="81"/>
  <c r="BI16" i="81"/>
  <c r="BJ16" i="81"/>
  <c r="BK16" i="81"/>
  <c r="BL16" i="81"/>
  <c r="BM16" i="81"/>
  <c r="BN16" i="81"/>
  <c r="BO16" i="81"/>
  <c r="BP16" i="81"/>
  <c r="BQ13" i="81"/>
  <c r="BQ14" i="81"/>
  <c r="BQ15" i="81"/>
  <c r="BQ16" i="81"/>
  <c r="Q78" i="81"/>
  <c r="Q77" i="81"/>
  <c r="BF13" i="81"/>
  <c r="BG13" i="81"/>
  <c r="BF14" i="81"/>
  <c r="BG14" i="81"/>
  <c r="BF15" i="81"/>
  <c r="BG15" i="81"/>
  <c r="BF16" i="81"/>
  <c r="BG16" i="81"/>
  <c r="A3" i="74"/>
  <c r="A4" i="74" s="1"/>
  <c r="A8" i="93" s="1"/>
  <c r="AF6" i="82"/>
  <c r="Y29" i="82" l="1"/>
  <c r="Y9" i="82"/>
  <c r="Y75" i="82"/>
  <c r="Y63" i="82"/>
  <c r="Y51" i="82"/>
  <c r="Y35" i="82"/>
  <c r="Y30" i="82"/>
  <c r="Y26" i="82"/>
  <c r="Y22" i="82"/>
  <c r="Y18" i="82"/>
  <c r="Y14" i="82"/>
  <c r="Y10" i="82"/>
  <c r="Y6" i="82"/>
  <c r="Y34" i="82"/>
  <c r="Y76" i="82"/>
  <c r="Y72" i="82"/>
  <c r="Y68" i="82"/>
  <c r="Y64" i="82"/>
  <c r="Y60" i="82"/>
  <c r="Y56" i="82"/>
  <c r="Y52" i="82"/>
  <c r="Y48" i="82"/>
  <c r="Y44" i="82"/>
  <c r="Y40" i="82"/>
  <c r="Y36" i="82"/>
  <c r="Y25" i="82"/>
  <c r="Y21" i="82"/>
  <c r="Y17" i="82"/>
  <c r="Y13" i="82"/>
  <c r="Y5" i="82"/>
  <c r="Y33" i="82"/>
  <c r="Y71" i="82"/>
  <c r="Y67" i="82"/>
  <c r="Y59" i="82"/>
  <c r="Y55" i="82"/>
  <c r="Y47" i="82"/>
  <c r="Y43" i="82"/>
  <c r="Y39" i="82"/>
  <c r="Y2" i="82"/>
  <c r="Y31" i="82"/>
  <c r="Y27" i="82"/>
  <c r="Y23" i="82"/>
  <c r="Y19" i="82"/>
  <c r="Y15" i="82"/>
  <c r="Y11" i="82"/>
  <c r="Y7" i="82"/>
  <c r="Y3" i="82"/>
  <c r="Y77" i="82"/>
  <c r="Y73" i="82"/>
  <c r="Y69" i="82"/>
  <c r="Y65" i="82"/>
  <c r="Y61" i="82"/>
  <c r="Y57" i="82"/>
  <c r="Y53" i="82"/>
  <c r="Y49" i="82"/>
  <c r="Y45" i="82"/>
  <c r="Y41" i="82"/>
  <c r="Y37" i="82"/>
  <c r="BX16" i="81"/>
  <c r="BX15" i="81"/>
  <c r="BX14" i="81"/>
  <c r="BX12" i="81"/>
  <c r="BX13" i="81"/>
  <c r="A5" i="74"/>
  <c r="A9" i="93" s="1"/>
  <c r="O148" i="87"/>
  <c r="Q147" i="87"/>
  <c r="A7" i="93"/>
  <c r="BX10" i="81"/>
  <c r="BX6" i="81"/>
  <c r="BX11" i="81"/>
  <c r="BX7" i="81"/>
  <c r="BX8" i="81"/>
  <c r="BX9" i="81"/>
  <c r="BX5" i="81"/>
  <c r="AB139" i="74"/>
  <c r="AB142" i="74"/>
  <c r="AB138" i="74"/>
  <c r="AB140" i="74"/>
  <c r="AB141" i="74"/>
  <c r="AC7" i="82"/>
  <c r="AD1" i="82"/>
  <c r="AC1" i="82"/>
  <c r="AB1" i="82"/>
  <c r="AC8" i="82" l="1"/>
  <c r="M32" i="79" s="1"/>
  <c r="A6" i="74"/>
  <c r="A10" i="93" s="1"/>
  <c r="Q148" i="87"/>
  <c r="O149" i="87"/>
  <c r="BX4" i="81"/>
  <c r="S1" i="81" s="1"/>
  <c r="Q76" i="81"/>
  <c r="Q6" i="81"/>
  <c r="Q7" i="81"/>
  <c r="Q8" i="81"/>
  <c r="Q9" i="81"/>
  <c r="Q10" i="81"/>
  <c r="Q11" i="81"/>
  <c r="Q5" i="81"/>
  <c r="Q12" i="81"/>
  <c r="Q13" i="81"/>
  <c r="Q14" i="81"/>
  <c r="Q15" i="81"/>
  <c r="Q16" i="81"/>
  <c r="Q17" i="81"/>
  <c r="Q18" i="81"/>
  <c r="Q19" i="81"/>
  <c r="Q20" i="81"/>
  <c r="Q21" i="81"/>
  <c r="Q22" i="81"/>
  <c r="Q23" i="81"/>
  <c r="Q24" i="81"/>
  <c r="Q25" i="81"/>
  <c r="Q26" i="81"/>
  <c r="Q27" i="81"/>
  <c r="Q28" i="81"/>
  <c r="Q29" i="81"/>
  <c r="Q30" i="81"/>
  <c r="Q31" i="81"/>
  <c r="Q32" i="81"/>
  <c r="Q33" i="81"/>
  <c r="Q34" i="81"/>
  <c r="Q35" i="81"/>
  <c r="Q36" i="81"/>
  <c r="Q37" i="81"/>
  <c r="Q38" i="81"/>
  <c r="Q39" i="81"/>
  <c r="Q40" i="81"/>
  <c r="Q41" i="81"/>
  <c r="Q42" i="81"/>
  <c r="Q43" i="81"/>
  <c r="Q44" i="81"/>
  <c r="Q45" i="81"/>
  <c r="Q46" i="81"/>
  <c r="Q47" i="81"/>
  <c r="Q48" i="81"/>
  <c r="Q49" i="81"/>
  <c r="Q50" i="81"/>
  <c r="Q51" i="81"/>
  <c r="Q52" i="81"/>
  <c r="Q53" i="81"/>
  <c r="Q54" i="81"/>
  <c r="Q55" i="81"/>
  <c r="Q56" i="81"/>
  <c r="Q57" i="81"/>
  <c r="Q58" i="81"/>
  <c r="Q59" i="81"/>
  <c r="Q60" i="81"/>
  <c r="Q61" i="81"/>
  <c r="Q62" i="81"/>
  <c r="Q63" i="81"/>
  <c r="Q64" i="81"/>
  <c r="Q65" i="81"/>
  <c r="Q66" i="81"/>
  <c r="Q67" i="81"/>
  <c r="Q68" i="81"/>
  <c r="Q69" i="81"/>
  <c r="Q70" i="81"/>
  <c r="Q71" i="81"/>
  <c r="Q72" i="81"/>
  <c r="Q73" i="81"/>
  <c r="Q74" i="81"/>
  <c r="Q75" i="81"/>
  <c r="AB137" i="74"/>
  <c r="F3" i="81"/>
  <c r="G3" i="81"/>
  <c r="H3" i="81"/>
  <c r="I3" i="81"/>
  <c r="J3" i="81"/>
  <c r="L3" i="81"/>
  <c r="B9" i="79" s="1"/>
  <c r="B11" i="79" s="1"/>
  <c r="P3" i="81"/>
  <c r="E3" i="81"/>
  <c r="J96" i="66"/>
  <c r="J94" i="66"/>
  <c r="J95" i="66"/>
  <c r="AB136" i="74"/>
  <c r="AB135" i="74"/>
  <c r="AB134" i="74"/>
  <c r="J6" i="66"/>
  <c r="J7" i="66"/>
  <c r="J8" i="66"/>
  <c r="J9" i="66"/>
  <c r="J10" i="66"/>
  <c r="J11" i="66"/>
  <c r="J12" i="66"/>
  <c r="J13" i="66"/>
  <c r="J14" i="66"/>
  <c r="J15" i="66"/>
  <c r="J16" i="66"/>
  <c r="J17" i="66"/>
  <c r="J18" i="66"/>
  <c r="J19" i="66"/>
  <c r="J20" i="66"/>
  <c r="J21" i="66"/>
  <c r="J22" i="66"/>
  <c r="J23" i="66"/>
  <c r="J24" i="66"/>
  <c r="J25" i="66"/>
  <c r="J26" i="66"/>
  <c r="J27" i="66"/>
  <c r="J28" i="66"/>
  <c r="J29" i="66"/>
  <c r="J30" i="66"/>
  <c r="J31" i="66"/>
  <c r="J32" i="66"/>
  <c r="J33" i="66"/>
  <c r="J34" i="66"/>
  <c r="J35" i="66"/>
  <c r="J36" i="66"/>
  <c r="J37" i="66"/>
  <c r="J38" i="66"/>
  <c r="J39" i="66"/>
  <c r="J40" i="66"/>
  <c r="J41" i="66"/>
  <c r="J42" i="66"/>
  <c r="J43" i="66"/>
  <c r="J44" i="66"/>
  <c r="J45" i="66"/>
  <c r="J46" i="66"/>
  <c r="J47" i="66"/>
  <c r="J48" i="66"/>
  <c r="J49" i="66"/>
  <c r="J50" i="66"/>
  <c r="J51" i="66"/>
  <c r="J52" i="66"/>
  <c r="J53" i="66"/>
  <c r="J54" i="66"/>
  <c r="J55" i="66"/>
  <c r="J56" i="66"/>
  <c r="J57" i="66"/>
  <c r="J58" i="66"/>
  <c r="J59" i="66"/>
  <c r="J60" i="66"/>
  <c r="J61" i="66"/>
  <c r="J62" i="66"/>
  <c r="J63" i="66"/>
  <c r="J64" i="66"/>
  <c r="J65" i="66"/>
  <c r="J66" i="66"/>
  <c r="J67" i="66"/>
  <c r="J68" i="66"/>
  <c r="J69" i="66"/>
  <c r="J70" i="66"/>
  <c r="J71" i="66"/>
  <c r="J72" i="66"/>
  <c r="J73" i="66"/>
  <c r="J74" i="66"/>
  <c r="J75" i="66"/>
  <c r="J76" i="66"/>
  <c r="J77" i="66"/>
  <c r="J78" i="66"/>
  <c r="J79" i="66"/>
  <c r="J80" i="66"/>
  <c r="J81" i="66"/>
  <c r="J82" i="66"/>
  <c r="J83" i="66"/>
  <c r="J84" i="66"/>
  <c r="J85" i="66"/>
  <c r="J86" i="66"/>
  <c r="J87" i="66"/>
  <c r="J88" i="66"/>
  <c r="J89" i="66"/>
  <c r="J90" i="66"/>
  <c r="J91" i="66"/>
  <c r="J92" i="66"/>
  <c r="J93" i="66"/>
  <c r="K4" i="65"/>
  <c r="J4" i="65"/>
  <c r="I4" i="65"/>
  <c r="AL8" i="65"/>
  <c r="AL9" i="65"/>
  <c r="AL10" i="65"/>
  <c r="AL11" i="65"/>
  <c r="AL12" i="65"/>
  <c r="AL13" i="65"/>
  <c r="AL14" i="65"/>
  <c r="AL15" i="65"/>
  <c r="AL16" i="65"/>
  <c r="AL17" i="65"/>
  <c r="AL18" i="65"/>
  <c r="AL19" i="65"/>
  <c r="AL20" i="65"/>
  <c r="AL21" i="65"/>
  <c r="AL22" i="65"/>
  <c r="AL23" i="65"/>
  <c r="AL24" i="65"/>
  <c r="AL25" i="65"/>
  <c r="AL26" i="65"/>
  <c r="AL27" i="65"/>
  <c r="AL28" i="65"/>
  <c r="AL29" i="65"/>
  <c r="AL30" i="65"/>
  <c r="AL31" i="65"/>
  <c r="AL32" i="65"/>
  <c r="AL33" i="65"/>
  <c r="AL34" i="65"/>
  <c r="AL35" i="65"/>
  <c r="AL36" i="65"/>
  <c r="AL37" i="65"/>
  <c r="AL38" i="65"/>
  <c r="AL39" i="65"/>
  <c r="AL40" i="65"/>
  <c r="AL41" i="65"/>
  <c r="AL42" i="65"/>
  <c r="AL43" i="65"/>
  <c r="AL44" i="65"/>
  <c r="AL45" i="65"/>
  <c r="AL46" i="65"/>
  <c r="AL47" i="65"/>
  <c r="AL48" i="65"/>
  <c r="AL49" i="65"/>
  <c r="AL50" i="65"/>
  <c r="AL51" i="65"/>
  <c r="AL52" i="65"/>
  <c r="AL53" i="65"/>
  <c r="AL54" i="65"/>
  <c r="AL55" i="65"/>
  <c r="AL56" i="65"/>
  <c r="AL57" i="65"/>
  <c r="AL58" i="65"/>
  <c r="AL59" i="65"/>
  <c r="AL60" i="65"/>
  <c r="AL61" i="65"/>
  <c r="AL62" i="65"/>
  <c r="AL63" i="65"/>
  <c r="AL64" i="65"/>
  <c r="AL65" i="65"/>
  <c r="AL66" i="65"/>
  <c r="AL67" i="65"/>
  <c r="AL68" i="65"/>
  <c r="AL69" i="65"/>
  <c r="AL70" i="65"/>
  <c r="AL71" i="65"/>
  <c r="AL72" i="65"/>
  <c r="AL73" i="65"/>
  <c r="AL74" i="65"/>
  <c r="AL75" i="65"/>
  <c r="AL76" i="65"/>
  <c r="AL77" i="65"/>
  <c r="AL78" i="65"/>
  <c r="AL79" i="65"/>
  <c r="AL80" i="65"/>
  <c r="AL81" i="65"/>
  <c r="AL82" i="65"/>
  <c r="AL83" i="65"/>
  <c r="AL84" i="65"/>
  <c r="AL85" i="65"/>
  <c r="AL86" i="65"/>
  <c r="AL87" i="65"/>
  <c r="AL88" i="65"/>
  <c r="AL89" i="65"/>
  <c r="AL90" i="65"/>
  <c r="AL91" i="65"/>
  <c r="AL92" i="65"/>
  <c r="AL93" i="65"/>
  <c r="AL94" i="65"/>
  <c r="AL95" i="65"/>
  <c r="AL96" i="65"/>
  <c r="AL97" i="65"/>
  <c r="AL98" i="65"/>
  <c r="AL99" i="65"/>
  <c r="AL100" i="65"/>
  <c r="AL101" i="65"/>
  <c r="AL102" i="65"/>
  <c r="AL103" i="65"/>
  <c r="AL104" i="65"/>
  <c r="AL105" i="65"/>
  <c r="AL106" i="65"/>
  <c r="AL107" i="65"/>
  <c r="AL108" i="65"/>
  <c r="AL109" i="65"/>
  <c r="AL110" i="65"/>
  <c r="AL111" i="65"/>
  <c r="AL112" i="65"/>
  <c r="AL113" i="65"/>
  <c r="AL114" i="65"/>
  <c r="AL115" i="65"/>
  <c r="AL116" i="65"/>
  <c r="AL117" i="65"/>
  <c r="AL118" i="65"/>
  <c r="AL119" i="65"/>
  <c r="AL120" i="65"/>
  <c r="AL121" i="65"/>
  <c r="AL122" i="65"/>
  <c r="AL123" i="65"/>
  <c r="AL124" i="65"/>
  <c r="AL125" i="65"/>
  <c r="AL126" i="65"/>
  <c r="AL127" i="65"/>
  <c r="AL128" i="65"/>
  <c r="AL129" i="65"/>
  <c r="AL130" i="65"/>
  <c r="AL131" i="65"/>
  <c r="AL132" i="65"/>
  <c r="AL133" i="65"/>
  <c r="AL134" i="65"/>
  <c r="AL135" i="65"/>
  <c r="AL136" i="65"/>
  <c r="AL137" i="65"/>
  <c r="AL138" i="65"/>
  <c r="AL139" i="65"/>
  <c r="AL140" i="65"/>
  <c r="AL141" i="65"/>
  <c r="AL142" i="65"/>
  <c r="AL143" i="65"/>
  <c r="AL144" i="65"/>
  <c r="AL145" i="65"/>
  <c r="AL146" i="65"/>
  <c r="AL147" i="65"/>
  <c r="AL148" i="65"/>
  <c r="AL149" i="65"/>
  <c r="AL150" i="65"/>
  <c r="AL151" i="65"/>
  <c r="AL152" i="65"/>
  <c r="AL153" i="65"/>
  <c r="AL154" i="65"/>
  <c r="AL155" i="65"/>
  <c r="AL156" i="65"/>
  <c r="AL157" i="65"/>
  <c r="AL158" i="65"/>
  <c r="AL159" i="65"/>
  <c r="AL160" i="65"/>
  <c r="AL161" i="65"/>
  <c r="AL162" i="65"/>
  <c r="AL163" i="65"/>
  <c r="AL164" i="65"/>
  <c r="AL165" i="65"/>
  <c r="AL166" i="65"/>
  <c r="AL167" i="65"/>
  <c r="AL168" i="65"/>
  <c r="AL169" i="65"/>
  <c r="AL170" i="65"/>
  <c r="AL171" i="65"/>
  <c r="AL172" i="65"/>
  <c r="AL173" i="65"/>
  <c r="AL174" i="65"/>
  <c r="AL175" i="65"/>
  <c r="AL176" i="65"/>
  <c r="AL177" i="65"/>
  <c r="AL178" i="65"/>
  <c r="AL179" i="65"/>
  <c r="AL180" i="65"/>
  <c r="AL181" i="65"/>
  <c r="AL182" i="65"/>
  <c r="AL183" i="65"/>
  <c r="AL184" i="65"/>
  <c r="AL185" i="65"/>
  <c r="AL186" i="65"/>
  <c r="AL187" i="65"/>
  <c r="AL188" i="65"/>
  <c r="AL189" i="65"/>
  <c r="AL190" i="65"/>
  <c r="AL191" i="65"/>
  <c r="AL192" i="65"/>
  <c r="AL193" i="65"/>
  <c r="AL194" i="65"/>
  <c r="AL195" i="65"/>
  <c r="AL196" i="65"/>
  <c r="AL197" i="65"/>
  <c r="AL198" i="65"/>
  <c r="AL199" i="65"/>
  <c r="AL200" i="65"/>
  <c r="AL201" i="65"/>
  <c r="AL202" i="65"/>
  <c r="AL203" i="65"/>
  <c r="AL204" i="65"/>
  <c r="AL205" i="65"/>
  <c r="AL206" i="65"/>
  <c r="AL207" i="65"/>
  <c r="AL208" i="65"/>
  <c r="AL209" i="65"/>
  <c r="AL210" i="65"/>
  <c r="AL211" i="65"/>
  <c r="AL212" i="65"/>
  <c r="AL213" i="65"/>
  <c r="AL214" i="65"/>
  <c r="AL215" i="65"/>
  <c r="AL216" i="65"/>
  <c r="AL217" i="65"/>
  <c r="AL218" i="65"/>
  <c r="AL219" i="65"/>
  <c r="AL220" i="65"/>
  <c r="AL221" i="65"/>
  <c r="AL222" i="65"/>
  <c r="AL223" i="65"/>
  <c r="AL224" i="65"/>
  <c r="AL225" i="65"/>
  <c r="AL226" i="65"/>
  <c r="AL227" i="65"/>
  <c r="AL228" i="65"/>
  <c r="AL229" i="65"/>
  <c r="AL230" i="65"/>
  <c r="AL231" i="65"/>
  <c r="AL232" i="65"/>
  <c r="AL233" i="65"/>
  <c r="AL234" i="65"/>
  <c r="AL235" i="65"/>
  <c r="AL236" i="65"/>
  <c r="AL237" i="65"/>
  <c r="AL238" i="65"/>
  <c r="AL239" i="65"/>
  <c r="AL240" i="65"/>
  <c r="AL241" i="65"/>
  <c r="AL242" i="65"/>
  <c r="AL243" i="65"/>
  <c r="AL244" i="65"/>
  <c r="AL245" i="65"/>
  <c r="AL246" i="65"/>
  <c r="AL247" i="65"/>
  <c r="AL248" i="65"/>
  <c r="AL249" i="65"/>
  <c r="AL250" i="65"/>
  <c r="AL251" i="65"/>
  <c r="AL252" i="65"/>
  <c r="AL253" i="65"/>
  <c r="AL254" i="65"/>
  <c r="AL255" i="65"/>
  <c r="AL256" i="65"/>
  <c r="AL257" i="65"/>
  <c r="AL258" i="65"/>
  <c r="AL259" i="65"/>
  <c r="AL260" i="65"/>
  <c r="AL261" i="65"/>
  <c r="AL262" i="65"/>
  <c r="AL263" i="65"/>
  <c r="AL264" i="65"/>
  <c r="AL265" i="65"/>
  <c r="AL266" i="65"/>
  <c r="AL267" i="65"/>
  <c r="AL268" i="65"/>
  <c r="AL269" i="65"/>
  <c r="AL270" i="65"/>
  <c r="AL271" i="65"/>
  <c r="AL272" i="65"/>
  <c r="AL273" i="65"/>
  <c r="AL274" i="65"/>
  <c r="AL275" i="65"/>
  <c r="AL276" i="65"/>
  <c r="AL277" i="65"/>
  <c r="AL278" i="65"/>
  <c r="AL279" i="65"/>
  <c r="AL280" i="65"/>
  <c r="AL281" i="65"/>
  <c r="AL282" i="65"/>
  <c r="AL283" i="65"/>
  <c r="AL284" i="65"/>
  <c r="AL285" i="65"/>
  <c r="AL286" i="65"/>
  <c r="AL287" i="65"/>
  <c r="AL288" i="65"/>
  <c r="AL289" i="65"/>
  <c r="AL290" i="65"/>
  <c r="AL291" i="65"/>
  <c r="AL292" i="65"/>
  <c r="AL293" i="65"/>
  <c r="AL294" i="65"/>
  <c r="AL295" i="65"/>
  <c r="AL296" i="65"/>
  <c r="AL297" i="65"/>
  <c r="AL298" i="65"/>
  <c r="AL299" i="65"/>
  <c r="AL300" i="65"/>
  <c r="AL301" i="65"/>
  <c r="AL302" i="65"/>
  <c r="AL303" i="65"/>
  <c r="AL304" i="65"/>
  <c r="AL305" i="65"/>
  <c r="AB133" i="74"/>
  <c r="AB132" i="74"/>
  <c r="AB131" i="74"/>
  <c r="AB130" i="74"/>
  <c r="B3" i="79"/>
  <c r="A7" i="74" l="1"/>
  <c r="A11" i="93" s="1"/>
  <c r="O150" i="87"/>
  <c r="Q149" i="87"/>
  <c r="M26" i="79"/>
  <c r="Q3" i="81"/>
  <c r="M30" i="79" s="1"/>
  <c r="AL5" i="65"/>
  <c r="J4" i="66"/>
  <c r="M34" i="79" s="1"/>
  <c r="M28" i="79"/>
  <c r="A8" i="74" l="1"/>
  <c r="A12" i="93" s="1"/>
  <c r="O151" i="87"/>
  <c r="Q150" i="87"/>
  <c r="AB128" i="74"/>
  <c r="N5" i="79"/>
  <c r="AB129" i="74"/>
  <c r="AB127" i="74"/>
  <c r="AB124" i="74"/>
  <c r="AB123" i="74"/>
  <c r="AB122" i="74"/>
  <c r="AB121" i="74"/>
  <c r="AB120" i="74"/>
  <c r="AB119" i="74"/>
  <c r="AB118" i="74"/>
  <c r="AB117" i="74"/>
  <c r="AB116" i="74"/>
  <c r="AB115" i="74"/>
  <c r="AB114" i="74"/>
  <c r="AB113" i="74"/>
  <c r="AB112" i="74"/>
  <c r="AB111" i="74"/>
  <c r="AB110" i="74"/>
  <c r="AB109" i="74"/>
  <c r="AB108" i="74"/>
  <c r="AB107" i="74"/>
  <c r="AB106" i="74"/>
  <c r="AB105" i="74"/>
  <c r="AB104" i="74"/>
  <c r="AB103" i="74"/>
  <c r="AB102" i="74"/>
  <c r="AB101" i="74"/>
  <c r="AB100" i="74"/>
  <c r="AB99" i="74"/>
  <c r="AB98" i="74"/>
  <c r="AB97" i="74"/>
  <c r="AB96" i="74"/>
  <c r="AB95" i="74"/>
  <c r="AB94" i="74"/>
  <c r="AB93" i="74"/>
  <c r="AB92" i="74"/>
  <c r="AB91" i="74"/>
  <c r="AB90" i="74"/>
  <c r="AB89" i="74"/>
  <c r="AB88" i="74"/>
  <c r="AB87" i="74"/>
  <c r="AB86" i="74"/>
  <c r="AB85" i="74"/>
  <c r="AB84" i="74"/>
  <c r="AB83" i="74"/>
  <c r="AB82" i="74"/>
  <c r="AB81" i="74"/>
  <c r="AB80" i="74"/>
  <c r="AB79" i="74"/>
  <c r="AB78" i="74"/>
  <c r="AB77" i="74"/>
  <c r="AB76" i="74"/>
  <c r="AB75" i="74"/>
  <c r="AB74" i="74"/>
  <c r="AB73" i="74"/>
  <c r="AB72" i="74"/>
  <c r="AB71" i="74"/>
  <c r="AB70" i="74"/>
  <c r="AB69" i="74"/>
  <c r="AB68" i="74"/>
  <c r="AB67" i="74"/>
  <c r="AB66" i="74"/>
  <c r="AB65" i="74"/>
  <c r="AB64" i="74"/>
  <c r="AB63" i="74"/>
  <c r="AB62" i="74"/>
  <c r="AB61" i="74"/>
  <c r="AB60" i="74"/>
  <c r="AB59" i="74"/>
  <c r="AB58" i="74"/>
  <c r="AB57" i="74"/>
  <c r="AB56" i="74"/>
  <c r="AB55" i="74"/>
  <c r="AB54" i="74"/>
  <c r="AB53" i="74"/>
  <c r="AB52" i="74"/>
  <c r="AB51" i="74"/>
  <c r="AB50" i="74"/>
  <c r="AB49" i="74"/>
  <c r="AB48" i="74"/>
  <c r="AB47" i="74"/>
  <c r="AB46" i="74"/>
  <c r="AB45" i="74"/>
  <c r="AB44" i="74"/>
  <c r="AB43" i="74"/>
  <c r="AB42" i="74"/>
  <c r="AB41" i="74"/>
  <c r="AB40" i="74"/>
  <c r="AB39" i="74"/>
  <c r="AB38" i="74"/>
  <c r="AB37" i="74"/>
  <c r="AB36" i="74"/>
  <c r="AB35" i="74"/>
  <c r="AB34" i="74"/>
  <c r="AB33" i="74"/>
  <c r="AB32" i="74"/>
  <c r="AB31" i="74"/>
  <c r="AB30" i="74"/>
  <c r="AB29" i="74"/>
  <c r="AB28" i="74"/>
  <c r="AB27" i="74"/>
  <c r="AB26" i="74"/>
  <c r="AB25" i="74"/>
  <c r="AB24" i="74"/>
  <c r="AB23" i="74"/>
  <c r="AB22" i="74"/>
  <c r="AB21" i="74"/>
  <c r="AB20" i="74"/>
  <c r="AB19" i="74"/>
  <c r="AB18" i="74"/>
  <c r="AB17" i="74"/>
  <c r="AB16" i="74"/>
  <c r="AB15" i="74"/>
  <c r="AB14" i="74"/>
  <c r="AB13" i="74"/>
  <c r="AB12" i="74"/>
  <c r="AB11" i="74"/>
  <c r="AB10" i="74"/>
  <c r="AB9" i="74"/>
  <c r="AB8" i="74"/>
  <c r="AB7" i="74"/>
  <c r="AB6" i="74"/>
  <c r="AB5" i="74"/>
  <c r="AB4" i="74"/>
  <c r="D9" i="69"/>
  <c r="F3" i="79"/>
  <c r="G4" i="79"/>
  <c r="H4" i="79"/>
  <c r="F4" i="79"/>
  <c r="A9" i="74" l="1"/>
  <c r="A13" i="93" s="1"/>
  <c r="O152" i="87"/>
  <c r="Q151" i="87"/>
  <c r="F9" i="79"/>
  <c r="B5" i="79"/>
  <c r="AB3" i="74"/>
  <c r="AB126" i="74"/>
  <c r="AB125" i="74"/>
  <c r="G3" i="79"/>
  <c r="H3" i="79" s="1"/>
  <c r="A10" i="74" l="1"/>
  <c r="A14" i="93" s="1"/>
  <c r="O153" i="87"/>
  <c r="Q152" i="87"/>
  <c r="G9" i="79"/>
  <c r="H9" i="79"/>
  <c r="AJ4" i="65"/>
  <c r="AE4" i="65"/>
  <c r="AD4" i="65"/>
  <c r="AB4" i="65"/>
  <c r="W4" i="65"/>
  <c r="U4" i="65"/>
  <c r="M5" i="79" s="1"/>
  <c r="T4" i="65"/>
  <c r="R4" i="65"/>
  <c r="M4" i="79" s="1"/>
  <c r="Q4" i="65"/>
  <c r="O4" i="65"/>
  <c r="A11" i="74" l="1"/>
  <c r="A15" i="93" s="1"/>
  <c r="M3" i="79"/>
  <c r="M7" i="79" s="1"/>
  <c r="B56" i="65"/>
  <c r="O154" i="87"/>
  <c r="Q153" i="87"/>
  <c r="C35" i="65"/>
  <c r="L5" i="79" s="1"/>
  <c r="P5" i="79" s="1"/>
  <c r="Q5" i="79" s="1"/>
  <c r="C33" i="65"/>
  <c r="L3" i="79" s="1"/>
  <c r="P3" i="79" s="1"/>
  <c r="C34" i="65"/>
  <c r="L4" i="79" s="1"/>
  <c r="P4" i="79" s="1"/>
  <c r="Q4" i="79" s="1"/>
  <c r="A12" i="74" l="1"/>
  <c r="A16" i="93" s="1"/>
  <c r="O155" i="87"/>
  <c r="Q154" i="87"/>
  <c r="P7" i="79"/>
  <c r="Q3" i="79"/>
  <c r="Q7" i="79" s="1"/>
  <c r="B28" i="71"/>
  <c r="B27" i="71"/>
  <c r="B26" i="71"/>
  <c r="B25" i="71"/>
  <c r="AJ4" i="71"/>
  <c r="AH4" i="71"/>
  <c r="C28" i="71" s="1"/>
  <c r="AG4" i="71"/>
  <c r="AD4" i="71"/>
  <c r="AE4" i="71"/>
  <c r="C27" i="71" s="1"/>
  <c r="AB4" i="71"/>
  <c r="C26" i="71" s="1"/>
  <c r="B28" i="65"/>
  <c r="B27" i="65"/>
  <c r="B26" i="65"/>
  <c r="B25" i="65"/>
  <c r="B16" i="65"/>
  <c r="B8" i="65"/>
  <c r="AH4" i="65"/>
  <c r="C27" i="65" s="1"/>
  <c r="C26" i="65"/>
  <c r="A13" i="74" l="1"/>
  <c r="A17" i="93" s="1"/>
  <c r="O156" i="87"/>
  <c r="Q155" i="87"/>
  <c r="B46" i="65"/>
  <c r="B72" i="65" s="1"/>
  <c r="C29" i="71"/>
  <c r="AA4" i="71"/>
  <c r="C28" i="65"/>
  <c r="C29" i="65" s="1"/>
  <c r="AA4" i="65"/>
  <c r="B57" i="65" s="1"/>
  <c r="A14" i="74" l="1"/>
  <c r="A18" i="93" s="1"/>
  <c r="O157" i="87"/>
  <c r="Q156" i="87"/>
  <c r="B19" i="71"/>
  <c r="B18" i="71"/>
  <c r="B17" i="71"/>
  <c r="B16" i="71"/>
  <c r="B8" i="71"/>
  <c r="W4" i="71"/>
  <c r="C35" i="71" s="1"/>
  <c r="U4" i="71"/>
  <c r="T4" i="71"/>
  <c r="C34" i="71" s="1"/>
  <c r="R4" i="71"/>
  <c r="C18" i="71" s="1"/>
  <c r="C40" i="71" s="1"/>
  <c r="Q4" i="71"/>
  <c r="C33" i="71" s="1"/>
  <c r="O4" i="71"/>
  <c r="C17" i="71" s="1"/>
  <c r="C39" i="71" s="1"/>
  <c r="K4" i="71"/>
  <c r="B11" i="71" s="1"/>
  <c r="J4" i="71"/>
  <c r="B10" i="71" s="1"/>
  <c r="I4" i="71"/>
  <c r="A15" i="74" l="1"/>
  <c r="A19" i="93" s="1"/>
  <c r="O158" i="87"/>
  <c r="Q157" i="87"/>
  <c r="B9" i="71"/>
  <c r="BQ1" i="71"/>
  <c r="BQ2" i="71" s="1"/>
  <c r="C19" i="71"/>
  <c r="C20" i="71" s="1"/>
  <c r="B49" i="71" s="1"/>
  <c r="C51" i="71" s="1"/>
  <c r="C41" i="71"/>
  <c r="B47" i="71"/>
  <c r="B51" i="71" s="1"/>
  <c r="D51" i="71" l="1"/>
  <c r="M38" i="79" s="1"/>
  <c r="A16" i="74"/>
  <c r="A20" i="93" s="1"/>
  <c r="Q158" i="87"/>
  <c r="Q159" i="87" s="1"/>
  <c r="U159" i="87" s="1"/>
  <c r="F4" i="66"/>
  <c r="G4" i="66"/>
  <c r="H4" i="66"/>
  <c r="A17" i="74" l="1"/>
  <c r="A21" i="93" s="1"/>
  <c r="O159" i="87"/>
  <c r="D5" i="69"/>
  <c r="C5" i="69"/>
  <c r="B5" i="69"/>
  <c r="D6" i="69"/>
  <c r="C6" i="69"/>
  <c r="B6" i="69"/>
  <c r="O160" i="87" l="1"/>
  <c r="A18" i="74"/>
  <c r="A22" i="93" s="1"/>
  <c r="G9" i="69"/>
  <c r="G8" i="69"/>
  <c r="E4" i="66"/>
  <c r="B21" i="69" l="1"/>
  <c r="B22" i="69" s="1"/>
  <c r="B23" i="69" s="1"/>
  <c r="Q160" i="87"/>
  <c r="O161" i="87"/>
  <c r="A19" i="74"/>
  <c r="A23" i="93" s="1"/>
  <c r="B19" i="65"/>
  <c r="B18" i="65"/>
  <c r="B17" i="65"/>
  <c r="C19" i="65"/>
  <c r="C41" i="65" s="1"/>
  <c r="C68" i="65" s="1"/>
  <c r="C18" i="65"/>
  <c r="C40" i="65" s="1"/>
  <c r="C67" i="65" s="1"/>
  <c r="C17" i="65"/>
  <c r="C39" i="65" s="1"/>
  <c r="C66" i="65" s="1"/>
  <c r="O162" i="87" l="1"/>
  <c r="Q161" i="87"/>
  <c r="A20" i="74"/>
  <c r="A24" i="93" s="1"/>
  <c r="B10" i="65"/>
  <c r="G5" i="79"/>
  <c r="B55" i="65"/>
  <c r="C55" i="65" s="1"/>
  <c r="D72" i="65" s="1"/>
  <c r="H5" i="79"/>
  <c r="F10" i="79" s="1"/>
  <c r="B9" i="65"/>
  <c r="F5" i="79"/>
  <c r="B11" i="65"/>
  <c r="C20" i="65"/>
  <c r="Q162" i="87" l="1"/>
  <c r="O163" i="87"/>
  <c r="A21" i="74"/>
  <c r="A25" i="93" s="1"/>
  <c r="F11" i="79"/>
  <c r="H11" i="79" s="1"/>
  <c r="H10" i="79"/>
  <c r="B48" i="65"/>
  <c r="C72" i="65" s="1"/>
  <c r="B73" i="65" s="1"/>
  <c r="M36" i="79" s="1"/>
  <c r="Q163" i="87" l="1"/>
  <c r="O164" i="87"/>
  <c r="A22" i="74"/>
  <c r="A26" i="93" s="1"/>
  <c r="M18" i="79"/>
  <c r="P16" i="79" s="1"/>
  <c r="Q164" i="87" l="1"/>
  <c r="O165" i="87"/>
  <c r="A23" i="74"/>
  <c r="A27" i="93" s="1"/>
  <c r="O166" i="87" l="1"/>
  <c r="Q165" i="87"/>
  <c r="A24" i="74"/>
  <c r="A28" i="93" s="1"/>
  <c r="Q166" i="87" l="1"/>
  <c r="O167" i="87"/>
  <c r="A25" i="74"/>
  <c r="A29" i="93" s="1"/>
  <c r="Q167" i="87" l="1"/>
  <c r="O168" i="87"/>
  <c r="A26" i="74"/>
  <c r="A30" i="93" s="1"/>
  <c r="O169" i="87" l="1"/>
  <c r="Q168" i="87"/>
  <c r="A27" i="74"/>
  <c r="A31" i="93" s="1"/>
  <c r="O170" i="87" l="1"/>
  <c r="Q169" i="87"/>
  <c r="A28" i="74"/>
  <c r="A32" i="93" s="1"/>
  <c r="Q170" i="87" l="1"/>
  <c r="O171" i="87"/>
  <c r="A29" i="74"/>
  <c r="A33" i="93" s="1"/>
  <c r="Q171" i="87" l="1"/>
  <c r="Q172" i="87" s="1"/>
  <c r="U172" i="87" s="1"/>
  <c r="A30" i="74"/>
  <c r="A34" i="93" s="1"/>
  <c r="O172" i="87" l="1"/>
  <c r="A31" i="74"/>
  <c r="A35" i="93" s="1"/>
  <c r="O173" i="87" l="1"/>
  <c r="A32" i="74"/>
  <c r="A36" i="93" s="1"/>
  <c r="Q173" i="87" l="1"/>
  <c r="O174" i="87"/>
  <c r="A33" i="74"/>
  <c r="A37" i="93" s="1"/>
  <c r="O175" i="87" l="1"/>
  <c r="Q174" i="87"/>
  <c r="A34" i="74"/>
  <c r="A38" i="93" s="1"/>
  <c r="Q175" i="87" l="1"/>
  <c r="O176" i="87"/>
  <c r="A35" i="74"/>
  <c r="A39" i="93" s="1"/>
  <c r="O177" i="87" l="1"/>
  <c r="Q176" i="87"/>
  <c r="A36" i="74"/>
  <c r="A40" i="93" s="1"/>
  <c r="Q177" i="87" l="1"/>
  <c r="O178" i="87"/>
  <c r="A37" i="74"/>
  <c r="A41" i="93" s="1"/>
  <c r="O179" i="87" l="1"/>
  <c r="Q178" i="87"/>
  <c r="A38" i="74"/>
  <c r="A42" i="93" s="1"/>
  <c r="O180" i="87" l="1"/>
  <c r="Q179" i="87"/>
  <c r="A39" i="74"/>
  <c r="A43" i="93" s="1"/>
  <c r="Q180" i="87" l="1"/>
  <c r="O181" i="87"/>
  <c r="A40" i="74"/>
  <c r="A44" i="93" s="1"/>
  <c r="Q181" i="87" l="1"/>
  <c r="O182" i="87"/>
  <c r="A41" i="74"/>
  <c r="A45" i="93" s="1"/>
  <c r="Q182" i="87" l="1"/>
  <c r="O183" i="87"/>
  <c r="A42" i="74"/>
  <c r="A46" i="93" s="1"/>
  <c r="O184" i="87" l="1"/>
  <c r="Q183" i="87"/>
  <c r="A43" i="74"/>
  <c r="A47" i="93" s="1"/>
  <c r="Q184" i="87" l="1"/>
  <c r="Q185" i="87" s="1"/>
  <c r="U185" i="87" s="1"/>
  <c r="A44" i="74"/>
  <c r="A48" i="93" s="1"/>
  <c r="O185" i="87" l="1"/>
  <c r="O186" i="87" s="1"/>
  <c r="A45" i="74"/>
  <c r="A49" i="93" s="1"/>
  <c r="O187" i="87" l="1"/>
  <c r="Q186" i="87"/>
  <c r="A46" i="74"/>
  <c r="A50" i="93" s="1"/>
  <c r="Q187" i="87" l="1"/>
  <c r="O188" i="87"/>
  <c r="A47" i="74"/>
  <c r="A51" i="93" s="1"/>
  <c r="O189" i="87" l="1"/>
  <c r="Q188" i="87"/>
  <c r="A48" i="74"/>
  <c r="A52" i="93" s="1"/>
  <c r="Q189" i="87" l="1"/>
  <c r="O190" i="87"/>
  <c r="A49" i="74"/>
  <c r="A53" i="93" s="1"/>
  <c r="O191" i="87" l="1"/>
  <c r="Q190" i="87"/>
  <c r="A50" i="74"/>
  <c r="A54" i="93" s="1"/>
  <c r="Q191" i="87" l="1"/>
  <c r="O192" i="87"/>
  <c r="A51" i="74"/>
  <c r="A55" i="93" s="1"/>
  <c r="O193" i="87" l="1"/>
  <c r="Q192" i="87"/>
  <c r="A52" i="74"/>
  <c r="A56" i="93" s="1"/>
  <c r="Q193" i="87" l="1"/>
  <c r="O194" i="87"/>
  <c r="A53" i="74"/>
  <c r="A57" i="93" s="1"/>
  <c r="Q194" i="87" l="1"/>
  <c r="O195" i="87"/>
  <c r="A54" i="74"/>
  <c r="A58" i="93" s="1"/>
  <c r="Q195" i="87" l="1"/>
  <c r="O196" i="87"/>
  <c r="A55" i="74"/>
  <c r="A59" i="93" s="1"/>
  <c r="O197" i="87" l="1"/>
  <c r="Q196" i="87"/>
  <c r="A56" i="74"/>
  <c r="A60" i="93" s="1"/>
  <c r="Q197" i="87" l="1"/>
  <c r="Q198" i="87" s="1"/>
  <c r="U198" i="87" s="1"/>
  <c r="A57" i="74"/>
  <c r="A61" i="93" s="1"/>
  <c r="O198" i="87" l="1"/>
  <c r="O199" i="87" s="1"/>
  <c r="Q199" i="87" s="1"/>
  <c r="A58" i="74"/>
  <c r="A62" i="93" s="1"/>
  <c r="O200" i="87" l="1"/>
  <c r="Q200" i="87" s="1"/>
  <c r="A59" i="74"/>
  <c r="A63" i="93" s="1"/>
  <c r="O201" i="87" l="1"/>
  <c r="O202" i="87" s="1"/>
  <c r="A60" i="74"/>
  <c r="A64" i="93" s="1"/>
  <c r="Q201" i="87" l="1"/>
  <c r="Q202" i="87"/>
  <c r="O203" i="87"/>
  <c r="A61" i="74"/>
  <c r="A65" i="93" s="1"/>
  <c r="Q203" i="87" l="1"/>
  <c r="O204" i="87"/>
  <c r="A62" i="74"/>
  <c r="A66" i="93" s="1"/>
  <c r="Q204" i="87" l="1"/>
  <c r="O205" i="87"/>
  <c r="A63" i="74"/>
  <c r="A67" i="93" s="1"/>
  <c r="O206" i="87" l="1"/>
  <c r="Q205" i="87"/>
  <c r="A64" i="74"/>
  <c r="A68" i="93" s="1"/>
  <c r="Q206" i="87" l="1"/>
  <c r="O207" i="87"/>
  <c r="A65" i="74"/>
  <c r="A69" i="93" s="1"/>
  <c r="O208" i="87" l="1"/>
  <c r="Q207" i="87"/>
  <c r="A66" i="74"/>
  <c r="A70" i="93" s="1"/>
  <c r="Q208" i="87" l="1"/>
  <c r="O209" i="87"/>
  <c r="A67" i="74"/>
  <c r="A71" i="93" s="1"/>
  <c r="O210" i="87" l="1"/>
  <c r="Q209" i="87"/>
  <c r="A68" i="74"/>
  <c r="A72" i="93" s="1"/>
  <c r="Q210" i="87" l="1"/>
  <c r="Q211" i="87" s="1"/>
  <c r="U211" i="87" s="1"/>
  <c r="A69" i="74"/>
  <c r="A73" i="93" s="1"/>
  <c r="O211" i="87" l="1"/>
  <c r="O212" i="87" s="1"/>
  <c r="A70" i="74"/>
  <c r="A74" i="93" s="1"/>
  <c r="O213" i="87" l="1"/>
  <c r="Q212" i="87"/>
  <c r="A71" i="74"/>
  <c r="A75" i="93" s="1"/>
  <c r="O214" i="87" l="1"/>
  <c r="Q213" i="87"/>
  <c r="A72" i="74"/>
  <c r="A76" i="93" s="1"/>
  <c r="Q214" i="87" l="1"/>
  <c r="O215" i="87"/>
  <c r="A73" i="74"/>
  <c r="A77" i="93" s="1"/>
  <c r="Q215" i="87" l="1"/>
  <c r="O216" i="87"/>
  <c r="A74" i="74"/>
  <c r="A78" i="93" s="1"/>
  <c r="O217" i="87" l="1"/>
  <c r="Q216" i="87"/>
  <c r="A75" i="74"/>
  <c r="A79" i="93" s="1"/>
  <c r="Q217" i="87" l="1"/>
  <c r="O218" i="87"/>
  <c r="A76" i="74"/>
  <c r="A80" i="93" s="1"/>
  <c r="Q218" i="87" l="1"/>
  <c r="O219" i="87"/>
  <c r="A77" i="74"/>
  <c r="A81" i="93" s="1"/>
  <c r="Q219" i="87" l="1"/>
  <c r="O220" i="87"/>
  <c r="A78" i="74"/>
  <c r="A82" i="93" s="1"/>
  <c r="O221" i="87" l="1"/>
  <c r="Q220" i="87"/>
  <c r="A79" i="74"/>
  <c r="A83" i="93" s="1"/>
  <c r="O222" i="87" l="1"/>
  <c r="Q221" i="87"/>
  <c r="A80" i="74"/>
  <c r="A84" i="93" s="1"/>
  <c r="Q222" i="87" l="1"/>
  <c r="O223" i="87"/>
  <c r="A81" i="74"/>
  <c r="A85" i="93" s="1"/>
  <c r="Q223" i="87" l="1"/>
  <c r="Q224" i="87" s="1"/>
  <c r="U224" i="87" s="1"/>
  <c r="A82" i="74"/>
  <c r="A86" i="93" s="1"/>
  <c r="O224" i="87" l="1"/>
  <c r="O225" i="87" s="1"/>
  <c r="O226" i="87" s="1"/>
  <c r="A83" i="74"/>
  <c r="A87" i="93" s="1"/>
  <c r="Q225" i="87" l="1"/>
  <c r="O227" i="87"/>
  <c r="Q226" i="87"/>
  <c r="A84" i="74"/>
  <c r="A88" i="93" s="1"/>
  <c r="O228" i="87" l="1"/>
  <c r="Q227" i="87"/>
  <c r="A85" i="74"/>
  <c r="A89" i="93" s="1"/>
  <c r="Q228" i="87" l="1"/>
  <c r="O229" i="87"/>
  <c r="A86" i="74"/>
  <c r="A90" i="93" s="1"/>
  <c r="O230" i="87" l="1"/>
  <c r="Q229" i="87"/>
  <c r="A87" i="74"/>
  <c r="A91" i="93" s="1"/>
  <c r="Q230" i="87" l="1"/>
  <c r="O231" i="87"/>
  <c r="A88" i="74"/>
  <c r="A92" i="93" s="1"/>
  <c r="O232" i="87" l="1"/>
  <c r="Q231" i="87"/>
  <c r="A89" i="74"/>
  <c r="A93" i="93" s="1"/>
  <c r="Q232" i="87" l="1"/>
  <c r="O233" i="87"/>
  <c r="A90" i="74"/>
  <c r="A94" i="93" s="1"/>
  <c r="O234" i="87" l="1"/>
  <c r="Q233" i="87"/>
  <c r="A91" i="74"/>
  <c r="A95" i="93" s="1"/>
  <c r="Q234" i="87" l="1"/>
  <c r="O235" i="87"/>
  <c r="A92" i="74"/>
  <c r="A96" i="93" s="1"/>
  <c r="O236" i="87" l="1"/>
  <c r="Q235" i="87"/>
  <c r="A93" i="74"/>
  <c r="A97" i="93" s="1"/>
  <c r="Q236" i="87" l="1"/>
  <c r="Q237" i="87" s="1"/>
  <c r="U237" i="87" s="1"/>
  <c r="A94" i="74"/>
  <c r="A98" i="93" s="1"/>
  <c r="O237" i="87" l="1"/>
  <c r="P1" i="87" s="1"/>
  <c r="A95" i="74"/>
  <c r="A99" i="93" s="1"/>
  <c r="A96" i="74" l="1"/>
  <c r="A100" i="93" s="1"/>
  <c r="A97" i="74" l="1"/>
  <c r="A101" i="93" s="1"/>
  <c r="A98" i="74" l="1"/>
  <c r="A102" i="93" s="1"/>
  <c r="A99" i="74" l="1"/>
  <c r="A103" i="93" s="1"/>
  <c r="A100" i="74" l="1"/>
  <c r="A104" i="93" s="1"/>
  <c r="A101" i="74" l="1"/>
  <c r="A105" i="93" s="1"/>
  <c r="A102" i="74" l="1"/>
  <c r="A106" i="93" s="1"/>
  <c r="A103" i="74" l="1"/>
  <c r="A107" i="93" s="1"/>
  <c r="A104" i="74" l="1"/>
  <c r="A108" i="93" s="1"/>
  <c r="A105" i="74" l="1"/>
  <c r="A109" i="93" s="1"/>
  <c r="A106" i="74" l="1"/>
  <c r="A110" i="93" s="1"/>
  <c r="A107" i="74" l="1"/>
  <c r="A111" i="93" s="1"/>
  <c r="A108" i="74" l="1"/>
  <c r="A112" i="93" s="1"/>
  <c r="A109" i="74" l="1"/>
  <c r="A113" i="93" s="1"/>
  <c r="A110" i="74" l="1"/>
  <c r="A114" i="93" s="1"/>
  <c r="A111" i="74" l="1"/>
  <c r="A115" i="93" s="1"/>
  <c r="A112" i="74" l="1"/>
  <c r="A116" i="93" s="1"/>
  <c r="A113" i="74" l="1"/>
  <c r="A117" i="93" s="1"/>
  <c r="A114" i="74" l="1"/>
  <c r="A118" i="93" s="1"/>
  <c r="A115" i="74" l="1"/>
  <c r="A119" i="93" s="1"/>
  <c r="A116" i="74" l="1"/>
  <c r="A120" i="93" s="1"/>
  <c r="A117" i="74" l="1"/>
  <c r="A121" i="93" s="1"/>
  <c r="A118" i="74" l="1"/>
  <c r="A122" i="93" s="1"/>
  <c r="A119" i="74" l="1"/>
  <c r="A123" i="93" s="1"/>
  <c r="A120" i="74" l="1"/>
  <c r="A124" i="93" s="1"/>
  <c r="A121" i="74" l="1"/>
  <c r="A125" i="93" s="1"/>
  <c r="A122" i="74" l="1"/>
  <c r="A126" i="93" s="1"/>
  <c r="A123" i="74" l="1"/>
  <c r="A127" i="93" s="1"/>
  <c r="A124" i="74" l="1"/>
  <c r="A128" i="93" s="1"/>
  <c r="A125" i="74" l="1"/>
  <c r="A129" i="93" s="1"/>
  <c r="A126" i="74" l="1"/>
  <c r="A130" i="93" s="1"/>
  <c r="A127" i="74" l="1"/>
  <c r="A131" i="93" s="1"/>
  <c r="A128" i="74" l="1"/>
  <c r="A132" i="93" s="1"/>
  <c r="A129" i="74" l="1"/>
  <c r="A133" i="93" s="1"/>
  <c r="A130" i="74" l="1"/>
  <c r="A134" i="93" s="1"/>
  <c r="A131" i="74" l="1"/>
  <c r="A135" i="93" s="1"/>
  <c r="A132" i="74" l="1"/>
  <c r="A136" i="93" s="1"/>
  <c r="A133" i="74" l="1"/>
  <c r="A137" i="93" s="1"/>
  <c r="A134" i="74" l="1"/>
  <c r="A138" i="93" s="1"/>
  <c r="A135" i="74" l="1"/>
  <c r="A139" i="93" s="1"/>
  <c r="A136" i="74" l="1"/>
  <c r="A140" i="93" s="1"/>
  <c r="A137" i="74" l="1"/>
  <c r="A141" i="93" s="1"/>
  <c r="A138" i="74" l="1"/>
  <c r="A142" i="93" s="1"/>
  <c r="A139" i="74" l="1"/>
  <c r="A143" i="93" s="1"/>
  <c r="A140" i="74" l="1"/>
  <c r="A144" i="93" s="1"/>
  <c r="A141" i="74" l="1"/>
  <c r="A145" i="93" s="1"/>
  <c r="A142" i="74" l="1"/>
  <c r="A146" i="93" s="1"/>
  <c r="A143" i="74" l="1"/>
  <c r="A147" i="93" s="1"/>
  <c r="A144" i="74" l="1"/>
  <c r="A148" i="93" s="1"/>
  <c r="A145" i="74" l="1"/>
  <c r="A149" i="93" s="1"/>
  <c r="A146" i="74" l="1"/>
  <c r="A150" i="93" s="1"/>
  <c r="A147" i="74" l="1"/>
  <c r="A151" i="93" s="1"/>
  <c r="A148" i="74" l="1"/>
  <c r="A152" i="93" s="1"/>
  <c r="A149" i="74" l="1"/>
  <c r="A153" i="93" s="1"/>
  <c r="A150" i="74" l="1"/>
  <c r="A154" i="93" s="1"/>
  <c r="A151" i="74" l="1"/>
  <c r="A155" i="93" s="1"/>
  <c r="A152" i="74" l="1"/>
  <c r="A156" i="93" s="1"/>
  <c r="A153" i="74" l="1"/>
  <c r="A157" i="93" s="1"/>
  <c r="A154" i="74" l="1"/>
  <c r="A158" i="93" s="1"/>
  <c r="A155" i="74" l="1"/>
  <c r="A159" i="93" s="1"/>
  <c r="A156" i="74" l="1"/>
  <c r="A160" i="93" s="1"/>
  <c r="A157" i="74" l="1"/>
  <c r="A161" i="93" s="1"/>
  <c r="A158" i="74" l="1"/>
  <c r="A162" i="93" s="1"/>
  <c r="A159" i="74" l="1"/>
  <c r="A163" i="93" s="1"/>
  <c r="A160" i="74" l="1"/>
  <c r="A164" i="93" s="1"/>
  <c r="A161" i="74" l="1"/>
  <c r="A165" i="93" s="1"/>
  <c r="A162" i="74" l="1"/>
  <c r="A166" i="93" s="1"/>
  <c r="A163" i="74" l="1"/>
  <c r="A167" i="93" s="1"/>
  <c r="A164" i="74" l="1"/>
  <c r="A168" i="93" s="1"/>
  <c r="A165" i="74" l="1"/>
  <c r="A169" i="93" s="1"/>
  <c r="A166" i="74" l="1"/>
  <c r="A170" i="93" s="1"/>
  <c r="A167" i="74" l="1"/>
  <c r="A171" i="93" s="1"/>
  <c r="A168" i="74" l="1"/>
  <c r="A172" i="93" s="1"/>
  <c r="A169" i="74" l="1"/>
  <c r="A173" i="93" s="1"/>
  <c r="A170" i="74" l="1"/>
  <c r="A174" i="93" s="1"/>
  <c r="A171" i="74" l="1"/>
  <c r="A175" i="93" s="1"/>
  <c r="A172" i="74" l="1"/>
  <c r="A176" i="93" s="1"/>
  <c r="A173" i="74" l="1"/>
  <c r="A174" i="74" l="1"/>
  <c r="A178" i="93" s="1"/>
  <c r="A177" i="93"/>
  <c r="A175" i="74" l="1"/>
  <c r="A179" i="93" s="1"/>
  <c r="A176" i="74" l="1"/>
  <c r="A180" i="93" s="1"/>
  <c r="A177" i="74" l="1"/>
  <c r="A181" i="93" s="1"/>
  <c r="A178" i="74" l="1"/>
  <c r="A182" i="93" s="1"/>
  <c r="A179" i="74" l="1"/>
  <c r="A183" i="93" s="1"/>
  <c r="A180" i="74" l="1"/>
  <c r="A184" i="93" s="1"/>
  <c r="A181" i="74" l="1"/>
  <c r="A185" i="93" s="1"/>
  <c r="A182" i="74"/>
  <c r="A186" i="93" s="1"/>
  <c r="A183" i="74" l="1"/>
  <c r="A184" i="74" l="1"/>
  <c r="A188" i="93" s="1"/>
  <c r="A187" i="93"/>
  <c r="A185" i="74" l="1"/>
  <c r="A189" i="93" s="1"/>
  <c r="A186" i="74" l="1"/>
  <c r="A190" i="93" s="1"/>
  <c r="A187" i="74" l="1"/>
  <c r="A191" i="93" s="1"/>
  <c r="A188" i="74" l="1"/>
  <c r="A192" i="93" s="1"/>
  <c r="A189" i="74" l="1"/>
  <c r="A193" i="93" s="1"/>
  <c r="A190" i="74" l="1"/>
  <c r="A194" i="93" s="1"/>
  <c r="A191" i="74" l="1"/>
  <c r="A192" i="74" s="1"/>
  <c r="A195" i="93" l="1"/>
  <c r="A193" i="74"/>
  <c r="A196" i="93"/>
  <c r="A197" i="93" l="1"/>
  <c r="A194" i="74"/>
  <c r="A195" i="74" l="1"/>
  <c r="A198" i="93"/>
  <c r="A199" i="93" l="1"/>
  <c r="A196" i="74"/>
  <c r="A200" i="93" l="1"/>
  <c r="A197" i="74"/>
  <c r="A201" i="93" l="1"/>
  <c r="A198" i="74"/>
  <c r="A202" i="93" l="1"/>
  <c r="A199" i="74"/>
  <c r="A203" i="93" l="1"/>
  <c r="A200" i="74"/>
  <c r="A201" i="74" l="1"/>
  <c r="A204" i="93"/>
  <c r="A205" i="93" l="1"/>
  <c r="A202" i="74"/>
  <c r="A206" i="93" l="1"/>
  <c r="A203" i="74"/>
  <c r="A204" i="74" l="1"/>
  <c r="A208" i="93" s="1"/>
  <c r="A207" i="93"/>
</calcChain>
</file>

<file path=xl/sharedStrings.xml><?xml version="1.0" encoding="utf-8"?>
<sst xmlns="http://schemas.openxmlformats.org/spreadsheetml/2006/main" count="4415" uniqueCount="1081">
  <si>
    <t>S. No.</t>
  </si>
  <si>
    <t>Name of month</t>
  </si>
  <si>
    <t>Total</t>
  </si>
  <si>
    <t>SI</t>
  </si>
  <si>
    <t>NPS</t>
  </si>
  <si>
    <t>GIS</t>
  </si>
  <si>
    <t>Total Deduction</t>
  </si>
  <si>
    <t>Net. Payable Amount</t>
  </si>
  <si>
    <t xml:space="preserve"> Pay</t>
  </si>
  <si>
    <t>C M FUND</t>
  </si>
  <si>
    <t>DA</t>
  </si>
  <si>
    <t>GIS Tax</t>
  </si>
  <si>
    <t>H.F.R.F.</t>
  </si>
  <si>
    <t>ROP</t>
  </si>
  <si>
    <t>Year</t>
  </si>
  <si>
    <t>Oct-15 Salary Arrer</t>
  </si>
  <si>
    <t>Mar-16 Salary Arrer</t>
  </si>
  <si>
    <t>Aug-16 Salary Arrer</t>
  </si>
  <si>
    <t>Oct-16 Salary Arrer</t>
  </si>
  <si>
    <t>Bonus</t>
  </si>
  <si>
    <t>2014-2015</t>
  </si>
  <si>
    <t>2013-2014</t>
  </si>
  <si>
    <t>2015-2016</t>
  </si>
  <si>
    <t>2016-2017</t>
  </si>
  <si>
    <t>2017-2018</t>
  </si>
  <si>
    <t>Surrender Leave</t>
  </si>
  <si>
    <t>DA Arrer July to November</t>
  </si>
  <si>
    <t>ONLINE</t>
  </si>
  <si>
    <t>MAR-2016</t>
  </si>
  <si>
    <t>APR-2016</t>
  </si>
  <si>
    <t>MAY-2016</t>
  </si>
  <si>
    <t>JUN-2016</t>
  </si>
  <si>
    <t>JUL-2016</t>
  </si>
  <si>
    <t>AUG-2016</t>
  </si>
  <si>
    <t>SEP-2016</t>
  </si>
  <si>
    <t>OCT-2016</t>
  </si>
  <si>
    <t>DEC-2016</t>
  </si>
  <si>
    <t>JAN-2017</t>
  </si>
  <si>
    <t>FEB-2017</t>
  </si>
  <si>
    <t>MAR-2017</t>
  </si>
  <si>
    <t>APR-2017</t>
  </si>
  <si>
    <t>2017-18</t>
  </si>
  <si>
    <t>MAY-2017</t>
  </si>
  <si>
    <t>JUN-2017</t>
  </si>
  <si>
    <t>JUL-2017</t>
  </si>
  <si>
    <t>AUG-2017</t>
  </si>
  <si>
    <t>Total Premium</t>
  </si>
  <si>
    <t>S.No</t>
  </si>
  <si>
    <t>This Data is From SIPF Portal (Through SSO ID)</t>
  </si>
  <si>
    <t>Contribution</t>
  </si>
  <si>
    <t>Community Health Center, Sangaria (Hanumangarh)</t>
  </si>
  <si>
    <t>FEB-2016</t>
  </si>
  <si>
    <t>SEP-2017</t>
  </si>
  <si>
    <t>Employer Contribution</t>
  </si>
  <si>
    <t>Employee Contribution</t>
  </si>
  <si>
    <t>Office Name</t>
  </si>
  <si>
    <t>TVNO</t>
  </si>
  <si>
    <t>Month</t>
  </si>
  <si>
    <t>This Data is From NPS Portal</t>
  </si>
  <si>
    <t>GA 55</t>
  </si>
  <si>
    <t>Particulars</t>
  </si>
  <si>
    <t>Uploaded By</t>
  </si>
  <si>
    <t>Contribution/ Redemption Details</t>
  </si>
  <si>
    <t>Date</t>
  </si>
  <si>
    <t>Opening balance</t>
  </si>
  <si>
    <t xml:space="preserve"> </t>
  </si>
  <si>
    <t>For January 2016</t>
  </si>
  <si>
    <t>DTO State Insurance and Provident Fund Hanumangarh(REG NO.4011350)Rajasthan</t>
  </si>
  <si>
    <t>For December 2015</t>
  </si>
  <si>
    <t>For February 2016</t>
  </si>
  <si>
    <t>By Arrear - ARREARS</t>
  </si>
  <si>
    <t>For March 2016</t>
  </si>
  <si>
    <t>For April 2016</t>
  </si>
  <si>
    <t>For May 2016</t>
  </si>
  <si>
    <t>For June 2016</t>
  </si>
  <si>
    <t>For July 2016</t>
  </si>
  <si>
    <t>For August 2016</t>
  </si>
  <si>
    <t>For September 2016</t>
  </si>
  <si>
    <t>For October 2016</t>
  </si>
  <si>
    <t>By Arrear - DA ARREARS</t>
  </si>
  <si>
    <t>For November 2016</t>
  </si>
  <si>
    <t>By Arrear - DA ARREARS-07/16 TO 10/16</t>
  </si>
  <si>
    <t>For December 2016</t>
  </si>
  <si>
    <t>For January 2017</t>
  </si>
  <si>
    <t>For February 2017</t>
  </si>
  <si>
    <t>For March 2017</t>
  </si>
  <si>
    <t>For April 2017</t>
  </si>
  <si>
    <t>For May 2017</t>
  </si>
  <si>
    <t>For June 2017</t>
  </si>
  <si>
    <t>For July 2017</t>
  </si>
  <si>
    <t>Total Contributions</t>
  </si>
  <si>
    <t>Total Amount Invested</t>
  </si>
  <si>
    <t>Transaction Details</t>
  </si>
  <si>
    <t>SBI</t>
  </si>
  <si>
    <t>UTI</t>
  </si>
  <si>
    <t>LIC</t>
  </si>
  <si>
    <t>Rupee</t>
  </si>
  <si>
    <t>NAV</t>
  </si>
  <si>
    <t>Units</t>
  </si>
  <si>
    <t>SBI PENSION FUND SCHEME - STATE GOVT Amount (Rs)</t>
  </si>
  <si>
    <t>SBI PENSION FUND SCHEME - STATE GOVT NAV (Rs)</t>
  </si>
  <si>
    <t>SBI PENSION FUND SCHEME - STATE GOVT Units</t>
  </si>
  <si>
    <t>UTI RETIREMENT SOLUTIONS PENSION FUND SCHEME- STATE GOVT Amount (Rs)</t>
  </si>
  <si>
    <t>UTI RETIREMENT SOLUTIONS PENSION FUND SCHEME- STATE GOVT NAV (Rs)</t>
  </si>
  <si>
    <t>UTI RETIREMENT SOLUTIONS PENSION FUND SCHEME- STATE GOVT Units</t>
  </si>
  <si>
    <t>LIC PENSION FUND SCHEME - STATE GOVT Amount (Rs)</t>
  </si>
  <si>
    <t>LIC PENSION FUND SCHEME - STATE GOVT NAV (Rs)</t>
  </si>
  <si>
    <t>LIC PENSION FUND SCHEME - STATE GOVT Units</t>
  </si>
  <si>
    <t xml:space="preserve"> 01-Apr-15 </t>
  </si>
  <si>
    <t>Opening Balance</t>
  </si>
  <si>
    <t xml:space="preserve"> 22-Mar-16</t>
  </si>
  <si>
    <t xml:space="preserve"> By Contribution for January2016</t>
  </si>
  <si>
    <t xml:space="preserve"> 30-Mar-16</t>
  </si>
  <si>
    <t xml:space="preserve"> By Contribution for February2016</t>
  </si>
  <si>
    <t xml:space="preserve"> By Contribution for December2015</t>
  </si>
  <si>
    <t xml:space="preserve"> 27-Apr-16</t>
  </si>
  <si>
    <t xml:space="preserve"> By Arrear - ARREARS</t>
  </si>
  <si>
    <t xml:space="preserve"> 13-May-16</t>
  </si>
  <si>
    <t xml:space="preserve"> By Contribution for March2016</t>
  </si>
  <si>
    <t xml:space="preserve"> 30-May-16</t>
  </si>
  <si>
    <t xml:space="preserve"> By Contribution for April2016</t>
  </si>
  <si>
    <t xml:space="preserve"> 19-Jul-16</t>
  </si>
  <si>
    <t xml:space="preserve"> By Contribution for May2016</t>
  </si>
  <si>
    <t xml:space="preserve"> 04-Aug-16</t>
  </si>
  <si>
    <t xml:space="preserve"> By Contribution for June2016</t>
  </si>
  <si>
    <t xml:space="preserve"> 30-Aug-16</t>
  </si>
  <si>
    <t xml:space="preserve"> By Contribution for July2016</t>
  </si>
  <si>
    <t xml:space="preserve"> 29-Sep-16</t>
  </si>
  <si>
    <t xml:space="preserve"> By Contribution for August2016</t>
  </si>
  <si>
    <t xml:space="preserve"> 10-Oct-16</t>
  </si>
  <si>
    <t xml:space="preserve"> 24-Oct-16</t>
  </si>
  <si>
    <t xml:space="preserve"> By Contribution for September2016</t>
  </si>
  <si>
    <t xml:space="preserve"> 18-Nov-16</t>
  </si>
  <si>
    <t xml:space="preserve"> By Contribution for October2016</t>
  </si>
  <si>
    <t xml:space="preserve"> 24-Nov-16</t>
  </si>
  <si>
    <t xml:space="preserve"> By Arrear - DA ARREARS</t>
  </si>
  <si>
    <t xml:space="preserve"> 27-Dec-16</t>
  </si>
  <si>
    <t xml:space="preserve"> By Contribution for November2016</t>
  </si>
  <si>
    <t xml:space="preserve"> By Arrear - DA ARREARS-07/16 TO 10/16</t>
  </si>
  <si>
    <t xml:space="preserve"> 25-Jan-17</t>
  </si>
  <si>
    <t xml:space="preserve"> By Contribution for December2016</t>
  </si>
  <si>
    <t xml:space="preserve"> 28-Feb-17</t>
  </si>
  <si>
    <t xml:space="preserve"> By Contribution for January2017</t>
  </si>
  <si>
    <t xml:space="preserve"> 27-Mar-17</t>
  </si>
  <si>
    <t xml:space="preserve"> By Contribution for February2017</t>
  </si>
  <si>
    <t xml:space="preserve"> 20-Apr-17</t>
  </si>
  <si>
    <t xml:space="preserve"> By Contribution for March2017</t>
  </si>
  <si>
    <t xml:space="preserve"> 15-May-17</t>
  </si>
  <si>
    <t xml:space="preserve"> 01-Jun-17</t>
  </si>
  <si>
    <t xml:space="preserve"> By Contribution for April2017</t>
  </si>
  <si>
    <t xml:space="preserve"> 29-Jun-17</t>
  </si>
  <si>
    <t xml:space="preserve"> By Contribution for May2017</t>
  </si>
  <si>
    <t xml:space="preserve"> 26-Jul-17</t>
  </si>
  <si>
    <t xml:space="preserve"> By Contribution for June2017</t>
  </si>
  <si>
    <t xml:space="preserve"> 04-Sep-17</t>
  </si>
  <si>
    <t xml:space="preserve"> By Contribution for July2017</t>
  </si>
  <si>
    <t>1- This Sheet is having all data from single sheet.
2- In part-1 This data is taken from Contribution/Redemption Details
3- In part-2 SBI, LIC and UTI details from Transaction Details</t>
  </si>
  <si>
    <t>Part 1</t>
  </si>
  <si>
    <t>Part 2</t>
  </si>
  <si>
    <t>Contribution by Employee</t>
  </si>
  <si>
    <t>Contribution by Employer</t>
  </si>
  <si>
    <t>Total Contribution</t>
  </si>
  <si>
    <t>Is total number of contributions equal??</t>
  </si>
  <si>
    <t>Is total contribution equal??</t>
  </si>
  <si>
    <t>For August 2017</t>
  </si>
  <si>
    <t>For September 2017</t>
  </si>
  <si>
    <t xml:space="preserve"> 09-Oct-17</t>
  </si>
  <si>
    <t xml:space="preserve"> By Contribution for August2017</t>
  </si>
  <si>
    <t xml:space="preserve"> 27-Oct-17</t>
  </si>
  <si>
    <t xml:space="preserve"> By Contribution for September2017</t>
  </si>
  <si>
    <t xml:space="preserve"> 14-Nov-17</t>
  </si>
  <si>
    <t>Salary Arrer Jan to March</t>
  </si>
  <si>
    <t>Surrender Leave Arrer</t>
  </si>
  <si>
    <t>Salary Arrer Jul to Sep</t>
  </si>
  <si>
    <t>JAN-2018</t>
  </si>
  <si>
    <t>DEC-2017</t>
  </si>
  <si>
    <t>NOV-2017</t>
  </si>
  <si>
    <t>OCT-2017</t>
  </si>
  <si>
    <t>For October 2017</t>
  </si>
  <si>
    <t>For November 2017</t>
  </si>
  <si>
    <t>For December 2017</t>
  </si>
  <si>
    <t xml:space="preserve"> 30-Nov-17</t>
  </si>
  <si>
    <t xml:space="preserve"> By Contribution for October2017</t>
  </si>
  <si>
    <t xml:space="preserve"> 11-Jan-18</t>
  </si>
  <si>
    <t xml:space="preserve"> By Contribution for November2017</t>
  </si>
  <si>
    <t xml:space="preserve"> 31-Jan-18</t>
  </si>
  <si>
    <t xml:space="preserve"> By Contribution for December2017</t>
  </si>
  <si>
    <t>FEB-2018</t>
  </si>
  <si>
    <t>ok</t>
  </si>
  <si>
    <t>missing</t>
  </si>
  <si>
    <t>Difference</t>
  </si>
  <si>
    <t>Salary Arrer from Oct to Dec (7th Pay Comm)</t>
  </si>
  <si>
    <t>2018-2019</t>
  </si>
  <si>
    <t>Salary Arrer (7th Pay Comm 2nd Installment)</t>
  </si>
  <si>
    <t>APR-2018</t>
  </si>
  <si>
    <t>MAR-2018</t>
  </si>
  <si>
    <t>For January 2018</t>
  </si>
  <si>
    <t>For February 2018</t>
  </si>
  <si>
    <t xml:space="preserve"> 12-Mar-18</t>
  </si>
  <si>
    <t xml:space="preserve"> By Contribution for January2018</t>
  </si>
  <si>
    <t xml:space="preserve"> 16-Mar-18</t>
  </si>
  <si>
    <t xml:space="preserve"> 27-Mar-18</t>
  </si>
  <si>
    <t xml:space="preserve"> By Contribution for February2018</t>
  </si>
  <si>
    <t xml:space="preserve"> 24-May-18</t>
  </si>
  <si>
    <t xml:space="preserve"> By Contribution for March2018</t>
  </si>
  <si>
    <t xml:space="preserve"> By Arrear - ARREARS-DA Arrear</t>
  </si>
  <si>
    <t>For March 2018</t>
  </si>
  <si>
    <t>By Arrear - ARREARS-DA Arrear</t>
  </si>
  <si>
    <t>Salary Arrer (7th Pay Comm 3rd Installment)</t>
  </si>
  <si>
    <t>SEP-2018</t>
  </si>
  <si>
    <t>AUG-2018</t>
  </si>
  <si>
    <t>JUL-2018</t>
  </si>
  <si>
    <t>JUN-2018</t>
  </si>
  <si>
    <t>MAY-2018</t>
  </si>
  <si>
    <t xml:space="preserve"> 13-Jun-18</t>
  </si>
  <si>
    <t xml:space="preserve"> By Contribution for April2018</t>
  </si>
  <si>
    <t xml:space="preserve"> 26-Jun-18</t>
  </si>
  <si>
    <t xml:space="preserve"> By Contribution for May2018</t>
  </si>
  <si>
    <t xml:space="preserve"> 31-Jul-18</t>
  </si>
  <si>
    <t xml:space="preserve"> 16-Aug-18</t>
  </si>
  <si>
    <t xml:space="preserve"> 03-Sep-18</t>
  </si>
  <si>
    <t xml:space="preserve"> By Contribution for July2018</t>
  </si>
  <si>
    <t>For April 2018</t>
  </si>
  <si>
    <t>For May 2018</t>
  </si>
  <si>
    <t>For July 2018</t>
  </si>
  <si>
    <t>2018-19</t>
  </si>
  <si>
    <t>Day</t>
  </si>
  <si>
    <t>Total Service Period</t>
  </si>
  <si>
    <t>Till Today Total Service Period</t>
  </si>
  <si>
    <t>Basic Salary</t>
  </si>
  <si>
    <t>Date of Joining in Service (DD-MM-YYYY)</t>
  </si>
  <si>
    <t>Date of Retirement From Service (DD-MM-YYYY)</t>
  </si>
  <si>
    <t>Gratuity till today</t>
  </si>
  <si>
    <t>Gratuity At Retirement</t>
  </si>
  <si>
    <t>Max Gratuity</t>
  </si>
  <si>
    <t>Salary Arrer (7th Pay Comm 4th Installment)</t>
  </si>
  <si>
    <t>DA Salary Arrer Jul to Sep</t>
  </si>
  <si>
    <t>For August 2018</t>
  </si>
  <si>
    <t xml:space="preserve"> 05-Oct-2018</t>
  </si>
  <si>
    <t xml:space="preserve"> By Contribution for August2018</t>
  </si>
  <si>
    <t>OCT-2018</t>
  </si>
  <si>
    <t>NOV-2018</t>
  </si>
  <si>
    <t>For September 2018</t>
  </si>
  <si>
    <t xml:space="preserve"> 19-Dec-2018</t>
  </si>
  <si>
    <t xml:space="preserve"> By Contribution for September2018</t>
  </si>
  <si>
    <t xml:space="preserve"> 26-Dec-2018</t>
  </si>
  <si>
    <t>2019-2020</t>
  </si>
  <si>
    <t>For October 2018</t>
  </si>
  <si>
    <t>By Arrear - ARREARS-SALARY ARREARS</t>
  </si>
  <si>
    <t>For December 2018</t>
  </si>
  <si>
    <t xml:space="preserve"> 07-Jan-2019</t>
  </si>
  <si>
    <t xml:space="preserve"> By Arrear - ARREARS-SALARY ARREARS</t>
  </si>
  <si>
    <t xml:space="preserve"> By Contribution for October2018</t>
  </si>
  <si>
    <t xml:space="preserve"> 30-Jan-2019</t>
  </si>
  <si>
    <t xml:space="preserve"> By Contribution for December2018</t>
  </si>
  <si>
    <t>For November 2018</t>
  </si>
  <si>
    <t>For January 2019</t>
  </si>
  <si>
    <t>For February 2019</t>
  </si>
  <si>
    <t xml:space="preserve"> 18-Mar-2019</t>
  </si>
  <si>
    <t xml:space="preserve"> By Contribution for January2019</t>
  </si>
  <si>
    <t xml:space="preserve"> By Contribution for November2018</t>
  </si>
  <si>
    <t xml:space="preserve"> 29-Mar-2019</t>
  </si>
  <si>
    <t xml:space="preserve"> By Contribution for February2019</t>
  </si>
  <si>
    <t>By Arrear - ARREARS-REGULAR DEDUCTION</t>
  </si>
  <si>
    <t xml:space="preserve"> 23-May-2019</t>
  </si>
  <si>
    <t xml:space="preserve"> By Arrear - ARREARS-REGULAR DEDUCTION</t>
  </si>
  <si>
    <t>Office of Analyst cum programmer(Dy Director) DoIT&amp;C Hanumangarh</t>
  </si>
  <si>
    <t>JAN-2019</t>
  </si>
  <si>
    <t>FEB-2019</t>
  </si>
  <si>
    <t>MAR-2019</t>
  </si>
  <si>
    <t>APR-2019</t>
  </si>
  <si>
    <t>MAY-2019</t>
  </si>
  <si>
    <t>JUN-2019</t>
  </si>
  <si>
    <t>2019-20</t>
  </si>
  <si>
    <t>DA Arrer Jan to Feb</t>
  </si>
  <si>
    <t>For April 2019</t>
  </si>
  <si>
    <t>By Arrear - ARREARS-ARREARS</t>
  </si>
  <si>
    <t xml:space="preserve"> 24-Jun-2019</t>
  </si>
  <si>
    <t xml:space="preserve"> By Arrear - ARREARS-ARREARS</t>
  </si>
  <si>
    <t xml:space="preserve"> By Contribution for April2019</t>
  </si>
  <si>
    <t>For May 2019</t>
  </si>
  <si>
    <t>For June 2019</t>
  </si>
  <si>
    <t>For July 2019</t>
  </si>
  <si>
    <t>For August 2019</t>
  </si>
  <si>
    <t xml:space="preserve"> 02-Jul-2019</t>
  </si>
  <si>
    <t xml:space="preserve"> By Contribution for May2019</t>
  </si>
  <si>
    <t xml:space="preserve"> 14-Aug-2019</t>
  </si>
  <si>
    <t xml:space="preserve"> By Contribution for June2019</t>
  </si>
  <si>
    <t xml:space="preserve"> 03-Sep-2019</t>
  </si>
  <si>
    <t xml:space="preserve"> By Contribution for July2019</t>
  </si>
  <si>
    <t xml:space="preserve"> 15-Oct-2019</t>
  </si>
  <si>
    <t xml:space="preserve"> By Contribution for August2019</t>
  </si>
  <si>
    <t>JUL-2019</t>
  </si>
  <si>
    <t>AUG-2019</t>
  </si>
  <si>
    <t>SEP-2019</t>
  </si>
  <si>
    <t>OCT-2019</t>
  </si>
  <si>
    <t>For September 2019</t>
  </si>
  <si>
    <t xml:space="preserve"> 05-Nov-2019</t>
  </si>
  <si>
    <t xml:space="preserve"> By Contribution for September2019</t>
  </si>
  <si>
    <t>UTI RETIREMENT SOLUTIONS SCHEME E - TIER II Amount (Rs)</t>
  </si>
  <si>
    <t>UTI RETIREMENT SOLUTIONS SCHEME E - TIER II NAV (Rs)</t>
  </si>
  <si>
    <t>UTI RETIREMENT SOLUTIONS SCHEME E - TIER II Units</t>
  </si>
  <si>
    <t>UTI RETIREMENT SOLUTIONS SCHEME C - TIER II Amount (Rs)</t>
  </si>
  <si>
    <t>UTI RETIREMENT SOLUTIONS SCHEME C - TIER II NAV (Rs)</t>
  </si>
  <si>
    <t>UTI RETIREMENT SOLUTIONS SCHEME C - TIER II Units</t>
  </si>
  <si>
    <t>UTI RETIREMENT SOLUTIONS SCHEME G - TIER II Amount (Rs)</t>
  </si>
  <si>
    <t>UTI RETIREMENT SOLUTIONS SCHEME G - TIER II NAV (Rs)</t>
  </si>
  <si>
    <t>UTI RETIREMENT SOLUTIONS SCHEME G - TIER II Units</t>
  </si>
  <si>
    <t>1- This Sheet is having all data from single sheet.
2- In part-1 This data is taken from Contribution/Redemption Details
3- In part-2 UTI Scheme E C and details from Transaction Details</t>
  </si>
  <si>
    <t>Tier-2 Contribution</t>
  </si>
  <si>
    <t>eNPS - Online (5000682)</t>
  </si>
  <si>
    <t xml:space="preserve"> Tier-2 Contribution</t>
  </si>
  <si>
    <r>
      <t xml:space="preserve">This Data is From NPS Portal </t>
    </r>
    <r>
      <rPr>
        <sz val="26"/>
        <color theme="1"/>
        <rFont val="Times New Roman"/>
        <family val="1"/>
      </rPr>
      <t>Tier 2</t>
    </r>
  </si>
  <si>
    <t>For October 2019</t>
  </si>
  <si>
    <t>By Voluntary Contributions</t>
  </si>
  <si>
    <t xml:space="preserve"> 29-Nov-2019</t>
  </si>
  <si>
    <t xml:space="preserve"> By Contribution for October2019</t>
  </si>
  <si>
    <t xml:space="preserve"> 04-Dec-2019</t>
  </si>
  <si>
    <t xml:space="preserve">  By Voluntary Contributions</t>
  </si>
  <si>
    <t>For November 2019</t>
  </si>
  <si>
    <t>For December 2019</t>
  </si>
  <si>
    <t>For January 2020</t>
  </si>
  <si>
    <t xml:space="preserve"> 04-Jan-2020</t>
  </si>
  <si>
    <t xml:space="preserve"> Billing for Q3 2019-2020</t>
  </si>
  <si>
    <t xml:space="preserve"> 13-Jan-2020</t>
  </si>
  <si>
    <t xml:space="preserve"> By Contribution for November2019</t>
  </si>
  <si>
    <t xml:space="preserve"> 11-Feb-2020</t>
  </si>
  <si>
    <t xml:space="preserve"> By Contribution for December2019</t>
  </si>
  <si>
    <t xml:space="preserve"> 03-Mar-2020</t>
  </si>
  <si>
    <t xml:space="preserve"> By Contribution for January2020</t>
  </si>
  <si>
    <t>Part 3</t>
  </si>
  <si>
    <t>Total Dedections</t>
  </si>
  <si>
    <t>Total Amount Deducted</t>
  </si>
  <si>
    <t>Part 4</t>
  </si>
  <si>
    <t>Balance Units</t>
  </si>
  <si>
    <t>Part 5</t>
  </si>
  <si>
    <t>Balance Amout</t>
  </si>
  <si>
    <t>Withdrawal/ deduction in units towards intermediary charges (Rs.)</t>
  </si>
  <si>
    <t>UTI-E</t>
  </si>
  <si>
    <t>UTI-C</t>
  </si>
  <si>
    <t>UTI-G</t>
  </si>
  <si>
    <t>Total Deductions</t>
  </si>
  <si>
    <t>2020-2021</t>
  </si>
  <si>
    <t>FEB-2020</t>
  </si>
  <si>
    <t>JAN-2020</t>
  </si>
  <si>
    <t>DEC-2019</t>
  </si>
  <si>
    <t>NOV-2019</t>
  </si>
  <si>
    <t>MAR-2020</t>
  </si>
  <si>
    <t>APR-2020</t>
  </si>
  <si>
    <t xml:space="preserve"> 03-Apr-2020</t>
  </si>
  <si>
    <t xml:space="preserve"> By Contribution for February2020</t>
  </si>
  <si>
    <t>For February 2020</t>
  </si>
  <si>
    <t>eNPS - Online (5000682),</t>
  </si>
  <si>
    <t>For March 2020</t>
  </si>
  <si>
    <t>For April 2020</t>
  </si>
  <si>
    <t xml:space="preserve"> 30-Apr-2020</t>
  </si>
  <si>
    <t xml:space="preserve"> By Contribution for March2020</t>
  </si>
  <si>
    <t xml:space="preserve"> 02-Jul-2020</t>
  </si>
  <si>
    <t xml:space="preserve"> By Contribution for April2020</t>
  </si>
  <si>
    <t xml:space="preserve"> 20-Jul-2020</t>
  </si>
  <si>
    <t xml:space="preserve"> By Contribution for May2020</t>
  </si>
  <si>
    <t xml:space="preserve"> 14-Aug-2020</t>
  </si>
  <si>
    <t xml:space="preserve"> By Contribution for June2020</t>
  </si>
  <si>
    <t xml:space="preserve"> 04-Sep-2020</t>
  </si>
  <si>
    <t xml:space="preserve"> By Contribution for July2020</t>
  </si>
  <si>
    <t>For May 2020</t>
  </si>
  <si>
    <t>For June 2020</t>
  </si>
  <si>
    <t>For July 2020</t>
  </si>
  <si>
    <t>DA Arrer</t>
  </si>
  <si>
    <t>MAY-2020</t>
  </si>
  <si>
    <t>JUN-2020</t>
  </si>
  <si>
    <t>JUL-2020</t>
  </si>
  <si>
    <t>AUG-2020</t>
  </si>
  <si>
    <t>SEP-2020</t>
  </si>
  <si>
    <t xml:space="preserve"> 04-Apr-2020</t>
  </si>
  <si>
    <t xml:space="preserve"> Billing for Q4 2019-2020</t>
  </si>
  <si>
    <t xml:space="preserve"> 09-Jan-2021</t>
  </si>
  <si>
    <t xml:space="preserve"> Billing for Q3 2020-2021</t>
  </si>
  <si>
    <t xml:space="preserve"> 19-Oct-2020</t>
  </si>
  <si>
    <t xml:space="preserve"> 07-Jan-2021</t>
  </si>
  <si>
    <t xml:space="preserve"> 04-Nov-2020</t>
  </si>
  <si>
    <t xml:space="preserve"> 25-Nov-2020</t>
  </si>
  <si>
    <t xml:space="preserve"> 16-Dec-2020</t>
  </si>
  <si>
    <t xml:space="preserve"> 13-Jan-2021</t>
  </si>
  <si>
    <t xml:space="preserve"> By Contribution for August2020</t>
  </si>
  <si>
    <t xml:space="preserve"> By Contribution for September2020</t>
  </si>
  <si>
    <t xml:space="preserve"> By Contribution for October2020</t>
  </si>
  <si>
    <t xml:space="preserve"> By Contribution for November2020</t>
  </si>
  <si>
    <t>For August 2020</t>
  </si>
  <si>
    <t>For September 2020</t>
  </si>
  <si>
    <t>For October 2020</t>
  </si>
  <si>
    <t>For November 2020</t>
  </si>
  <si>
    <t>GPF 2004</t>
  </si>
  <si>
    <t>DEC-2020</t>
  </si>
  <si>
    <t>NOV-2020</t>
  </si>
  <si>
    <t>OCT-2020</t>
  </si>
  <si>
    <t>JAN-2021</t>
  </si>
  <si>
    <t xml:space="preserve"> 20-Jan-2021</t>
  </si>
  <si>
    <t xml:space="preserve"> 01-Feb-2021</t>
  </si>
  <si>
    <t xml:space="preserve"> 08-Feb-2021</t>
  </si>
  <si>
    <t xml:space="preserve"> Withdrawal for Ack id 8000392192</t>
  </si>
  <si>
    <t>for house expense calculation</t>
  </si>
  <si>
    <t>Amount</t>
  </si>
  <si>
    <t>Transaction Details (Deposit)</t>
  </si>
  <si>
    <t>Transaction Details (Withdraw or Charges)</t>
  </si>
  <si>
    <t>For December 2020</t>
  </si>
  <si>
    <t>For January 2021</t>
  </si>
  <si>
    <t xml:space="preserve"> 05-Feb-2021</t>
  </si>
  <si>
    <t xml:space="preserve"> By Contribution for December2020</t>
  </si>
  <si>
    <t xml:space="preserve"> 15-Mar-2021</t>
  </si>
  <si>
    <t xml:space="preserve"> By Contribution for January2021</t>
  </si>
  <si>
    <t xml:space="preserve"> 05-Apr-2021</t>
  </si>
  <si>
    <t xml:space="preserve"> By Contribution for February2021</t>
  </si>
  <si>
    <t>For February 2021</t>
  </si>
  <si>
    <t>FEB-2021</t>
  </si>
  <si>
    <t>MAR-2021</t>
  </si>
  <si>
    <t>2021-2022</t>
  </si>
  <si>
    <t>PL Arrer</t>
  </si>
  <si>
    <t>HRA</t>
  </si>
  <si>
    <t>APR-2021</t>
  </si>
  <si>
    <t>MAY-2021</t>
  </si>
  <si>
    <t>MARCH 2021 KI जगह पर MARCH 2020 आएगा, GA 55 में MARCH 2020 की एंट्री है|</t>
  </si>
  <si>
    <t>For March 2021</t>
  </si>
  <si>
    <t xml:space="preserve"> 04-May-2021</t>
  </si>
  <si>
    <t xml:space="preserve"> 01-Jun-2021</t>
  </si>
  <si>
    <t xml:space="preserve"> By Contribution for March2021</t>
  </si>
  <si>
    <t>Bill No</t>
  </si>
  <si>
    <t>Bill Date</t>
  </si>
  <si>
    <t>TV No</t>
  </si>
  <si>
    <t>TV Date</t>
  </si>
  <si>
    <t>FY</t>
  </si>
  <si>
    <t>Row Labels</t>
  </si>
  <si>
    <t>Grand Total</t>
  </si>
  <si>
    <t>Sum of Total</t>
  </si>
  <si>
    <t xml:space="preserve">  Pay</t>
  </si>
  <si>
    <t xml:space="preserve"> DA</t>
  </si>
  <si>
    <t xml:space="preserve"> HRA</t>
  </si>
  <si>
    <t xml:space="preserve"> ROP</t>
  </si>
  <si>
    <t xml:space="preserve"> Bonus</t>
  </si>
  <si>
    <t>Gross Amount</t>
  </si>
  <si>
    <t xml:space="preserve"> SI</t>
  </si>
  <si>
    <t xml:space="preserve"> NPS</t>
  </si>
  <si>
    <t xml:space="preserve"> GIS</t>
  </si>
  <si>
    <t xml:space="preserve"> H.F.R.F.</t>
  </si>
  <si>
    <t>Sum of Incremental 
Premium</t>
  </si>
  <si>
    <t>Sum of Loan 
Installment</t>
  </si>
  <si>
    <t>Sum of Loan 
Interest</t>
  </si>
  <si>
    <t>Sum of Misc 
Arrear</t>
  </si>
  <si>
    <t>Sum of Service 
Tax</t>
  </si>
  <si>
    <t>Sum of Total Premium</t>
  </si>
  <si>
    <t>In GA 55</t>
  </si>
  <si>
    <t>In SSOid</t>
  </si>
  <si>
    <t>IN NPS Portal</t>
  </si>
  <si>
    <t>NPS (Tier 1)</t>
  </si>
  <si>
    <t>SI FY</t>
  </si>
  <si>
    <t>Check Status with ga 55</t>
  </si>
  <si>
    <t xml:space="preserve"> Employee Contribution</t>
  </si>
  <si>
    <t xml:space="preserve"> Employer Contribution</t>
  </si>
  <si>
    <t>Employee</t>
  </si>
  <si>
    <t>Employer</t>
  </si>
  <si>
    <t>GA-SSOid</t>
  </si>
  <si>
    <t>GA-NPS Portal</t>
  </si>
  <si>
    <t>SSOid-NPS Portal</t>
  </si>
  <si>
    <t>NPS SSOid</t>
  </si>
  <si>
    <t>NPS (Tier 1) units and value</t>
  </si>
  <si>
    <t>Fund House</t>
  </si>
  <si>
    <t>Amount Invested</t>
  </si>
  <si>
    <t>Value as on</t>
  </si>
  <si>
    <t>Value now</t>
  </si>
  <si>
    <t>Profit/loss</t>
  </si>
  <si>
    <t>Yellow column are auto updated</t>
  </si>
  <si>
    <t>other have to enter</t>
  </si>
  <si>
    <t>RGHS</t>
  </si>
  <si>
    <t>JUL-2021</t>
  </si>
  <si>
    <t>JUN-2021</t>
  </si>
  <si>
    <t>AUG-2021</t>
  </si>
  <si>
    <t>For April 2021</t>
  </si>
  <si>
    <t>For May 2021</t>
  </si>
  <si>
    <t>For June 2021</t>
  </si>
  <si>
    <t xml:space="preserve"> 14-Jun-2021</t>
  </si>
  <si>
    <t xml:space="preserve"> By Contribution for April2021</t>
  </si>
  <si>
    <t xml:space="preserve"> 25-Jun-2021</t>
  </si>
  <si>
    <t xml:space="preserve"> By Contribution for May2021</t>
  </si>
  <si>
    <t xml:space="preserve"> 28-Jul-2021</t>
  </si>
  <si>
    <t xml:space="preserve"> By Contribution for June2021</t>
  </si>
  <si>
    <t>For July 2021</t>
  </si>
  <si>
    <t>For August 2021</t>
  </si>
  <si>
    <t>For September 2021</t>
  </si>
  <si>
    <t>For October 2021</t>
  </si>
  <si>
    <t xml:space="preserve"> 27-Aug-2021</t>
  </si>
  <si>
    <t xml:space="preserve"> By Contribution for July2021</t>
  </si>
  <si>
    <t xml:space="preserve"> 27-Sep-2021</t>
  </si>
  <si>
    <t xml:space="preserve"> By Contribution for August2021</t>
  </si>
  <si>
    <t xml:space="preserve"> 18-Nov-2021</t>
  </si>
  <si>
    <t xml:space="preserve"> By Contribution for September2021</t>
  </si>
  <si>
    <t xml:space="preserve"> 14-Dec-2021</t>
  </si>
  <si>
    <t xml:space="preserve"> By Contribution for October2021</t>
  </si>
  <si>
    <t>Part 6</t>
  </si>
  <si>
    <t>Average Per Unit Price</t>
  </si>
  <si>
    <t>Salary Arrer  Aug</t>
  </si>
  <si>
    <t>(blank)</t>
  </si>
  <si>
    <t>OK</t>
  </si>
  <si>
    <t>SEP-2021</t>
  </si>
  <si>
    <t>This Value must be 0</t>
  </si>
  <si>
    <t xml:space="preserve">Missing or pending </t>
  </si>
  <si>
    <t>sum of all differences (THIS SHEET)</t>
  </si>
  <si>
    <t>CORRECTION NEEDED</t>
  </si>
  <si>
    <t>Salary Month</t>
  </si>
  <si>
    <t>Transaction Mode</t>
  </si>
  <si>
    <t>Premium Usual</t>
  </si>
  <si>
    <t>Arrear Usual</t>
  </si>
  <si>
    <t>Service Tax</t>
  </si>
  <si>
    <t>This Data is From SIPF Portal (Through SSO ID)(NEW)</t>
  </si>
  <si>
    <t>For November 2021</t>
  </si>
  <si>
    <t xml:space="preserve"> 07-Jan-2022</t>
  </si>
  <si>
    <t xml:space="preserve"> By Contribution for November2021</t>
  </si>
  <si>
    <t>2022-2023</t>
  </si>
  <si>
    <t>Sr No.</t>
  </si>
  <si>
    <t>Financial Year</t>
  </si>
  <si>
    <t>April</t>
  </si>
  <si>
    <t>May</t>
  </si>
  <si>
    <t>June</t>
  </si>
  <si>
    <t>July</t>
  </si>
  <si>
    <t>Aug</t>
  </si>
  <si>
    <t>Sept</t>
  </si>
  <si>
    <t>Oct</t>
  </si>
  <si>
    <t>Nov</t>
  </si>
  <si>
    <t>Dec</t>
  </si>
  <si>
    <t>Jan</t>
  </si>
  <si>
    <t>Feb</t>
  </si>
  <si>
    <t>March</t>
  </si>
  <si>
    <t>Loan</t>
  </si>
  <si>
    <t>Claim</t>
  </si>
  <si>
    <t>Mar</t>
  </si>
  <si>
    <t>Apr</t>
  </si>
  <si>
    <t>Jun</t>
  </si>
  <si>
    <t>Jul</t>
  </si>
  <si>
    <t>Sep</t>
  </si>
  <si>
    <t>this data is from sso id new portal</t>
  </si>
  <si>
    <t>this pivot table is on left most data</t>
  </si>
  <si>
    <t>difference on sso id year wise data and pivot table</t>
  </si>
  <si>
    <t>DED</t>
  </si>
  <si>
    <t>Sr.No</t>
  </si>
  <si>
    <t>Encashment Date</t>
  </si>
  <si>
    <t>Transaction Type</t>
  </si>
  <si>
    <t>UNIT</t>
  </si>
  <si>
    <t>DDO</t>
  </si>
  <si>
    <t>Office</t>
  </si>
  <si>
    <t>HANUMANGARH</t>
  </si>
  <si>
    <t>22956-CHC SANGARIA</t>
  </si>
  <si>
    <t>Analyst Cum Programmer DOIT&amp;amp;C HANUMANGARH</t>
  </si>
  <si>
    <t>remark</t>
  </si>
  <si>
    <t>tvno</t>
  </si>
  <si>
    <t>date</t>
  </si>
  <si>
    <t>si</t>
  </si>
  <si>
    <t>march ki deduction may-2020 me hui hai</t>
  </si>
  <si>
    <t>no of enteries effected</t>
  </si>
  <si>
    <t>&gt;0 or &lt;0</t>
  </si>
  <si>
    <t>TV month or Encashment Month</t>
  </si>
  <si>
    <t>TV month or Encashment Month and year</t>
  </si>
  <si>
    <t>TV year or Encashment Year</t>
  </si>
  <si>
    <t>this pivot is on sheet Si(sso id new with detail)</t>
  </si>
  <si>
    <t xml:space="preserve">  </t>
  </si>
  <si>
    <t>In SSOid old</t>
  </si>
  <si>
    <t>Difference of GA 55 and sso id old</t>
  </si>
  <si>
    <t>In SSOid new</t>
  </si>
  <si>
    <t>2012-2013</t>
  </si>
  <si>
    <t>Interest</t>
  </si>
  <si>
    <t>2024-2025</t>
  </si>
  <si>
    <t>2025-2026</t>
  </si>
  <si>
    <t>2026-2027</t>
  </si>
  <si>
    <t>2027-2028</t>
  </si>
  <si>
    <t>2028-2029</t>
  </si>
  <si>
    <t>2029-2030</t>
  </si>
  <si>
    <t>M</t>
  </si>
  <si>
    <t>GPF
Deduction</t>
  </si>
  <si>
    <t>DA
Arrears</t>
  </si>
  <si>
    <t>Withdrawl
/Claim</t>
  </si>
  <si>
    <t>Withdrawl
Repayment</t>
  </si>
  <si>
    <t>Other
Arrears</t>
  </si>
  <si>
    <t>New
Balance</t>
  </si>
  <si>
    <t>Interest
Rate</t>
  </si>
  <si>
    <t>From GA-55 of excel sheet</t>
  </si>
  <si>
    <t>From SIPF Portal (new)</t>
  </si>
  <si>
    <t>Calculations</t>
  </si>
  <si>
    <t>Remark</t>
  </si>
  <si>
    <t>Sum of Interest</t>
  </si>
  <si>
    <t>New Balance</t>
  </si>
  <si>
    <t>Correction
Needed</t>
  </si>
  <si>
    <t>GPF</t>
  </si>
  <si>
    <t>IN GPF Sheet</t>
  </si>
  <si>
    <t>Difference of GA55 and GPF Sheet</t>
  </si>
  <si>
    <t xml:space="preserve"> PL
Arrer</t>
  </si>
  <si>
    <t xml:space="preserve"> Gross
Amount</t>
  </si>
  <si>
    <t xml:space="preserve"> GIS
Tax</t>
  </si>
  <si>
    <t xml:space="preserve"> C M
FUND</t>
  </si>
  <si>
    <t xml:space="preserve"> GPF
2004</t>
  </si>
  <si>
    <t xml:space="preserve">RGHS </t>
  </si>
  <si>
    <t xml:space="preserve"> Total
Deduction</t>
  </si>
  <si>
    <t xml:space="preserve"> Net.
Payable
Amount</t>
  </si>
  <si>
    <t>SI SSO id (old)</t>
  </si>
  <si>
    <t>SI (OLD)</t>
  </si>
  <si>
    <t>For Difference sheet</t>
  </si>
  <si>
    <t>S No.</t>
  </si>
  <si>
    <t>Type Of Service</t>
  </si>
  <si>
    <t>TID/ Rem ID Creation Date</t>
  </si>
  <si>
    <t>Hospital/Pharmacy Name</t>
  </si>
  <si>
    <t>Claim Amount</t>
  </si>
  <si>
    <t>MEDICINE SALE</t>
  </si>
  <si>
    <t>AJAY MEDICAL STORE</t>
  </si>
  <si>
    <t>2022042514101827</t>
  </si>
  <si>
    <t>202204251493012</t>
  </si>
  <si>
    <t>2022042514105844</t>
  </si>
  <si>
    <t>2022060421552943</t>
  </si>
  <si>
    <t>2022060421511295</t>
  </si>
  <si>
    <t>2022060421533636</t>
  </si>
  <si>
    <t>2022022815311159</t>
  </si>
  <si>
    <t>2022022815373067</t>
  </si>
  <si>
    <t>2022022815321567</t>
  </si>
  <si>
    <t>2022012814112981</t>
  </si>
  <si>
    <t>2022032610543143</t>
  </si>
  <si>
    <t>202203261012118</t>
  </si>
  <si>
    <t>2022012106171754</t>
  </si>
  <si>
    <t>2022020916334323</t>
  </si>
  <si>
    <t>always after pasting make this column as text and check last digit and correct it.</t>
  </si>
  <si>
    <t>Sum of Claim Amount</t>
  </si>
  <si>
    <t>Difference Sheet (correction needed)</t>
  </si>
  <si>
    <t>Last Checking Status</t>
  </si>
  <si>
    <t>Last Update on this sheet</t>
  </si>
  <si>
    <t>Diwali  Bonus</t>
  </si>
  <si>
    <t>DA arrer jan to march</t>
  </si>
  <si>
    <t>RGHS Pivot</t>
  </si>
  <si>
    <t>GA-55 Pivot</t>
  </si>
  <si>
    <t>Sum of RGHS</t>
  </si>
  <si>
    <t>202207081453225</t>
  </si>
  <si>
    <t>20220708144621</t>
  </si>
  <si>
    <t>202207081401993</t>
  </si>
  <si>
    <t>2022080214414758</t>
  </si>
  <si>
    <t>2022080214423699</t>
  </si>
  <si>
    <t>2022080214405185</t>
  </si>
  <si>
    <t>2022080214412193</t>
  </si>
  <si>
    <t>202208021443195</t>
  </si>
  <si>
    <t>Sum</t>
  </si>
  <si>
    <t>Row Label</t>
  </si>
  <si>
    <t xml:space="preserve">errors </t>
  </si>
  <si>
    <t>errors</t>
  </si>
  <si>
    <t>139
141</t>
  </si>
  <si>
    <t>39905433
40160448</t>
  </si>
  <si>
    <t>29-05-2022
16-06-2022</t>
  </si>
  <si>
    <t>12278
17326</t>
  </si>
  <si>
    <t>01-06-2022
27-06-2022</t>
  </si>
  <si>
    <t xml:space="preserve">interest and new balance not matched </t>
  </si>
  <si>
    <t>From</t>
  </si>
  <si>
    <t>To</t>
  </si>
  <si>
    <t>2023-2024</t>
  </si>
  <si>
    <t>Differenece of pivot of left most and pivot of (sso id new with detail) 
this must be zero , if not zero then update both sheets (SI(SSO ID NEW) and SI (SSO ID NEW WITH DETAIL))</t>
  </si>
  <si>
    <t>SI SSO id (new)</t>
  </si>
  <si>
    <t>negative value shows extra entries</t>
  </si>
  <si>
    <t>No of Days/ Months</t>
  </si>
  <si>
    <t>3 Months and 7 Days</t>
  </si>
  <si>
    <t>6 Months</t>
  </si>
  <si>
    <t>Transfer From sangriya to Tibbi</t>
  </si>
  <si>
    <t>2 Days</t>
  </si>
  <si>
    <t>11 Days Strike</t>
  </si>
  <si>
    <t>11 Days</t>
  </si>
  <si>
    <t>Leave Earned / Cash Payment or Deductable PL</t>
  </si>
  <si>
    <t>Balance on retrun from leave column</t>
  </si>
  <si>
    <t>Total Times PL Cash</t>
  </si>
  <si>
    <t>Pivots</t>
  </si>
  <si>
    <t>GA55</t>
  </si>
  <si>
    <t>SI (SSO ID Old)</t>
  </si>
  <si>
    <t>SI (SSO ID New)</t>
  </si>
  <si>
    <t>SI (SSO ID New with Detail)</t>
  </si>
  <si>
    <t>NPS (SSO ID)</t>
  </si>
  <si>
    <t>NPS Site</t>
  </si>
  <si>
    <t>NPS Site Tier 2</t>
  </si>
  <si>
    <t>Gratuity</t>
  </si>
  <si>
    <t>SI Passbook</t>
  </si>
  <si>
    <t>GPF Old Method</t>
  </si>
  <si>
    <t>sum of si of this sheet</t>
  </si>
  <si>
    <t>diff (SI of this sheet)-(pivot si)</t>
  </si>
  <si>
    <t xml:space="preserve">correction needed </t>
  </si>
  <si>
    <t>difference</t>
  </si>
  <si>
    <t>Leave Type</t>
  </si>
  <si>
    <t>PL</t>
  </si>
  <si>
    <t>Leave Earned / Cash Payment or Deductable PL2</t>
  </si>
  <si>
    <t>Payment</t>
  </si>
  <si>
    <t>Leave Earned</t>
  </si>
  <si>
    <t>Count</t>
  </si>
  <si>
    <t>Sum of Leave</t>
  </si>
  <si>
    <t>Pivot on GA55</t>
  </si>
  <si>
    <t>Pivot on Left Table</t>
  </si>
  <si>
    <t>Medical</t>
  </si>
  <si>
    <t>1 Year</t>
  </si>
  <si>
    <t xml:space="preserve">Leave Balance </t>
  </si>
  <si>
    <t>Manual Entry from Raj Kaj</t>
  </si>
  <si>
    <t>count</t>
  </si>
  <si>
    <t>Payment of PL In 
GA 55 and Left most table</t>
  </si>
  <si>
    <t>(Mohit Attendance Sheet PL)-(This sheet PL)</t>
  </si>
  <si>
    <t>ye entry pivot table ko maintain krne k liye  hai ise delete na kren</t>
  </si>
  <si>
    <t>SI (NEW)</t>
  </si>
  <si>
    <t>Beniwal Medicose</t>
  </si>
  <si>
    <t>2022091214301860</t>
  </si>
  <si>
    <t>202209121429372</t>
  </si>
  <si>
    <t>2022091214305857</t>
  </si>
  <si>
    <t>2022102114561768</t>
  </si>
  <si>
    <t>2022102114592723</t>
  </si>
  <si>
    <t>2022102114551451</t>
  </si>
  <si>
    <t>Leave Balance</t>
  </si>
  <si>
    <t>144
145</t>
  </si>
  <si>
    <t>41591732
42065399</t>
  </si>
  <si>
    <t>19-09-2022
18-10-2022</t>
  </si>
  <si>
    <t>38533
42574</t>
  </si>
  <si>
    <t>01-10-2022
20-10-2022</t>
  </si>
  <si>
    <t>2022120111293683</t>
  </si>
  <si>
    <t>2022120915131657</t>
  </si>
  <si>
    <t>2022120915135916</t>
  </si>
  <si>
    <t>SI Deduction in Pivot sheet SI</t>
  </si>
  <si>
    <t>difference (pivot sheet-cell ab)</t>
  </si>
  <si>
    <t>0ct-22</t>
  </si>
  <si>
    <t>2023012210514522</t>
  </si>
  <si>
    <t>2023012210504312</t>
  </si>
  <si>
    <t xml:space="preserve"> 2023012210511685</t>
  </si>
  <si>
    <t>Salary Arrer</t>
  </si>
  <si>
    <t>148
150</t>
  </si>
  <si>
    <t>43353029
43739170</t>
  </si>
  <si>
    <t>23-12-2022
18-01-2023</t>
  </si>
  <si>
    <t>60602
64998</t>
  </si>
  <si>
    <t>02-01-2023
20-01-2023</t>
  </si>
  <si>
    <t>147
149</t>
  </si>
  <si>
    <t>42672230
43105964</t>
  </si>
  <si>
    <t>17-11-2022
13-12-2022</t>
  </si>
  <si>
    <t>52784
57161</t>
  </si>
  <si>
    <t>01-12-2022
14-12-2022</t>
  </si>
  <si>
    <t>interest by portal</t>
  </si>
  <si>
    <t>2023030919383650</t>
  </si>
  <si>
    <t>2023030919381169</t>
  </si>
  <si>
    <t>202307101722049</t>
  </si>
  <si>
    <t>202306019571244</t>
  </si>
  <si>
    <t>202306019533233</t>
  </si>
  <si>
    <t>20230428881776</t>
  </si>
  <si>
    <t>2023042886462</t>
  </si>
  <si>
    <t>2023071017435385</t>
  </si>
  <si>
    <t>2023051614321467</t>
  </si>
  <si>
    <t>Pending to check</t>
  </si>
  <si>
    <t>9 Days</t>
  </si>
  <si>
    <t>9 Days Strike</t>
  </si>
  <si>
    <t>2 Days Strike</t>
  </si>
  <si>
    <t>Itax</t>
  </si>
  <si>
    <t>Deductable</t>
  </si>
  <si>
    <t>automatic from GA 55 sheet</t>
  </si>
  <si>
    <t>NA</t>
  </si>
  <si>
    <t>TID GENERATED BY BENEFICIARY</t>
  </si>
  <si>
    <t>DURGA MEDICAL STORE</t>
  </si>
  <si>
    <t>202306019552826</t>
  </si>
  <si>
    <t>202308201903863</t>
  </si>
  <si>
    <t>202308201914915</t>
  </si>
  <si>
    <t>202309221505427</t>
  </si>
  <si>
    <t>202309221512898</t>
  </si>
  <si>
    <t>202309251252634</t>
  </si>
  <si>
    <t>2023102117431044</t>
  </si>
  <si>
    <t>2023102117435764</t>
  </si>
  <si>
    <t>2023102217235036</t>
  </si>
  <si>
    <t>2023102217275224</t>
  </si>
  <si>
    <t>202311071524274</t>
  </si>
  <si>
    <t>202311071534353</t>
  </si>
  <si>
    <t>2023112917544290</t>
  </si>
  <si>
    <t>2023113014575356</t>
  </si>
  <si>
    <t>202312301156481</t>
  </si>
  <si>
    <t>202312301232633</t>
  </si>
  <si>
    <t xml:space="preserve"> 06-Jan-2024</t>
  </si>
  <si>
    <t xml:space="preserve"> Billing for Q3 2023-2024</t>
  </si>
  <si>
    <t xml:space="preserve"> 04-Mar-2024</t>
  </si>
  <si>
    <t>32598-Analyst Cum Programmer DOIT&amp;amp;C HANUMANGARH</t>
  </si>
  <si>
    <t>32598-Office of Analyst cum programmer(Dy Director) DoIT&amp;C Hanumangarh</t>
  </si>
  <si>
    <t>REFUND</t>
  </si>
  <si>
    <t>47362967
47511795</t>
  </si>
  <si>
    <t>04-08-2023
16-08-2023</t>
  </si>
  <si>
    <t>30437
31886</t>
  </si>
  <si>
    <t>07-08-2023
16-08-2023</t>
  </si>
  <si>
    <t>158
161</t>
  </si>
  <si>
    <t>163
164</t>
  </si>
  <si>
    <t>48627195
48896643</t>
  </si>
  <si>
    <t>27-10-2023
07-11-2023</t>
  </si>
  <si>
    <t>45911
50640</t>
  </si>
  <si>
    <t>01-11-2023
09-11-2023</t>
  </si>
  <si>
    <t>166
168</t>
  </si>
  <si>
    <t>49721966
50080221</t>
  </si>
  <si>
    <t>23-12-2023
16-01-2024</t>
  </si>
  <si>
    <t>61348
67485</t>
  </si>
  <si>
    <t>01-01-2024
24-01-2024</t>
  </si>
  <si>
    <t>govt ne nps me jma hi ni krvaye</t>
  </si>
  <si>
    <t>DA Arrer (Jan to Mar 2023) (Da rate 38 to 42%)</t>
  </si>
  <si>
    <t>DA Arrer (jul to oct 2023) (Da rate 42 to 46%)</t>
  </si>
  <si>
    <t>DA Arrer (Jan to Feb 2024) (DA rate 46 to 50%)</t>
  </si>
  <si>
    <t>500732006
500935824</t>
  </si>
  <si>
    <t>06-05-2024
28-05-2024</t>
  </si>
  <si>
    <t>171
172</t>
  </si>
  <si>
    <t>8364
12316</t>
  </si>
  <si>
    <t>07-05-2024
30-05-2024</t>
  </si>
  <si>
    <t>20230428884056</t>
  </si>
  <si>
    <t>4298021417220724</t>
  </si>
  <si>
    <t>4773021258220724</t>
  </si>
  <si>
    <t>2024042314461324</t>
  </si>
  <si>
    <t>Transaction ID / 
Reimbursement ID</t>
  </si>
  <si>
    <t>DA Arrer (Jul toAug 2024) (DA rate 50 to 53%)</t>
  </si>
  <si>
    <t>Incremental Premium</t>
  </si>
  <si>
    <t>Loan Installment</t>
  </si>
  <si>
    <t>Loan Interest</t>
  </si>
  <si>
    <t>Recovery Amount</t>
  </si>
  <si>
    <t>Refund</t>
  </si>
  <si>
    <t>Salary Date</t>
  </si>
  <si>
    <t>4485115205040125</t>
  </si>
  <si>
    <t>4518115103040125</t>
  </si>
  <si>
    <t>4818114934040125</t>
  </si>
  <si>
    <t>Sum of
Trans</t>
  </si>
  <si>
    <t>Sum of
Premium</t>
  </si>
  <si>
    <t>Sum of
Arrers</t>
  </si>
  <si>
    <t>https://www.moneycontrol.com/nps/nav/sbi-pension-fund-scheme-state-govt/SM001002</t>
  </si>
  <si>
    <t>https://www.moneycontrol.com/nps/nav/uti-retirement-solutions-pension-fund-scheme-state-govt/SM002002</t>
  </si>
  <si>
    <t>https://www.moneycontrol.com/nps/nav/lic-pension-fund-scheme-state-govt-/SM003002</t>
  </si>
  <si>
    <t>Sum of Net. Payable Amount</t>
  </si>
  <si>
    <t>Pivot On GA-55 Sheet</t>
  </si>
  <si>
    <t>Diwali Bonus</t>
  </si>
  <si>
    <t>Sum of Credit</t>
  </si>
  <si>
    <t>Pivot On SBBJ Sheet</t>
  </si>
  <si>
    <t>SI, gpf etc sheet me entry check kren</t>
  </si>
  <si>
    <t>checked with sbbj sheet</t>
  </si>
  <si>
    <t xml:space="preserve">checked with sbbj </t>
  </si>
  <si>
    <t>SI Loan</t>
  </si>
  <si>
    <t xml:space="preserve">SI Loan </t>
  </si>
  <si>
    <t>nps me amount jma nhi hui</t>
  </si>
  <si>
    <t>SI Loan  EMI</t>
  </si>
  <si>
    <t>One Day Basic</t>
  </si>
  <si>
    <t>One Day DA</t>
  </si>
  <si>
    <t>Total PL Value at Retirement</t>
  </si>
  <si>
    <t>Total Service Days</t>
  </si>
  <si>
    <t>sum of payment received till today</t>
  </si>
  <si>
    <t>PL payment will be</t>
  </si>
  <si>
    <t>gratuity will be</t>
  </si>
  <si>
    <t>total</t>
  </si>
  <si>
    <t>per day salary</t>
  </si>
  <si>
    <t>503690660
504010976</t>
  </si>
  <si>
    <t>185
186</t>
  </si>
  <si>
    <t>01-04-2025
25-04-2025</t>
  </si>
  <si>
    <t>49331
339072</t>
  </si>
  <si>
    <t>02-04-2025
28-04-2025</t>
  </si>
  <si>
    <t xml:space="preserve">Itax </t>
  </si>
  <si>
    <t>SI Loan EMI</t>
  </si>
  <si>
    <t>OM OSDHI BHANDAR</t>
  </si>
  <si>
    <t>4462060046220325</t>
  </si>
  <si>
    <t>4779045201220325</t>
  </si>
  <si>
    <t>4881021035070225</t>
  </si>
  <si>
    <t>4467024834070225</t>
  </si>
  <si>
    <t>4773123747230125</t>
  </si>
  <si>
    <t>4471122018230125</t>
  </si>
  <si>
    <t>4019122304230125</t>
  </si>
  <si>
    <t>4680122139230125</t>
  </si>
  <si>
    <t>4378123859230125</t>
  </si>
  <si>
    <t>HOSPITAL OPD</t>
  </si>
  <si>
    <t>S N SUPER SPECIALITY HOSPITAL PVT LTD</t>
  </si>
  <si>
    <t>Health First Pharma</t>
  </si>
  <si>
    <t>202507269574657</t>
  </si>
  <si>
    <t>202507261013383</t>
  </si>
  <si>
    <t>4143113246260725</t>
  </si>
  <si>
    <t>4917113403260725</t>
  </si>
  <si>
    <t>202507128445987</t>
  </si>
  <si>
    <t>202507128474475</t>
  </si>
  <si>
    <t>20250712850794</t>
  </si>
  <si>
    <t>4029014041120725</t>
  </si>
  <si>
    <t>4573014218120725</t>
  </si>
  <si>
    <t>4024013819120725</t>
  </si>
  <si>
    <t>202506219235515</t>
  </si>
  <si>
    <t>202506219213611</t>
  </si>
  <si>
    <t>4750021729210625</t>
  </si>
  <si>
    <t>4525022124210625</t>
  </si>
  <si>
    <t>202506139535618</t>
  </si>
  <si>
    <t>202506139504263</t>
  </si>
  <si>
    <t>2025061310123439</t>
  </si>
  <si>
    <t>202506139475629</t>
  </si>
  <si>
    <t>4632023604130625</t>
  </si>
  <si>
    <t>4154023754130625</t>
  </si>
  <si>
    <t>4940021645130625</t>
  </si>
  <si>
    <t>4925022043130625</t>
  </si>
  <si>
    <t>4196041414130625</t>
  </si>
  <si>
    <t>Type</t>
  </si>
  <si>
    <t>OPD</t>
  </si>
  <si>
    <t>HISSARIA MULTISPECIALITY HOSPITAL</t>
  </si>
  <si>
    <t>PRASHANT MEDICOSE</t>
  </si>
  <si>
    <t>20240323102069</t>
  </si>
  <si>
    <t>202403121118354</t>
  </si>
  <si>
    <t>2024030817475680</t>
  </si>
  <si>
    <t>202403081037014</t>
  </si>
  <si>
    <t>202402221153769</t>
  </si>
  <si>
    <t>2024020217413510</t>
  </si>
  <si>
    <t>2024020217331990</t>
  </si>
  <si>
    <t>Hospital Name</t>
  </si>
  <si>
    <t>Patient Name</t>
  </si>
  <si>
    <t>Enrollment Id</t>
  </si>
  <si>
    <t>Transaction ID/ Reimbursement ID</t>
  </si>
  <si>
    <t>Relation</t>
  </si>
  <si>
    <t>Gender</t>
  </si>
  <si>
    <t>Admission Type</t>
  </si>
  <si>
    <t>Treatment Type</t>
  </si>
  <si>
    <t>Admission Date</t>
  </si>
  <si>
    <t>Discharge Date</t>
  </si>
  <si>
    <t>Hospital/ Beneficiary Claim Amount</t>
  </si>
  <si>
    <t>Mohit Kumar Jain</t>
  </si>
  <si>
    <t>9999-88UT-00011</t>
  </si>
  <si>
    <t>Self</t>
  </si>
  <si>
    <t>Male</t>
  </si>
  <si>
    <t>Normal</t>
  </si>
  <si>
    <t>DAYCARE - Others</t>
  </si>
  <si>
    <t>2025062110364656</t>
  </si>
  <si>
    <t>IPD</t>
  </si>
  <si>
    <t>Sum of Hospital/ Beneficiary Claim Amount</t>
  </si>
  <si>
    <t>CCA</t>
  </si>
  <si>
    <t>From 06 to 31 Aug Jaipur salary from jaipur</t>
  </si>
  <si>
    <t>From 01 to 05 Aug Tibbi salary from jaipur</t>
  </si>
  <si>
    <t>Sum of CCA</t>
  </si>
  <si>
    <t>4959041501300920</t>
  </si>
  <si>
    <t>4585041628300920</t>
  </si>
  <si>
    <t>4365041226300920</t>
  </si>
  <si>
    <t>202508149392026</t>
  </si>
  <si>
    <t>4021053646140820</t>
  </si>
  <si>
    <t>202508141039225</t>
  </si>
  <si>
    <t>Transfer From Tibbi to Jaipur</t>
  </si>
  <si>
    <t>DA Arrer (Jan to Mar 2025) (DA rate 53 to 55%)</t>
  </si>
  <si>
    <t>DA Arrer (Jul to Sep 2025) (DA rate 55 to 58%)</t>
  </si>
  <si>
    <t>matched with service book</t>
  </si>
  <si>
    <t>Yes</t>
  </si>
  <si>
    <t>in two terms PL taken</t>
  </si>
  <si>
    <t>ManglamPlus Medicity Hospital</t>
  </si>
  <si>
    <t>JAPR/G-1913/R/2025-26/23687</t>
  </si>
  <si>
    <t>Manglamplus Medicity LLP</t>
  </si>
  <si>
    <t>JAPR/G-1913/R/2025-26/22252</t>
  </si>
  <si>
    <t>DR. S. S. TANTIA MEMORIAL HOSPITAL</t>
  </si>
  <si>
    <t>SRIG/G-478/R/2025-26/10697</t>
  </si>
  <si>
    <t>M/s. Jan Sewa Aushdhi Kendra</t>
  </si>
  <si>
    <t>SRIG/G-478/R/2025-26/10712</t>
  </si>
  <si>
    <t>SRIG/G-483/R/2025-26/29399</t>
  </si>
  <si>
    <t>SRIG/G-483/R/2025-26/22545</t>
  </si>
  <si>
    <t>SRIG/G-483/R/2025-26/22546</t>
  </si>
  <si>
    <t>SRIG/G-483/R/2025-26/22549</t>
  </si>
  <si>
    <t>HANM/G-1343/R/2025-26/202</t>
  </si>
  <si>
    <t>SRIG/G-483/R/2025-26/13710</t>
  </si>
  <si>
    <t>SRIG/G-483/R/2025-26/13708</t>
  </si>
  <si>
    <t>SRIG/G-483/R/2025-26/12231</t>
  </si>
  <si>
    <t>SRIG/G-483/R/2025-26/12233</t>
  </si>
  <si>
    <t>SRIG/G-483/R/2025-26/12232</t>
  </si>
  <si>
    <t>SRIG/G-483/R/2025-26/9535</t>
  </si>
  <si>
    <t>SRIG/G-483/R/2025-26/9536</t>
  </si>
  <si>
    <t>SRIG/G-483/R/2025-26/8425</t>
  </si>
  <si>
    <t>SRIG/G-483/R/2025-26/8389</t>
  </si>
  <si>
    <t>SRIG/G-483/R/2025-26/8392</t>
  </si>
  <si>
    <t>202601179332913</t>
  </si>
  <si>
    <t>20251230928263</t>
  </si>
  <si>
    <t>20251203995315</t>
  </si>
  <si>
    <t>202512039133158</t>
  </si>
  <si>
    <t>2025112611425028</t>
  </si>
  <si>
    <t>2025112611411256</t>
  </si>
  <si>
    <t>2025093010441522</t>
  </si>
  <si>
    <t>2025093010411652</t>
  </si>
  <si>
    <t>HANM/G-1343/R/2022/13</t>
  </si>
  <si>
    <t>HANM/G-1343/R/2022/44</t>
  </si>
  <si>
    <t>HANM/G-1343/R/2022/103</t>
  </si>
  <si>
    <t>HANM/G-1343/R/2022/217</t>
  </si>
  <si>
    <t>HANM/G-1343/R/2022/215</t>
  </si>
  <si>
    <t>HANM/G-1343/R/2022/214</t>
  </si>
  <si>
    <t>HANM/G-1343/R/2022/368</t>
  </si>
  <si>
    <t>HANM/G-1343/R/2022/369</t>
  </si>
  <si>
    <t>HANM/G-1343/R/2022-23/120</t>
  </si>
  <si>
    <t>HANM/G-1343/R/2022-23/118</t>
  </si>
  <si>
    <t>HANM/G-1343/R/2022-23/119</t>
  </si>
  <si>
    <t>HANM/G-1343/R/2022-23/303</t>
  </si>
  <si>
    <t>HANM/G-1343/R/2022-23/301</t>
  </si>
  <si>
    <t>HANM/G-1343/R/2022-23/300</t>
  </si>
  <si>
    <t>HANM/G-1343/R/2022-23/420</t>
  </si>
  <si>
    <t>HANM/G-1343/R/2022-23/417</t>
  </si>
  <si>
    <t>HANM/G-1343/R/2022-23/419</t>
  </si>
  <si>
    <t>HANM/G-1343/R/2022-23/512</t>
  </si>
  <si>
    <t>HANM/G-1343/R/2022-23/508</t>
  </si>
  <si>
    <t>HANM/G-1343/R/2022-23/509</t>
  </si>
  <si>
    <t>HANM/G-1343/R/2022-23/510</t>
  </si>
  <si>
    <t>HANM/G-1343/R/2022-23/511</t>
  </si>
  <si>
    <t>HANM/G-3186/R/2022-23/222</t>
  </si>
  <si>
    <t>HANM/G-3186/R/2022-23/223</t>
  </si>
  <si>
    <t>HANM/G-3186/R/2022-23/224</t>
  </si>
  <si>
    <t>HANM/G-3186/R/2022-23/611</t>
  </si>
  <si>
    <t>HANM/G-3186/R/2022-23/607</t>
  </si>
  <si>
    <t>HANM/G-3186/R/2022-23/612</t>
  </si>
  <si>
    <t>HANM/G-3186/R/2022-23/1182</t>
  </si>
  <si>
    <t>HANM/G-3186/R/2022-23/1162</t>
  </si>
  <si>
    <t>HANM/G-3186/R/2022-23/1095</t>
  </si>
  <si>
    <t>HANM/G-3186/R/2022-23/1801</t>
  </si>
  <si>
    <t>HANM/G-3186/R/2022-23/1800</t>
  </si>
  <si>
    <t>HANM/G-3186/R/2022-23/1802</t>
  </si>
  <si>
    <t>HANM/G-3186/R/2022-23/2627</t>
  </si>
  <si>
    <t>HANM/G-3186/R/2022-23/2626</t>
  </si>
  <si>
    <t>HANM/G-1343/R/2023-24/111</t>
  </si>
  <si>
    <t>HANM/G-1343/R/2023-24/110</t>
  </si>
  <si>
    <t>HANM/G-1343/R/2023-24/198</t>
  </si>
  <si>
    <t>HANM/G-1343/R/2023-24/255</t>
  </si>
  <si>
    <t>HANM/G-1343/R/2023-24/256</t>
  </si>
  <si>
    <t>HANM/G-1343/R/2023-24/387</t>
  </si>
  <si>
    <t>HANM/G-1343/R/2023-24/386</t>
  </si>
  <si>
    <t>HANM/G-1343/R/2023-24/521</t>
  </si>
  <si>
    <t>HANM/G-1343/R/2023-24/520</t>
  </si>
  <si>
    <t>HANM/G-1343/R/2023-24/639</t>
  </si>
  <si>
    <t>HANM/G-1343/R/2023-24/638</t>
  </si>
  <si>
    <t>HANM/G-2832/R/2023-24/2007</t>
  </si>
  <si>
    <t>HANM/G-1343/R/2023-24/737</t>
  </si>
  <si>
    <t>HANM/G-1343/R/2023-24/740</t>
  </si>
  <si>
    <t>HANM/G-1343/R/2023-24/794</t>
  </si>
  <si>
    <t>HANM/G-1343/R/2023-24/795</t>
  </si>
  <si>
    <t>HANM/G-1343/R/2023-24/864</t>
  </si>
  <si>
    <t>HANM/G-1343/R/2023-24/874</t>
  </si>
  <si>
    <t>HANM/G-1343/R/2023-24/926</t>
  </si>
  <si>
    <t>HANM/G-1343/R/2023-24/927</t>
  </si>
  <si>
    <t>HANM/G-1343/R/2023-24/1034</t>
  </si>
  <si>
    <t>HANM/G-1343/R/2023-24/1035</t>
  </si>
  <si>
    <t>HANM/G-3929/R/2023-24/4643</t>
  </si>
  <si>
    <t>HANM/G-1343/R/2023-24/1137</t>
  </si>
  <si>
    <t>HANM/G-1343/R/2023-24/1147</t>
  </si>
  <si>
    <t>HANM/G-3929/R/2023-24/5230</t>
  </si>
  <si>
    <t>HANM/G-1343/R/2024-25/87</t>
  </si>
  <si>
    <t>HANM/G-1343/R/2024-25/344</t>
  </si>
  <si>
    <t>HANM/G-1343/R/2024-25/343</t>
  </si>
  <si>
    <t>HANM/G-1343/R/2024-25/721</t>
  </si>
  <si>
    <t>HANM/G-1343/R/2024-25/720</t>
  </si>
  <si>
    <t>HANM/G-1343/R/2024-25/722</t>
  </si>
  <si>
    <t>HANM/G-4479/R/2024-25/969</t>
  </si>
  <si>
    <t>HANM/G-4479/R/2024-25/970</t>
  </si>
  <si>
    <t>HANM/G-4479/R/2024-25/971</t>
  </si>
  <si>
    <t>HANM/G-1343/R/2024-25/815</t>
  </si>
  <si>
    <t>HANM/G-1343/R/2024-25/817</t>
  </si>
  <si>
    <t>HANM/G-1343/R/2024-25/935</t>
  </si>
  <si>
    <t>HANM/G-1343/R/2024-25/933</t>
  </si>
  <si>
    <t>2025093010395014</t>
  </si>
  <si>
    <t>New Transaction ID / 
Reimbursement ID</t>
  </si>
  <si>
    <t>Manisha Jain</t>
  </si>
  <si>
    <t>Mother</t>
  </si>
  <si>
    <t>Female</t>
  </si>
  <si>
    <t>2025112612494319</t>
  </si>
  <si>
    <t>2026011711334561</t>
  </si>
  <si>
    <t>2025123014404367</t>
  </si>
  <si>
    <t>LOAN</t>
  </si>
  <si>
    <t>SECRETARIAT</t>
  </si>
  <si>
    <t>ANALIST CUM PROGRAMMER DEPUTY DIRECTOR DDO DOITC</t>
  </si>
  <si>
    <t>INFORMATION TECHNOLOGY AND COMMUNICATION DEPARTMENT</t>
  </si>
  <si>
    <t>2026-2026</t>
  </si>
  <si>
    <t>SI Loan
TV no and TV date SI Details se li hai</t>
  </si>
  <si>
    <t>Total (automatic)</t>
  </si>
  <si>
    <t>Sum of Total (automatic)</t>
  </si>
  <si>
    <t>error at bx4 cell</t>
  </si>
  <si>
    <t>error at di5 cell</t>
  </si>
  <si>
    <t>as on 28-03-2025</t>
  </si>
  <si>
    <t>as on 29-03-2026</t>
  </si>
  <si>
    <t>202602149114916</t>
  </si>
  <si>
    <t>JAPR/G-1913/R/2025-26/26469</t>
  </si>
  <si>
    <t>4845052606261125</t>
  </si>
  <si>
    <t>4485103549031225</t>
  </si>
  <si>
    <t>4428021101031225</t>
  </si>
  <si>
    <t>2025093010424768</t>
  </si>
  <si>
    <t>505520412
505819111</t>
  </si>
  <si>
    <t>2401620
2845269</t>
  </si>
  <si>
    <t>01-10-2025
17-10-2025</t>
  </si>
  <si>
    <t>195
196</t>
  </si>
  <si>
    <t>26-Sep-2025
17-Oct-2025</t>
  </si>
  <si>
    <t>506009820
505837064</t>
  </si>
  <si>
    <t>27-10-2025
21-10-2025</t>
  </si>
  <si>
    <t>3111361
3138059</t>
  </si>
  <si>
    <t>01-11-2025
03-11-2025</t>
  </si>
  <si>
    <t>197
199</t>
  </si>
  <si>
    <t>501860136
502140454
502179884</t>
  </si>
  <si>
    <t>26-09-2024
23-10-2024
23-10-2024</t>
  </si>
  <si>
    <t>37968
49705
44955</t>
  </si>
  <si>
    <t>01-10-2024
30-10-2024
24-10-2024</t>
  </si>
  <si>
    <t>total of SI in column T</t>
  </si>
  <si>
    <t>total of SI in column G</t>
  </si>
  <si>
    <t>Difference (T-G)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</si>
</sst>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d/mmm/yyyy;@"/>
    <numFmt numFmtId="165" formatCode="0.0000"/>
    <numFmt numFmtId="166" formatCode="&quot;₹&quot;\ #,##0.00"/>
    <numFmt numFmtId="167" formatCode="mmm\-yy"/>
    <numFmt numFmtId="168" formatCode="[$-409]mmm/yy;@"/>
    <numFmt numFmtId="169" formatCode="[$-409]d/mmm/yy;@"/>
    <numFmt numFmtId="171" formatCode="m/d/yyyy"/>
  </numFmts>
  <fonts count="6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20"/>
      <color theme="1"/>
      <name val="Times New Roman"/>
      <family val="1"/>
    </font>
    <font>
      <b/>
      <sz val="18"/>
      <color theme="1"/>
      <name val="Times New Roman"/>
      <family val="1"/>
    </font>
    <font>
      <sz val="18"/>
      <color theme="1"/>
      <name val="Times New Roman"/>
      <family val="1"/>
    </font>
    <font>
      <b/>
      <sz val="20"/>
      <color theme="1"/>
      <name val="Times New Roman"/>
      <family val="1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sz val="26"/>
      <color theme="1"/>
      <name val="Times New Roman"/>
      <family val="1"/>
    </font>
    <font>
      <sz val="8"/>
      <name val="Calibri"/>
      <family val="2"/>
      <scheme val="minor"/>
    </font>
    <font>
      <b/>
      <sz val="8"/>
      <color rgb="FF000000"/>
      <name val="Arial"/>
      <family val="2"/>
    </font>
    <font>
      <b/>
      <sz val="11"/>
      <color theme="1" tint="0.14999847407452621"/>
      <name val="Times New Roman"/>
      <family val="1"/>
    </font>
    <font>
      <sz val="10"/>
      <color theme="1"/>
      <name val="Times New Roman"/>
      <family val="1"/>
    </font>
    <font>
      <sz val="22"/>
      <color theme="1"/>
      <name val="Times New Roman"/>
      <family val="1"/>
    </font>
    <font>
      <sz val="12"/>
      <color theme="1"/>
      <name val="Times New Roman"/>
      <family val="1"/>
    </font>
    <font>
      <sz val="28"/>
      <color theme="1"/>
      <name val="Times New Roman"/>
      <family val="1"/>
    </font>
    <font>
      <b/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sz val="9"/>
      <color rgb="FFFFFFFF"/>
      <name val="Times New Roman"/>
      <family val="1"/>
    </font>
    <font>
      <sz val="9"/>
      <color rgb="FF000000"/>
      <name val="Times New Roman"/>
      <family val="1"/>
    </font>
    <font>
      <b/>
      <sz val="9"/>
      <color theme="1"/>
      <name val="Times New Roman"/>
      <family val="1"/>
    </font>
    <font>
      <b/>
      <sz val="9"/>
      <color theme="0"/>
      <name val="Times New Roman"/>
      <family val="1"/>
    </font>
    <font>
      <sz val="11"/>
      <color rgb="FFFFFFFF"/>
      <name val="Arial"/>
      <family val="2"/>
    </font>
    <font>
      <u/>
      <sz val="11"/>
      <color theme="10"/>
      <name val="Calibri"/>
      <family val="2"/>
      <scheme val="minor"/>
    </font>
    <font>
      <sz val="9"/>
      <color rgb="FF000000"/>
      <name val="Times New Roman"/>
      <family val="1"/>
    </font>
    <font>
      <sz val="9"/>
      <color theme="1"/>
      <name val="Arial"/>
      <family val="2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sz val="8"/>
      <name val="Times New Roman"/>
      <family val="1"/>
    </font>
    <font>
      <sz val="8"/>
      <color theme="1"/>
      <name val="Times New Roman"/>
      <family val="1"/>
    </font>
    <font>
      <sz val="8"/>
      <color theme="0"/>
      <name val="Times New Roman"/>
      <family val="1"/>
    </font>
    <font>
      <b/>
      <sz val="8"/>
      <name val="Times New Roman"/>
      <family val="1"/>
    </font>
    <font>
      <sz val="8"/>
      <color theme="1"/>
      <name val="Calibri"/>
      <family val="2"/>
      <scheme val="minor"/>
    </font>
    <font>
      <b/>
      <sz val="8"/>
      <color theme="0"/>
      <name val="Times New Roman"/>
      <family val="1"/>
    </font>
    <font>
      <sz val="8"/>
      <color rgb="FF0A0A0A"/>
      <name val="Times New Roman"/>
      <family val="1"/>
    </font>
    <font>
      <b/>
      <sz val="10"/>
      <color theme="0"/>
      <name val="Times New Roman"/>
      <family val="1"/>
    </font>
    <font>
      <b/>
      <sz val="8"/>
      <color theme="1"/>
      <name val="Times New Roman"/>
      <family val="1"/>
    </font>
    <font>
      <sz val="11"/>
      <color rgb="FFFFFFFF"/>
      <name val="Arial"/>
      <family val="2"/>
    </font>
    <font>
      <sz val="11"/>
      <color rgb="FF000000"/>
      <name val="Arial"/>
      <family val="2"/>
    </font>
  </fonts>
  <fills count="5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8C99E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ECEEEF"/>
      </left>
      <right style="medium">
        <color rgb="FFECEEEF"/>
      </right>
      <top style="medium">
        <color rgb="FFECEEEF"/>
      </top>
      <bottom style="medium">
        <color rgb="FFECEEEF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9">
    <xf numFmtId="0" fontId="0" fillId="0" borderId="0"/>
    <xf numFmtId="0" fontId="1" fillId="0" borderId="0"/>
    <xf numFmtId="0" fontId="11" fillId="0" borderId="0" applyNumberFormat="0" applyFill="0" applyBorder="0" applyAlignment="0" applyProtection="0"/>
    <xf numFmtId="0" fontId="12" fillId="0" borderId="23" applyNumberFormat="0" applyFill="0" applyAlignment="0" applyProtection="0"/>
    <xf numFmtId="0" fontId="13" fillId="0" borderId="24" applyNumberFormat="0" applyFill="0" applyAlignment="0" applyProtection="0"/>
    <xf numFmtId="0" fontId="14" fillId="0" borderId="25" applyNumberFormat="0" applyFill="0" applyAlignment="0" applyProtection="0"/>
    <xf numFmtId="0" fontId="14" fillId="0" borderId="0" applyNumberFormat="0" applyFill="0" applyBorder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26" applyNumberFormat="0" applyAlignment="0" applyProtection="0"/>
    <xf numFmtId="0" fontId="19" fillId="10" borderId="27" applyNumberFormat="0" applyAlignment="0" applyProtection="0"/>
    <xf numFmtId="0" fontId="20" fillId="10" borderId="26" applyNumberFormat="0" applyAlignment="0" applyProtection="0"/>
    <xf numFmtId="0" fontId="21" fillId="0" borderId="28" applyNumberFormat="0" applyFill="0" applyAlignment="0" applyProtection="0"/>
    <xf numFmtId="0" fontId="22" fillId="11" borderId="29" applyNumberFormat="0" applyAlignment="0" applyProtection="0"/>
    <xf numFmtId="0" fontId="23" fillId="0" borderId="0" applyNumberFormat="0" applyFill="0" applyBorder="0" applyAlignment="0" applyProtection="0"/>
    <xf numFmtId="0" fontId="10" fillId="12" borderId="30" applyNumberFormat="0" applyFont="0" applyAlignment="0" applyProtection="0"/>
    <xf numFmtId="0" fontId="24" fillId="0" borderId="0" applyNumberFormat="0" applyFill="0" applyBorder="0" applyAlignment="0" applyProtection="0"/>
    <xf numFmtId="0" fontId="5" fillId="0" borderId="31" applyNumberFormat="0" applyFill="0" applyAlignment="0" applyProtection="0"/>
    <xf numFmtId="0" fontId="25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25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25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25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25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25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" fillId="0" borderId="0"/>
    <xf numFmtId="0" fontId="29" fillId="0" borderId="0"/>
    <xf numFmtId="0" fontId="1" fillId="0" borderId="0"/>
    <xf numFmtId="0" fontId="1" fillId="0" borderId="0"/>
    <xf numFmtId="9" fontId="10" fillId="0" borderId="0" applyFont="0" applyFill="0" applyBorder="0" applyAlignment="0" applyProtection="0"/>
    <xf numFmtId="0" fontId="46" fillId="0" borderId="0" applyNumberFormat="0" applyFill="0" applyBorder="0" applyAlignment="0" applyProtection="0"/>
  </cellStyleXfs>
  <cellXfs count="422">
    <xf numFmtId="0" fontId="0" fillId="0" borderId="0" xfId="0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7" fillId="0" borderId="0" xfId="0" applyFont="1" applyAlignment="1">
      <alignment horizontal="center" vertical="center"/>
    </xf>
    <xf numFmtId="0" fontId="4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15" fontId="0" fillId="0" borderId="0" xfId="0" applyNumberForma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11" xfId="0" quotePrefix="1" applyBorder="1" applyAlignment="1">
      <alignment horizontal="center" vertical="center" wrapText="1"/>
    </xf>
    <xf numFmtId="0" fontId="0" fillId="0" borderId="12" xfId="0" quotePrefix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14" fontId="27" fillId="0" borderId="15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27" fillId="0" borderId="19" xfId="0" applyNumberFormat="1" applyFont="1" applyBorder="1" applyAlignment="1">
      <alignment horizontal="center" vertical="center" wrapText="1"/>
    </xf>
    <xf numFmtId="0" fontId="27" fillId="0" borderId="32" xfId="0" applyFont="1" applyBorder="1" applyAlignment="1">
      <alignment horizontal="center" vertical="center"/>
    </xf>
    <xf numFmtId="1" fontId="27" fillId="0" borderId="15" xfId="0" applyNumberFormat="1" applyFont="1" applyBorder="1" applyAlignment="1">
      <alignment horizontal="center" vertical="center"/>
    </xf>
    <xf numFmtId="1" fontId="27" fillId="0" borderId="19" xfId="0" applyNumberFormat="1" applyFont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1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23" fillId="0" borderId="0" xfId="0" applyFont="1"/>
    <xf numFmtId="0" fontId="0" fillId="4" borderId="0" xfId="0" applyFill="1"/>
    <xf numFmtId="15" fontId="0" fillId="0" borderId="0" xfId="0" applyNumberFormat="1"/>
    <xf numFmtId="0" fontId="0" fillId="4" borderId="1" xfId="0" applyFill="1" applyBorder="1"/>
    <xf numFmtId="0" fontId="8" fillId="37" borderId="1" xfId="0" applyFont="1" applyFill="1" applyBorder="1" applyAlignment="1">
      <alignment horizontal="center" vertical="center" wrapText="1"/>
    </xf>
    <xf numFmtId="0" fontId="5" fillId="37" borderId="1" xfId="0" applyFont="1" applyFill="1" applyBorder="1" applyAlignment="1">
      <alignment horizontal="center" vertical="center" textRotation="90" wrapText="1"/>
    </xf>
    <xf numFmtId="0" fontId="0" fillId="37" borderId="1" xfId="0" applyFill="1" applyBorder="1" applyAlignment="1">
      <alignment horizontal="center" vertical="center" wrapText="1"/>
    </xf>
    <xf numFmtId="0" fontId="0" fillId="37" borderId="1" xfId="0" applyFill="1" applyBorder="1" applyAlignment="1">
      <alignment horizontal="center" vertical="center"/>
    </xf>
    <xf numFmtId="0" fontId="0" fillId="37" borderId="1" xfId="0" applyFill="1" applyBorder="1"/>
    <xf numFmtId="0" fontId="8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textRotation="90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15" fontId="5" fillId="2" borderId="0" xfId="0" applyNumberFormat="1" applyFont="1" applyFill="1"/>
    <xf numFmtId="0" fontId="5" fillId="2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textRotation="90" wrapText="1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5" fillId="2" borderId="0" xfId="0" applyFont="1" applyFill="1"/>
    <xf numFmtId="15" fontId="0" fillId="37" borderId="1" xfId="0" applyNumberFormat="1" applyFill="1" applyBorder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5" fontId="0" fillId="0" borderId="1" xfId="0" applyNumberFormat="1" applyBorder="1"/>
    <xf numFmtId="0" fontId="0" fillId="0" borderId="1" xfId="0" applyBorder="1"/>
    <xf numFmtId="4" fontId="32" fillId="0" borderId="0" xfId="0" applyNumberFormat="1" applyFont="1"/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horizontal="left"/>
    </xf>
    <xf numFmtId="0" fontId="0" fillId="2" borderId="0" xfId="0" applyFill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2" fillId="0" borderId="10" xfId="0" applyFont="1" applyBorder="1"/>
    <xf numFmtId="4" fontId="0" fillId="0" borderId="11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4" fontId="0" fillId="0" borderId="12" xfId="0" applyNumberForma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0" fontId="0" fillId="0" borderId="0" xfId="0" pivotButton="1"/>
    <xf numFmtId="0" fontId="34" fillId="0" borderId="1" xfId="0" applyFont="1" applyBorder="1" applyAlignment="1">
      <alignment horizontal="center" vertical="center"/>
    </xf>
    <xf numFmtId="0" fontId="34" fillId="0" borderId="0" xfId="0" applyFont="1"/>
    <xf numFmtId="0" fontId="4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4" fillId="2" borderId="1" xfId="0" applyFont="1" applyFill="1" applyBorder="1"/>
    <xf numFmtId="0" fontId="2" fillId="3" borderId="36" xfId="0" applyFont="1" applyFill="1" applyBorder="1" applyAlignment="1">
      <alignment horizontal="center" vertical="center" textRotation="90" wrapText="1"/>
    </xf>
    <xf numFmtId="0" fontId="2" fillId="3" borderId="37" xfId="0" applyFont="1" applyFill="1" applyBorder="1" applyAlignment="1">
      <alignment horizontal="center" vertical="center" textRotation="90" wrapText="1"/>
    </xf>
    <xf numFmtId="0" fontId="2" fillId="3" borderId="37" xfId="0" applyFont="1" applyFill="1" applyBorder="1" applyAlignment="1">
      <alignment horizontal="center" vertical="center" wrapText="1"/>
    </xf>
    <xf numFmtId="0" fontId="33" fillId="3" borderId="37" xfId="0" applyFont="1" applyFill="1" applyBorder="1" applyAlignment="1">
      <alignment horizontal="center" vertical="center" textRotation="90" wrapText="1"/>
    </xf>
    <xf numFmtId="0" fontId="33" fillId="3" borderId="38" xfId="0" applyFont="1" applyFill="1" applyBorder="1" applyAlignment="1">
      <alignment horizontal="center" vertical="center" textRotation="90" wrapText="1"/>
    </xf>
    <xf numFmtId="0" fontId="0" fillId="0" borderId="0" xfId="0" applyAlignment="1">
      <alignment wrapText="1"/>
    </xf>
    <xf numFmtId="0" fontId="3" fillId="2" borderId="1" xfId="0" applyFont="1" applyFill="1" applyBorder="1"/>
    <xf numFmtId="14" fontId="4" fillId="0" borderId="1" xfId="0" applyNumberFormat="1" applyFont="1" applyBorder="1"/>
    <xf numFmtId="165" fontId="8" fillId="4" borderId="1" xfId="0" applyNumberFormat="1" applyFont="1" applyFill="1" applyBorder="1" applyAlignment="1">
      <alignment horizontal="center" vertical="center" wrapText="1"/>
    </xf>
    <xf numFmtId="165" fontId="4" fillId="0" borderId="10" xfId="0" applyNumberFormat="1" applyFont="1" applyBorder="1" applyAlignment="1">
      <alignment horizontal="center" vertical="center" wrapText="1"/>
    </xf>
    <xf numFmtId="165" fontId="4" fillId="0" borderId="11" xfId="0" applyNumberFormat="1" applyFont="1" applyBorder="1" applyAlignment="1">
      <alignment horizontal="center" vertical="center" wrapText="1"/>
    </xf>
    <xf numFmtId="165" fontId="4" fillId="0" borderId="12" xfId="0" applyNumberFormat="1" applyFont="1" applyBorder="1" applyAlignment="1">
      <alignment horizontal="center" vertical="center" wrapText="1"/>
    </xf>
    <xf numFmtId="0" fontId="0" fillId="2" borderId="1" xfId="0" applyFill="1" applyBorder="1"/>
    <xf numFmtId="0" fontId="0" fillId="38" borderId="1" xfId="0" applyFill="1" applyBorder="1"/>
    <xf numFmtId="0" fontId="0" fillId="38" borderId="43" xfId="0" applyFill="1" applyBorder="1"/>
    <xf numFmtId="0" fontId="0" fillId="4" borderId="39" xfId="0" applyFill="1" applyBorder="1"/>
    <xf numFmtId="0" fontId="0" fillId="39" borderId="43" xfId="0" applyFill="1" applyBorder="1"/>
    <xf numFmtId="166" fontId="7" fillId="0" borderId="0" xfId="0" applyNumberFormat="1" applyFont="1" applyAlignment="1">
      <alignment horizontal="center" vertical="center" wrapText="1"/>
    </xf>
    <xf numFmtId="17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34" fillId="0" borderId="1" xfId="0" applyFont="1" applyBorder="1" applyAlignment="1">
      <alignment horizontal="center" vertical="center" wrapText="1"/>
    </xf>
    <xf numFmtId="0" fontId="34" fillId="0" borderId="1" xfId="0" pivotButton="1" applyFont="1" applyBorder="1" applyAlignment="1">
      <alignment horizontal="center" vertical="center" wrapText="1"/>
    </xf>
    <xf numFmtId="0" fontId="34" fillId="0" borderId="0" xfId="0" applyFont="1" applyAlignment="1">
      <alignment wrapText="1"/>
    </xf>
    <xf numFmtId="0" fontId="4" fillId="45" borderId="0" xfId="0" applyFont="1" applyFill="1"/>
    <xf numFmtId="0" fontId="34" fillId="45" borderId="0" xfId="0" applyFont="1" applyFill="1"/>
    <xf numFmtId="14" fontId="34" fillId="45" borderId="0" xfId="0" applyNumberFormat="1" applyFont="1" applyFill="1"/>
    <xf numFmtId="0" fontId="34" fillId="45" borderId="0" xfId="0" applyFont="1" applyFill="1" applyAlignment="1">
      <alignment horizontal="center" vertical="center" wrapText="1"/>
    </xf>
    <xf numFmtId="0" fontId="5" fillId="0" borderId="1" xfId="0" applyFont="1" applyBorder="1"/>
    <xf numFmtId="0" fontId="5" fillId="46" borderId="1" xfId="0" applyFont="1" applyFill="1" applyBorder="1"/>
    <xf numFmtId="0" fontId="22" fillId="41" borderId="42" xfId="0" applyFont="1" applyFill="1" applyBorder="1"/>
    <xf numFmtId="168" fontId="0" fillId="0" borderId="1" xfId="0" applyNumberFormat="1" applyBorder="1"/>
    <xf numFmtId="17" fontId="4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textRotation="90" wrapText="1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2" fillId="41" borderId="1" xfId="0" applyFont="1" applyFill="1" applyBorder="1" applyAlignment="1">
      <alignment horizontal="center" vertical="center" textRotation="90" wrapText="1"/>
    </xf>
    <xf numFmtId="1" fontId="4" fillId="2" borderId="1" xfId="0" applyNumberFormat="1" applyFont="1" applyFill="1" applyBorder="1"/>
    <xf numFmtId="1" fontId="4" fillId="0" borderId="1" xfId="0" applyNumberFormat="1" applyFont="1" applyBorder="1"/>
    <xf numFmtId="1" fontId="3" fillId="2" borderId="1" xfId="0" applyNumberFormat="1" applyFont="1" applyFill="1" applyBorder="1"/>
    <xf numFmtId="0" fontId="34" fillId="45" borderId="1" xfId="0" applyFont="1" applyFill="1" applyBorder="1" applyAlignment="1">
      <alignment horizontal="center" vertical="center" wrapText="1"/>
    </xf>
    <xf numFmtId="0" fontId="40" fillId="3" borderId="37" xfId="0" applyFont="1" applyFill="1" applyBorder="1" applyAlignment="1">
      <alignment horizontal="center" vertical="center" textRotation="90" wrapText="1"/>
    </xf>
    <xf numFmtId="0" fontId="39" fillId="0" borderId="1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17" fontId="39" fillId="0" borderId="1" xfId="0" applyNumberFormat="1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14" fontId="42" fillId="0" borderId="1" xfId="0" applyNumberFormat="1" applyFont="1" applyBorder="1" applyAlignment="1">
      <alignment horizontal="center" vertical="center" wrapText="1"/>
    </xf>
    <xf numFmtId="164" fontId="39" fillId="0" borderId="1" xfId="0" applyNumberFormat="1" applyFont="1" applyBorder="1" applyAlignment="1">
      <alignment horizontal="center" vertical="center"/>
    </xf>
    <xf numFmtId="0" fontId="39" fillId="0" borderId="0" xfId="0" applyFont="1" applyAlignment="1">
      <alignment horizontal="center" vertical="center" wrapText="1"/>
    </xf>
    <xf numFmtId="0" fontId="39" fillId="0" borderId="39" xfId="0" applyFont="1" applyBorder="1" applyAlignment="1">
      <alignment horizontal="center" vertical="center"/>
    </xf>
    <xf numFmtId="167" fontId="39" fillId="0" borderId="1" xfId="0" applyNumberFormat="1" applyFont="1" applyBorder="1" applyAlignment="1">
      <alignment horizontal="center" vertical="center"/>
    </xf>
    <xf numFmtId="0" fontId="44" fillId="43" borderId="1" xfId="0" applyFont="1" applyFill="1" applyBorder="1" applyAlignment="1">
      <alignment horizontal="center" vertical="center"/>
    </xf>
    <xf numFmtId="0" fontId="44" fillId="43" borderId="1" xfId="0" applyFont="1" applyFill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4" fontId="39" fillId="0" borderId="1" xfId="0" applyNumberFormat="1" applyFont="1" applyBorder="1" applyAlignment="1">
      <alignment horizontal="center" vertical="center" wrapText="1"/>
    </xf>
    <xf numFmtId="4" fontId="39" fillId="0" borderId="1" xfId="0" applyNumberFormat="1" applyFont="1" applyBorder="1" applyAlignment="1">
      <alignment horizontal="center" vertical="center"/>
    </xf>
    <xf numFmtId="10" fontId="39" fillId="0" borderId="1" xfId="47" applyNumberFormat="1" applyFont="1" applyBorder="1" applyAlignment="1">
      <alignment horizontal="center" vertical="center" wrapText="1"/>
    </xf>
    <xf numFmtId="0" fontId="39" fillId="0" borderId="1" xfId="0" pivotButton="1" applyFont="1" applyBorder="1" applyAlignment="1">
      <alignment horizontal="center" vertical="center"/>
    </xf>
    <xf numFmtId="0" fontId="43" fillId="38" borderId="1" xfId="0" applyFont="1" applyFill="1" applyBorder="1" applyAlignment="1">
      <alignment horizontal="center" vertical="center"/>
    </xf>
    <xf numFmtId="2" fontId="39" fillId="0" borderId="1" xfId="0" applyNumberFormat="1" applyFont="1" applyBorder="1" applyAlignment="1">
      <alignment horizontal="center" vertical="center"/>
    </xf>
    <xf numFmtId="2" fontId="43" fillId="0" borderId="1" xfId="0" applyNumberFormat="1" applyFont="1" applyBorder="1" applyAlignment="1">
      <alignment horizontal="center" vertical="center"/>
    </xf>
    <xf numFmtId="0" fontId="43" fillId="2" borderId="1" xfId="0" applyFont="1" applyFill="1" applyBorder="1" applyAlignment="1">
      <alignment horizontal="center" vertical="center"/>
    </xf>
    <xf numFmtId="4" fontId="39" fillId="2" borderId="1" xfId="0" applyNumberFormat="1" applyFont="1" applyFill="1" applyBorder="1" applyAlignment="1">
      <alignment horizontal="center" vertical="center"/>
    </xf>
    <xf numFmtId="10" fontId="39" fillId="42" borderId="1" xfId="47" applyNumberFormat="1" applyFont="1" applyFill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164" fontId="39" fillId="0" borderId="1" xfId="0" applyNumberFormat="1" applyFont="1" applyBorder="1" applyAlignment="1">
      <alignment horizontal="center" vertical="center" wrapText="1"/>
    </xf>
    <xf numFmtId="10" fontId="39" fillId="0" borderId="0" xfId="47" applyNumberFormat="1" applyFont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0" fontId="0" fillId="37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71" fontId="42" fillId="0" borderId="1" xfId="0" applyNumberFormat="1" applyFont="1" applyBorder="1" applyAlignment="1">
      <alignment horizontal="center" vertical="center" wrapText="1"/>
    </xf>
    <xf numFmtId="0" fontId="0" fillId="0" borderId="0" xfId="0" applyNumberFormat="1"/>
    <xf numFmtId="0" fontId="39" fillId="0" borderId="1" xfId="0" applyNumberFormat="1" applyFont="1" applyBorder="1" applyAlignment="1">
      <alignment horizontal="center" vertical="center"/>
    </xf>
    <xf numFmtId="0" fontId="0" fillId="0" borderId="0" xfId="0" applyNumberFormat="1" applyFill="1"/>
    <xf numFmtId="0" fontId="0" fillId="0" borderId="0" xfId="0" applyFill="1" applyAlignment="1">
      <alignment horizontal="left"/>
    </xf>
    <xf numFmtId="0" fontId="34" fillId="2" borderId="1" xfId="0" applyNumberFormat="1" applyFont="1" applyFill="1" applyBorder="1" applyAlignment="1">
      <alignment horizontal="center" vertical="center"/>
    </xf>
    <xf numFmtId="0" fontId="34" fillId="37" borderId="1" xfId="0" applyNumberFormat="1" applyFont="1" applyFill="1" applyBorder="1" applyAlignment="1">
      <alignment horizontal="center" vertical="center"/>
    </xf>
    <xf numFmtId="0" fontId="34" fillId="4" borderId="1" xfId="0" applyNumberFormat="1" applyFont="1" applyFill="1" applyBorder="1" applyAlignment="1">
      <alignment horizontal="center" vertical="center"/>
    </xf>
    <xf numFmtId="0" fontId="38" fillId="5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textRotation="90" wrapText="1"/>
    </xf>
    <xf numFmtId="168" fontId="0" fillId="0" borderId="0" xfId="0" applyNumberFormat="1" applyAlignment="1">
      <alignment horizontal="center" vertical="center" textRotation="90" wrapText="1"/>
    </xf>
    <xf numFmtId="0" fontId="45" fillId="50" borderId="36" xfId="0" applyFont="1" applyFill="1" applyBorder="1" applyAlignment="1">
      <alignment horizontal="center" vertical="center" textRotation="90" wrapText="1"/>
    </xf>
    <xf numFmtId="0" fontId="45" fillId="50" borderId="37" xfId="0" applyFont="1" applyFill="1" applyBorder="1" applyAlignment="1">
      <alignment horizontal="center" vertical="center" textRotation="90" wrapText="1"/>
    </xf>
    <xf numFmtId="0" fontId="45" fillId="50" borderId="38" xfId="0" applyFont="1" applyFill="1" applyBorder="1" applyAlignment="1">
      <alignment horizontal="center" vertical="center" textRotation="90" wrapText="1"/>
    </xf>
    <xf numFmtId="0" fontId="0" fillId="0" borderId="0" xfId="0" pivotButton="1" applyAlignment="1">
      <alignment horizontal="center" vertical="center" textRotation="90" wrapText="1"/>
    </xf>
    <xf numFmtId="0" fontId="22" fillId="41" borderId="42" xfId="0" applyFont="1" applyFill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 textRotation="90" wrapText="1"/>
    </xf>
    <xf numFmtId="168" fontId="0" fillId="0" borderId="0" xfId="0" applyNumberFormat="1" applyFill="1"/>
    <xf numFmtId="0" fontId="46" fillId="0" borderId="0" xfId="48"/>
    <xf numFmtId="0" fontId="0" fillId="0" borderId="0" xfId="0" applyNumberFormat="1" applyAlignment="1">
      <alignment horizontal="center" vertical="center"/>
    </xf>
    <xf numFmtId="0" fontId="39" fillId="0" borderId="36" xfId="0" applyFont="1" applyBorder="1" applyAlignment="1">
      <alignment horizontal="center" vertical="center" textRotation="90"/>
    </xf>
    <xf numFmtId="0" fontId="41" fillId="0" borderId="37" xfId="0" applyFont="1" applyBorder="1" applyAlignment="1">
      <alignment horizontal="center" vertical="center" textRotation="90" wrapText="1"/>
    </xf>
    <xf numFmtId="0" fontId="39" fillId="0" borderId="0" xfId="0" applyFont="1" applyAlignment="1">
      <alignment horizontal="center" vertical="center" textRotation="90"/>
    </xf>
    <xf numFmtId="0" fontId="39" fillId="45" borderId="0" xfId="0" applyFont="1" applyFill="1" applyAlignment="1">
      <alignment horizontal="center" vertical="center" textRotation="90"/>
    </xf>
    <xf numFmtId="0" fontId="42" fillId="0" borderId="1" xfId="0" applyFont="1" applyFill="1" applyBorder="1" applyAlignment="1">
      <alignment horizontal="center" vertical="center" wrapText="1"/>
    </xf>
    <xf numFmtId="0" fontId="47" fillId="0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5" fillId="2" borderId="0" xfId="0" applyFont="1" applyFill="1" applyAlignment="1">
      <alignment wrapText="1"/>
    </xf>
    <xf numFmtId="0" fontId="0" fillId="0" borderId="0" xfId="0" applyAlignment="1">
      <alignment horizontal="center" vertical="center" wrapText="1"/>
    </xf>
    <xf numFmtId="0" fontId="48" fillId="0" borderId="0" xfId="0" applyFont="1"/>
    <xf numFmtId="0" fontId="39" fillId="45" borderId="1" xfId="0" applyFont="1" applyFill="1" applyBorder="1" applyAlignment="1">
      <alignment horizontal="center" vertical="center"/>
    </xf>
    <xf numFmtId="1" fontId="27" fillId="0" borderId="3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7" fillId="0" borderId="46" xfId="0" applyFont="1" applyBorder="1" applyAlignment="1">
      <alignment horizontal="center" vertical="center"/>
    </xf>
    <xf numFmtId="0" fontId="27" fillId="0" borderId="47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3" fillId="2" borderId="39" xfId="0" applyNumberFormat="1" applyFont="1" applyFill="1" applyBorder="1" applyAlignment="1">
      <alignment horizontal="center" vertical="center" wrapText="1"/>
    </xf>
    <xf numFmtId="17" fontId="4" fillId="0" borderId="39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39" xfId="0" applyNumberFormat="1" applyFont="1" applyBorder="1" applyAlignment="1">
      <alignment horizontal="center" vertical="center" wrapText="1"/>
    </xf>
    <xf numFmtId="164" fontId="4" fillId="0" borderId="39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2" fillId="0" borderId="0" xfId="0" applyFont="1"/>
    <xf numFmtId="0" fontId="51" fillId="0" borderId="1" xfId="0" applyFont="1" applyFill="1" applyBorder="1" applyAlignment="1">
      <alignment horizontal="center" vertical="center" wrapText="1"/>
    </xf>
    <xf numFmtId="49" fontId="51" fillId="0" borderId="1" xfId="0" applyNumberFormat="1" applyFont="1" applyFill="1" applyBorder="1" applyAlignment="1">
      <alignment horizontal="center" vertical="center" wrapText="1"/>
    </xf>
    <xf numFmtId="0" fontId="52" fillId="0" borderId="1" xfId="0" applyFont="1" applyFill="1" applyBorder="1" applyAlignment="1">
      <alignment horizontal="center" vertical="center" wrapText="1"/>
    </xf>
    <xf numFmtId="169" fontId="51" fillId="0" borderId="1" xfId="0" applyNumberFormat="1" applyFont="1" applyFill="1" applyBorder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51" fillId="0" borderId="0" xfId="0" applyFont="1" applyFill="1" applyAlignment="1">
      <alignment horizontal="center" vertical="center" wrapText="1"/>
    </xf>
    <xf numFmtId="49" fontId="51" fillId="0" borderId="45" xfId="0" applyNumberFormat="1" applyFont="1" applyFill="1" applyBorder="1" applyAlignment="1">
      <alignment horizontal="center" vertical="center" wrapText="1"/>
    </xf>
    <xf numFmtId="49" fontId="51" fillId="0" borderId="0" xfId="0" applyNumberFormat="1" applyFont="1" applyFill="1" applyBorder="1" applyAlignment="1">
      <alignment horizontal="center" vertical="center" wrapText="1"/>
    </xf>
    <xf numFmtId="0" fontId="51" fillId="0" borderId="0" xfId="0" applyFont="1" applyFill="1" applyAlignment="1">
      <alignment horizontal="center" vertical="center"/>
    </xf>
    <xf numFmtId="1" fontId="51" fillId="0" borderId="0" xfId="0" applyNumberFormat="1" applyFont="1" applyFill="1" applyAlignment="1">
      <alignment horizontal="center" vertical="center" wrapText="1"/>
    </xf>
    <xf numFmtId="14" fontId="52" fillId="45" borderId="0" xfId="0" applyNumberFormat="1" applyFont="1" applyFill="1" applyAlignment="1">
      <alignment horizontal="center" vertical="center"/>
    </xf>
    <xf numFmtId="1" fontId="51" fillId="0" borderId="0" xfId="0" applyNumberFormat="1" applyFont="1" applyFill="1" applyBorder="1" applyAlignment="1">
      <alignment horizontal="center" vertical="center" wrapText="1"/>
    </xf>
    <xf numFmtId="0" fontId="53" fillId="0" borderId="36" xfId="0" applyFont="1" applyFill="1" applyBorder="1" applyAlignment="1">
      <alignment horizontal="center" vertical="center" wrapText="1"/>
    </xf>
    <xf numFmtId="0" fontId="53" fillId="0" borderId="37" xfId="0" applyFont="1" applyFill="1" applyBorder="1" applyAlignment="1">
      <alignment horizontal="center" vertical="center" wrapText="1"/>
    </xf>
    <xf numFmtId="1" fontId="53" fillId="0" borderId="37" xfId="0" applyNumberFormat="1" applyFont="1" applyFill="1" applyBorder="1" applyAlignment="1">
      <alignment horizontal="center" vertical="center" wrapText="1"/>
    </xf>
    <xf numFmtId="0" fontId="53" fillId="0" borderId="38" xfId="0" applyFont="1" applyFill="1" applyBorder="1" applyAlignment="1">
      <alignment horizontal="center" vertical="center" wrapText="1"/>
    </xf>
    <xf numFmtId="1" fontId="53" fillId="0" borderId="36" xfId="0" applyNumberFormat="1" applyFont="1" applyFill="1" applyBorder="1" applyAlignment="1">
      <alignment horizontal="center" vertical="center" wrapText="1"/>
    </xf>
    <xf numFmtId="0" fontId="53" fillId="0" borderId="0" xfId="0" applyFont="1" applyFill="1" applyAlignment="1">
      <alignment horizontal="center" vertical="center" wrapText="1"/>
    </xf>
    <xf numFmtId="0" fontId="51" fillId="0" borderId="39" xfId="0" applyFont="1" applyFill="1" applyBorder="1" applyAlignment="1">
      <alignment horizontal="center" vertical="center" wrapText="1"/>
    </xf>
    <xf numFmtId="49" fontId="51" fillId="0" borderId="39" xfId="0" applyNumberFormat="1" applyFont="1" applyFill="1" applyBorder="1" applyAlignment="1">
      <alignment horizontal="center" vertical="center"/>
    </xf>
    <xf numFmtId="14" fontId="51" fillId="0" borderId="39" xfId="0" applyNumberFormat="1" applyFont="1" applyFill="1" applyBorder="1" applyAlignment="1">
      <alignment horizontal="center" vertical="center" wrapText="1"/>
    </xf>
    <xf numFmtId="0" fontId="51" fillId="0" borderId="40" xfId="0" applyFont="1" applyFill="1" applyBorder="1" applyAlignment="1">
      <alignment horizontal="center" vertical="center" wrapText="1"/>
    </xf>
    <xf numFmtId="0" fontId="51" fillId="0" borderId="0" xfId="0" applyNumberFormat="1" applyFont="1" applyFill="1" applyAlignment="1">
      <alignment horizontal="center" vertical="center"/>
    </xf>
    <xf numFmtId="49" fontId="51" fillId="0" borderId="39" xfId="48" applyNumberFormat="1" applyFont="1" applyFill="1" applyBorder="1" applyAlignment="1">
      <alignment horizontal="center" vertical="center" wrapText="1"/>
    </xf>
    <xf numFmtId="0" fontId="51" fillId="37" borderId="0" xfId="0" applyFont="1" applyFill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5" fillId="0" borderId="0" xfId="0" pivotButton="1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1" fillId="4" borderId="0" xfId="0" applyNumberFormat="1" applyFont="1" applyFill="1" applyAlignment="1">
      <alignment horizontal="center" vertical="center"/>
    </xf>
    <xf numFmtId="0" fontId="55" fillId="0" borderId="0" xfId="0" applyNumberFormat="1" applyFont="1" applyAlignment="1">
      <alignment horizontal="center" vertical="center"/>
    </xf>
    <xf numFmtId="1" fontId="51" fillId="0" borderId="0" xfId="0" applyNumberFormat="1" applyFont="1" applyFill="1" applyAlignment="1">
      <alignment horizontal="center" vertical="center"/>
    </xf>
    <xf numFmtId="14" fontId="51" fillId="0" borderId="1" xfId="0" applyNumberFormat="1" applyFont="1" applyFill="1" applyBorder="1" applyAlignment="1">
      <alignment horizontal="center" vertical="center" wrapText="1"/>
    </xf>
    <xf numFmtId="0" fontId="51" fillId="0" borderId="35" xfId="0" applyFont="1" applyFill="1" applyBorder="1" applyAlignment="1">
      <alignment horizontal="center" vertical="center" wrapText="1"/>
    </xf>
    <xf numFmtId="49" fontId="51" fillId="0" borderId="44" xfId="0" applyNumberFormat="1" applyFont="1" applyFill="1" applyBorder="1" applyAlignment="1">
      <alignment horizontal="center" vertical="center" wrapText="1"/>
    </xf>
    <xf numFmtId="0" fontId="57" fillId="0" borderId="1" xfId="0" applyFont="1" applyBorder="1" applyAlignment="1">
      <alignment horizontal="center" vertical="center"/>
    </xf>
    <xf numFmtId="0" fontId="34" fillId="0" borderId="1" xfId="0" applyNumberFormat="1" applyFont="1" applyBorder="1" applyAlignment="1">
      <alignment horizontal="center" vertical="center"/>
    </xf>
    <xf numFmtId="0" fontId="58" fillId="43" borderId="1" xfId="0" applyNumberFormat="1" applyFont="1" applyFill="1" applyBorder="1" applyAlignment="1">
      <alignment horizontal="center" vertical="center"/>
    </xf>
    <xf numFmtId="0" fontId="49" fillId="48" borderId="1" xfId="0" applyNumberFormat="1" applyFont="1" applyFill="1" applyBorder="1" applyAlignment="1">
      <alignment horizontal="center" vertical="center" wrapText="1"/>
    </xf>
    <xf numFmtId="0" fontId="49" fillId="48" borderId="1" xfId="0" applyFont="1" applyFill="1" applyBorder="1" applyAlignment="1">
      <alignment horizontal="center" vertical="center" wrapText="1"/>
    </xf>
    <xf numFmtId="164" fontId="49" fillId="48" borderId="1" xfId="0" applyNumberFormat="1" applyFont="1" applyFill="1" applyBorder="1" applyAlignment="1">
      <alignment horizontal="center" vertical="center" wrapText="1"/>
    </xf>
    <xf numFmtId="17" fontId="49" fillId="48" borderId="1" xfId="0" applyNumberFormat="1" applyFont="1" applyFill="1" applyBorder="1" applyAlignment="1">
      <alignment horizontal="center" vertical="center" wrapText="1"/>
    </xf>
    <xf numFmtId="0" fontId="49" fillId="48" borderId="39" xfId="0" applyFont="1" applyFill="1" applyBorder="1" applyAlignment="1">
      <alignment horizontal="center" vertical="center" wrapText="1"/>
    </xf>
    <xf numFmtId="0" fontId="50" fillId="48" borderId="39" xfId="0" applyFont="1" applyFill="1" applyBorder="1" applyAlignment="1">
      <alignment horizontal="center" vertical="center" wrapText="1"/>
    </xf>
    <xf numFmtId="0" fontId="50" fillId="48" borderId="1" xfId="0" applyNumberFormat="1" applyFont="1" applyFill="1" applyBorder="1" applyAlignment="1">
      <alignment horizontal="center" vertical="center" wrapText="1"/>
    </xf>
    <xf numFmtId="0" fontId="50" fillId="48" borderId="1" xfId="0" applyFont="1" applyFill="1" applyBorder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2" fillId="45" borderId="0" xfId="0" applyFont="1" applyFill="1" applyAlignment="1">
      <alignment horizontal="center" vertical="center"/>
    </xf>
    <xf numFmtId="0" fontId="52" fillId="2" borderId="1" xfId="0" applyFont="1" applyFill="1" applyBorder="1" applyAlignment="1">
      <alignment horizontal="center" vertical="center" wrapText="1"/>
    </xf>
    <xf numFmtId="0" fontId="52" fillId="0" borderId="36" xfId="0" applyFont="1" applyBorder="1" applyAlignment="1">
      <alignment horizontal="center" vertical="center" textRotation="90" wrapText="1"/>
    </xf>
    <xf numFmtId="0" fontId="52" fillId="0" borderId="37" xfId="0" applyFont="1" applyBorder="1" applyAlignment="1">
      <alignment horizontal="center" vertical="center" textRotation="90" wrapText="1"/>
    </xf>
    <xf numFmtId="0" fontId="52" fillId="0" borderId="38" xfId="0" applyFont="1" applyBorder="1" applyAlignment="1">
      <alignment horizontal="center" vertical="center" textRotation="90" wrapText="1"/>
    </xf>
    <xf numFmtId="0" fontId="52" fillId="0" borderId="0" xfId="0" applyFont="1" applyAlignment="1">
      <alignment horizontal="center" vertical="center" textRotation="90" wrapText="1"/>
    </xf>
    <xf numFmtId="0" fontId="52" fillId="0" borderId="1" xfId="0" pivotButton="1" applyFont="1" applyBorder="1" applyAlignment="1">
      <alignment horizontal="center" vertical="center"/>
    </xf>
    <xf numFmtId="0" fontId="52" fillId="0" borderId="1" xfId="0" applyFont="1" applyBorder="1"/>
    <xf numFmtId="0" fontId="52" fillId="0" borderId="22" xfId="0" applyFont="1" applyBorder="1" applyAlignment="1">
      <alignment horizontal="center" vertical="center" wrapText="1"/>
    </xf>
    <xf numFmtId="14" fontId="52" fillId="0" borderId="1" xfId="0" applyNumberFormat="1" applyFont="1" applyBorder="1" applyAlignment="1">
      <alignment horizontal="center" vertical="center" wrapText="1"/>
    </xf>
    <xf numFmtId="0" fontId="52" fillId="0" borderId="35" xfId="0" applyFont="1" applyBorder="1" applyAlignment="1">
      <alignment horizontal="center" vertical="center" wrapText="1"/>
    </xf>
    <xf numFmtId="0" fontId="52" fillId="0" borderId="37" xfId="0" applyFont="1" applyBorder="1" applyAlignment="1">
      <alignment horizontal="center" vertical="center" wrapText="1"/>
    </xf>
    <xf numFmtId="0" fontId="52" fillId="0" borderId="1" xfId="0" applyFont="1" applyBorder="1" applyAlignment="1">
      <alignment horizontal="left"/>
    </xf>
    <xf numFmtId="0" fontId="52" fillId="0" borderId="1" xfId="0" applyNumberFormat="1" applyFont="1" applyBorder="1"/>
    <xf numFmtId="0" fontId="52" fillId="0" borderId="1" xfId="0" applyFont="1" applyBorder="1" applyAlignment="1">
      <alignment horizontal="left" indent="1"/>
    </xf>
    <xf numFmtId="17" fontId="52" fillId="0" borderId="1" xfId="0" applyNumberFormat="1" applyFont="1" applyBorder="1" applyAlignment="1">
      <alignment horizontal="center" vertical="center" wrapText="1"/>
    </xf>
    <xf numFmtId="0" fontId="52" fillId="0" borderId="1" xfId="0" pivotButton="1" applyFont="1" applyBorder="1"/>
    <xf numFmtId="0" fontId="52" fillId="0" borderId="45" xfId="0" applyFont="1" applyBorder="1" applyAlignment="1">
      <alignment horizontal="center" vertical="center" wrapText="1"/>
    </xf>
    <xf numFmtId="0" fontId="52" fillId="0" borderId="39" xfId="0" applyFont="1" applyBorder="1" applyAlignment="1">
      <alignment horizontal="center" vertical="center" wrapText="1"/>
    </xf>
    <xf numFmtId="14" fontId="52" fillId="0" borderId="39" xfId="0" applyNumberFormat="1" applyFont="1" applyBorder="1" applyAlignment="1">
      <alignment horizontal="center" vertical="center" wrapText="1"/>
    </xf>
    <xf numFmtId="0" fontId="52" fillId="0" borderId="40" xfId="0" applyFont="1" applyBorder="1" applyAlignment="1">
      <alignment horizontal="center" vertical="center" wrapText="1"/>
    </xf>
    <xf numFmtId="171" fontId="52" fillId="0" borderId="39" xfId="0" applyNumberFormat="1" applyFont="1" applyBorder="1" applyAlignment="1">
      <alignment horizontal="center" vertical="center" wrapText="1"/>
    </xf>
    <xf numFmtId="171" fontId="52" fillId="0" borderId="1" xfId="0" applyNumberFormat="1" applyFont="1" applyBorder="1" applyAlignment="1">
      <alignment horizontal="center" vertical="center" wrapText="1"/>
    </xf>
    <xf numFmtId="14" fontId="52" fillId="0" borderId="0" xfId="0" applyNumberFormat="1" applyFont="1" applyAlignment="1">
      <alignment horizontal="center" vertical="center" wrapText="1"/>
    </xf>
    <xf numFmtId="0" fontId="56" fillId="41" borderId="1" xfId="0" applyFont="1" applyFill="1" applyBorder="1" applyAlignment="1">
      <alignment horizontal="center" vertical="center" textRotation="90" wrapText="1"/>
    </xf>
    <xf numFmtId="0" fontId="52" fillId="49" borderId="1" xfId="0" applyFont="1" applyFill="1" applyBorder="1" applyAlignment="1">
      <alignment horizontal="center" vertical="center" wrapText="1"/>
    </xf>
    <xf numFmtId="14" fontId="52" fillId="49" borderId="1" xfId="0" applyNumberFormat="1" applyFont="1" applyFill="1" applyBorder="1" applyAlignment="1">
      <alignment horizontal="center" vertical="center" wrapText="1"/>
    </xf>
    <xf numFmtId="15" fontId="52" fillId="0" borderId="0" xfId="0" applyNumberFormat="1" applyFont="1"/>
    <xf numFmtId="0" fontId="52" fillId="45" borderId="0" xfId="0" applyFont="1" applyFill="1"/>
    <xf numFmtId="0" fontId="59" fillId="2" borderId="0" xfId="0" applyFont="1" applyFill="1"/>
    <xf numFmtId="0" fontId="59" fillId="0" borderId="0" xfId="0" applyFont="1"/>
    <xf numFmtId="17" fontId="52" fillId="0" borderId="0" xfId="0" applyNumberFormat="1" applyFont="1"/>
    <xf numFmtId="0" fontId="34" fillId="0" borderId="0" xfId="0" pivotButton="1" applyFont="1"/>
    <xf numFmtId="0" fontId="34" fillId="0" borderId="1" xfId="0" pivotButton="1" applyFont="1" applyBorder="1" applyAlignment="1">
      <alignment horizontal="center" vertical="center" textRotation="90" wrapText="1"/>
    </xf>
    <xf numFmtId="0" fontId="34" fillId="0" borderId="1" xfId="0" applyFont="1" applyBorder="1" applyAlignment="1">
      <alignment horizontal="center" vertical="center" textRotation="90" wrapText="1"/>
    </xf>
    <xf numFmtId="0" fontId="34" fillId="0" borderId="1" xfId="0" pivotButton="1" applyFont="1" applyBorder="1"/>
    <xf numFmtId="0" fontId="34" fillId="0" borderId="1" xfId="0" applyFont="1" applyBorder="1"/>
    <xf numFmtId="0" fontId="34" fillId="0" borderId="0" xfId="0" applyFont="1" applyAlignment="1">
      <alignment horizontal="left"/>
    </xf>
    <xf numFmtId="0" fontId="34" fillId="0" borderId="0" xfId="0" applyNumberFormat="1" applyFont="1"/>
    <xf numFmtId="0" fontId="34" fillId="0" borderId="1" xfId="0" applyFont="1" applyBorder="1" applyAlignment="1">
      <alignment horizontal="left"/>
    </xf>
    <xf numFmtId="0" fontId="34" fillId="0" borderId="1" xfId="0" applyNumberFormat="1" applyFont="1" applyBorder="1"/>
    <xf numFmtId="14" fontId="34" fillId="0" borderId="0" xfId="0" applyNumberFormat="1" applyFont="1" applyAlignment="1">
      <alignment horizontal="left" indent="1"/>
    </xf>
    <xf numFmtId="164" fontId="34" fillId="0" borderId="0" xfId="0" applyNumberFormat="1" applyFont="1" applyAlignment="1">
      <alignment horizontal="left" indent="1"/>
    </xf>
    <xf numFmtId="0" fontId="61" fillId="47" borderId="48" xfId="0" applyFont="1" applyFill="1" applyBorder="1" applyAlignment="1">
      <alignment vertical="top" wrapText="1"/>
    </xf>
    <xf numFmtId="0" fontId="46" fillId="47" borderId="48" xfId="48" applyFill="1" applyBorder="1" applyAlignment="1">
      <alignment vertical="top" wrapText="1"/>
    </xf>
    <xf numFmtId="0" fontId="61" fillId="47" borderId="48" xfId="0" applyFont="1" applyFill="1" applyBorder="1" applyAlignment="1">
      <alignment horizontal="right" vertical="top" wrapText="1"/>
    </xf>
    <xf numFmtId="0" fontId="60" fillId="0" borderId="0" xfId="0" applyFont="1" applyFill="1" applyBorder="1" applyAlignment="1">
      <alignment horizontal="left" wrapText="1" indent="1"/>
    </xf>
    <xf numFmtId="0" fontId="60" fillId="0" borderId="0" xfId="0" applyFont="1" applyFill="1" applyBorder="1" applyAlignment="1">
      <alignment horizontal="right" wrapText="1" indent="1"/>
    </xf>
    <xf numFmtId="0" fontId="61" fillId="0" borderId="0" xfId="0" applyFont="1" applyFill="1" applyBorder="1" applyAlignment="1">
      <alignment vertical="top" wrapText="1"/>
    </xf>
    <xf numFmtId="0" fontId="46" fillId="0" borderId="0" xfId="48" applyFill="1" applyBorder="1" applyAlignment="1">
      <alignment vertical="top" wrapText="1"/>
    </xf>
    <xf numFmtId="0" fontId="61" fillId="0" borderId="0" xfId="0" applyFont="1" applyFill="1" applyBorder="1" applyAlignment="1">
      <alignment horizontal="right" vertical="top" wrapText="1"/>
    </xf>
    <xf numFmtId="0" fontId="0" fillId="0" borderId="0" xfId="0" applyFill="1" applyBorder="1"/>
    <xf numFmtId="0" fontId="39" fillId="0" borderId="1" xfId="0" applyFont="1" applyFill="1" applyBorder="1" applyAlignment="1">
      <alignment horizontal="center" vertical="center"/>
    </xf>
    <xf numFmtId="171" fontId="42" fillId="0" borderId="1" xfId="0" applyNumberFormat="1" applyFont="1" applyFill="1" applyBorder="1" applyAlignment="1">
      <alignment horizontal="center" vertical="center" wrapText="1"/>
    </xf>
    <xf numFmtId="0" fontId="39" fillId="0" borderId="1" xfId="0" applyNumberFormat="1" applyFont="1" applyFill="1" applyBorder="1" applyAlignment="1">
      <alignment horizontal="center" vertical="center"/>
    </xf>
    <xf numFmtId="0" fontId="5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39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/>
    <xf numFmtId="164" fontId="4" fillId="0" borderId="1" xfId="0" applyNumberFormat="1" applyFont="1" applyFill="1" applyBorder="1" applyAlignment="1"/>
    <xf numFmtId="0" fontId="4" fillId="0" borderId="1" xfId="0" applyFont="1" applyFill="1" applyBorder="1" applyAlignment="1"/>
    <xf numFmtId="0" fontId="4" fillId="0" borderId="1" xfId="0" applyFont="1" applyFill="1" applyBorder="1" applyAlignment="1">
      <alignment horizontal="center" vertical="center" wrapText="1"/>
    </xf>
    <xf numFmtId="164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 textRotation="90" wrapText="1"/>
    </xf>
    <xf numFmtId="0" fontId="27" fillId="0" borderId="20" xfId="0" applyFont="1" applyBorder="1" applyAlignment="1">
      <alignment horizontal="center" vertical="center"/>
    </xf>
    <xf numFmtId="0" fontId="27" fillId="0" borderId="49" xfId="0" applyFont="1" applyBorder="1" applyAlignment="1">
      <alignment horizontal="center" vertical="center"/>
    </xf>
    <xf numFmtId="1" fontId="4" fillId="0" borderId="0" xfId="0" applyNumberFormat="1" applyFont="1"/>
    <xf numFmtId="169" fontId="51" fillId="0" borderId="39" xfId="0" applyNumberFormat="1" applyFont="1" applyFill="1" applyBorder="1" applyAlignment="1">
      <alignment horizontal="center" vertical="center" wrapText="1"/>
    </xf>
    <xf numFmtId="14" fontId="39" fillId="0" borderId="1" xfId="0" applyNumberFormat="1" applyFont="1" applyBorder="1" applyAlignment="1">
      <alignment horizontal="center" vertical="center" wrapText="1"/>
    </xf>
    <xf numFmtId="0" fontId="34" fillId="4" borderId="0" xfId="0" applyFont="1" applyFill="1" applyAlignment="1">
      <alignment horizontal="center" vertical="center"/>
    </xf>
    <xf numFmtId="0" fontId="34" fillId="2" borderId="0" xfId="0" applyFont="1" applyFill="1" applyAlignment="1">
      <alignment horizontal="center" vertical="center" wrapText="1"/>
    </xf>
    <xf numFmtId="0" fontId="34" fillId="0" borderId="0" xfId="0" applyFont="1" applyAlignment="1">
      <alignment horizontal="center"/>
    </xf>
    <xf numFmtId="0" fontId="34" fillId="2" borderId="0" xfId="0" applyFont="1" applyFill="1" applyAlignment="1">
      <alignment horizontal="center" vertical="center"/>
    </xf>
    <xf numFmtId="0" fontId="34" fillId="2" borderId="41" xfId="0" applyFont="1" applyFill="1" applyBorder="1" applyAlignment="1">
      <alignment horizontal="center" vertical="center"/>
    </xf>
    <xf numFmtId="0" fontId="52" fillId="0" borderId="1" xfId="0" applyFont="1" applyBorder="1" applyAlignment="1">
      <alignment horizontal="center" vertical="center" wrapText="1"/>
    </xf>
    <xf numFmtId="0" fontId="52" fillId="2" borderId="41" xfId="0" applyFont="1" applyFill="1" applyBorder="1" applyAlignment="1">
      <alignment horizontal="center" vertical="center" wrapText="1"/>
    </xf>
    <xf numFmtId="0" fontId="52" fillId="2" borderId="0" xfId="0" applyFont="1" applyFill="1" applyAlignment="1">
      <alignment horizontal="center" vertical="center" wrapText="1"/>
    </xf>
    <xf numFmtId="0" fontId="44" fillId="44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 wrapText="1"/>
    </xf>
    <xf numFmtId="0" fontId="9" fillId="0" borderId="0" xfId="0" applyFont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37" borderId="1" xfId="0" applyFont="1" applyFill="1" applyBorder="1" applyAlignment="1">
      <alignment horizontal="center" vertical="center" wrapText="1"/>
    </xf>
    <xf numFmtId="0" fontId="8" fillId="37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2" fillId="2" borderId="11" xfId="0" applyFont="1" applyFill="1" applyBorder="1" applyAlignment="1">
      <alignment horizontal="center" vertical="center" wrapText="1"/>
    </xf>
    <xf numFmtId="0" fontId="0" fillId="2" borderId="33" xfId="0" applyFill="1" applyBorder="1" applyAlignment="1">
      <alignment horizontal="center" vertical="center" wrapText="1"/>
    </xf>
    <xf numFmtId="0" fontId="0" fillId="2" borderId="34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4" fillId="37" borderId="0" xfId="0" applyFont="1" applyFill="1" applyAlignment="1">
      <alignment horizontal="center" vertical="center"/>
    </xf>
    <xf numFmtId="0" fontId="51" fillId="37" borderId="0" xfId="0" applyFont="1" applyFill="1" applyAlignment="1">
      <alignment horizontal="center" vertical="center"/>
    </xf>
    <xf numFmtId="1" fontId="51" fillId="0" borderId="0" xfId="0" applyNumberFormat="1" applyFont="1" applyFill="1" applyAlignment="1">
      <alignment horizontal="center" vertical="center" wrapText="1"/>
    </xf>
    <xf numFmtId="1" fontId="51" fillId="0" borderId="41" xfId="0" applyNumberFormat="1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6" fillId="40" borderId="40" xfId="0" applyFont="1" applyFill="1" applyBorder="1" applyAlignment="1">
      <alignment horizontal="center" vertical="center" wrapText="1"/>
    </xf>
    <xf numFmtId="0" fontId="36" fillId="40" borderId="45" xfId="0" applyFont="1" applyFill="1" applyBorder="1" applyAlignment="1">
      <alignment horizontal="center" vertical="center" wrapText="1"/>
    </xf>
    <xf numFmtId="0" fontId="36" fillId="40" borderId="38" xfId="0" applyFont="1" applyFill="1" applyBorder="1" applyAlignment="1">
      <alignment horizontal="center" vertical="center" wrapText="1"/>
    </xf>
    <xf numFmtId="0" fontId="36" fillId="40" borderId="36" xfId="0" applyFont="1" applyFill="1" applyBorder="1" applyAlignment="1">
      <alignment horizontal="center" vertical="center" wrapText="1"/>
    </xf>
    <xf numFmtId="0" fontId="37" fillId="40" borderId="39" xfId="0" applyFont="1" applyFill="1" applyBorder="1" applyAlignment="1">
      <alignment horizontal="center" vertical="center" wrapText="1"/>
    </xf>
    <xf numFmtId="0" fontId="37" fillId="40" borderId="37" xfId="0" applyFont="1" applyFill="1" applyBorder="1" applyAlignment="1">
      <alignment horizontal="center" vertical="center" wrapText="1"/>
    </xf>
    <xf numFmtId="0" fontId="8" fillId="40" borderId="1" xfId="0" applyFont="1" applyFill="1" applyBorder="1" applyAlignment="1">
      <alignment horizontal="center" vertical="center"/>
    </xf>
    <xf numFmtId="0" fontId="39" fillId="40" borderId="40" xfId="0" applyFont="1" applyFill="1" applyBorder="1" applyAlignment="1">
      <alignment horizontal="center" vertical="center" wrapText="1"/>
    </xf>
    <xf numFmtId="0" fontId="39" fillId="40" borderId="45" xfId="0" applyFont="1" applyFill="1" applyBorder="1" applyAlignment="1">
      <alignment horizontal="center" vertical="center" wrapText="1"/>
    </xf>
    <xf numFmtId="0" fontId="39" fillId="40" borderId="38" xfId="0" applyFont="1" applyFill="1" applyBorder="1" applyAlignment="1">
      <alignment horizontal="center" vertical="center" wrapText="1"/>
    </xf>
    <xf numFmtId="0" fontId="39" fillId="40" borderId="36" xfId="0" applyFont="1" applyFill="1" applyBorder="1" applyAlignment="1">
      <alignment horizontal="center" vertical="center" wrapText="1"/>
    </xf>
    <xf numFmtId="0" fontId="6" fillId="45" borderId="1" xfId="0" applyFont="1" applyFill="1" applyBorder="1" applyAlignment="1">
      <alignment horizontal="center" vertical="center"/>
    </xf>
    <xf numFmtId="0" fontId="36" fillId="45" borderId="40" xfId="0" applyFont="1" applyFill="1" applyBorder="1" applyAlignment="1">
      <alignment horizontal="center" vertical="center" wrapText="1"/>
    </xf>
    <xf numFmtId="0" fontId="36" fillId="45" borderId="45" xfId="0" applyFont="1" applyFill="1" applyBorder="1" applyAlignment="1">
      <alignment horizontal="center" vertical="center" wrapText="1"/>
    </xf>
    <xf numFmtId="0" fontId="36" fillId="45" borderId="38" xfId="0" applyFont="1" applyFill="1" applyBorder="1" applyAlignment="1">
      <alignment horizontal="center" vertical="center" wrapText="1"/>
    </xf>
    <xf numFmtId="0" fontId="36" fillId="45" borderId="36" xfId="0" applyFont="1" applyFill="1" applyBorder="1" applyAlignment="1">
      <alignment horizontal="center" vertical="center" wrapText="1"/>
    </xf>
    <xf numFmtId="0" fontId="37" fillId="45" borderId="39" xfId="0" applyFont="1" applyFill="1" applyBorder="1" applyAlignment="1">
      <alignment horizontal="center" vertical="center" wrapText="1"/>
    </xf>
    <xf numFmtId="0" fontId="37" fillId="45" borderId="37" xfId="0" applyFont="1" applyFill="1" applyBorder="1" applyAlignment="1">
      <alignment horizontal="center" vertical="center" wrapText="1"/>
    </xf>
    <xf numFmtId="0" fontId="36" fillId="45" borderId="1" xfId="0" applyFont="1" applyFill="1" applyBorder="1" applyAlignment="1">
      <alignment horizontal="center" vertical="center" wrapText="1"/>
    </xf>
    <xf numFmtId="0" fontId="35" fillId="45" borderId="40" xfId="0" applyFont="1" applyFill="1" applyBorder="1" applyAlignment="1">
      <alignment horizontal="center" vertical="center" wrapText="1"/>
    </xf>
    <xf numFmtId="0" fontId="35" fillId="45" borderId="44" xfId="0" applyFont="1" applyFill="1" applyBorder="1" applyAlignment="1">
      <alignment horizontal="center" vertical="center" wrapText="1"/>
    </xf>
    <xf numFmtId="0" fontId="35" fillId="45" borderId="42" xfId="0" applyFont="1" applyFill="1" applyBorder="1" applyAlignment="1">
      <alignment horizontal="center" vertical="center" wrapText="1"/>
    </xf>
    <xf numFmtId="0" fontId="35" fillId="45" borderId="0" xfId="0" applyFont="1" applyFill="1" applyAlignment="1">
      <alignment horizontal="center" vertical="center" wrapText="1"/>
    </xf>
    <xf numFmtId="0" fontId="35" fillId="40" borderId="40" xfId="0" applyFont="1" applyFill="1" applyBorder="1" applyAlignment="1">
      <alignment horizontal="center" vertical="center" wrapText="1"/>
    </xf>
    <xf numFmtId="0" fontId="35" fillId="40" borderId="44" xfId="0" applyFont="1" applyFill="1" applyBorder="1" applyAlignment="1">
      <alignment horizontal="center" vertical="center" wrapText="1"/>
    </xf>
    <xf numFmtId="0" fontId="35" fillId="40" borderId="42" xfId="0" applyFont="1" applyFill="1" applyBorder="1" applyAlignment="1">
      <alignment horizontal="center" vertical="center" wrapText="1"/>
    </xf>
    <xf numFmtId="0" fontId="35" fillId="40" borderId="0" xfId="0" applyFont="1" applyFill="1" applyAlignment="1">
      <alignment horizontal="center" vertical="center" wrapText="1"/>
    </xf>
  </cellXfs>
  <cellStyles count="49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8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01000000}"/>
    <cellStyle name="Normal 2 2" xfId="45" xr:uid="{9D1A5D58-7D14-4673-BA22-C63FAF47B778}"/>
    <cellStyle name="Normal 2 3" xfId="44" xr:uid="{36E31CA5-5C41-4863-95B5-C58000532B62}"/>
    <cellStyle name="Normal 2 3 2" xfId="46" xr:uid="{8199C6AA-45E6-42E8-8100-CEE31EE05608}"/>
    <cellStyle name="Normal 2 4" xfId="43" xr:uid="{B652D6D7-081B-4961-9C37-CD593FF2A358}"/>
    <cellStyle name="Note" xfId="16" builtinId="10" customBuiltin="1"/>
    <cellStyle name="Output" xfId="11" builtinId="21" customBuiltin="1"/>
    <cellStyle name="Percent" xfId="47" builtinId="5"/>
    <cellStyle name="Title" xfId="2" builtinId="15" customBuiltin="1"/>
    <cellStyle name="Total" xfId="18" builtinId="25" customBuiltin="1"/>
    <cellStyle name="Warning Text" xfId="15" builtinId="11" customBuiltin="1"/>
  </cellStyles>
  <dxfs count="76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9" formatCode="dd/mm/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9" formatCode="dd/mm/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9" formatCode="dd/mm/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A0A0A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[$-409]d/mmm/yy;@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Times New Roman"/>
        <family val="1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ill>
        <patternFill patternType="solid">
          <bgColor rgb="FFFF0000"/>
        </patternFill>
      </fill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font>
        <name val="Times New Roman"/>
        <family val="1"/>
      </font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ill>
        <patternFill patternType="solid">
          <bgColor rgb="FFFF0000"/>
        </patternFill>
      </fill>
    </dxf>
    <dxf>
      <font>
        <color auto="1"/>
        <name val="Times New Roman"/>
        <family val="1"/>
        <scheme val="none"/>
      </font>
      <alignment vertical="center"/>
    </dxf>
    <dxf>
      <font>
        <color auto="1"/>
        <name val="Times New Roman"/>
        <family val="1"/>
        <scheme val="none"/>
      </font>
      <alignment vertical="center"/>
    </dxf>
    <dxf>
      <numFmt numFmtId="0" formatCode="General"/>
      <fill>
        <patternFill patternType="solid">
          <fgColor indexed="64"/>
          <bgColor rgb="FFFF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Times New Roman"/>
        <family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Times New Roman"/>
        <family val="1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numFmt numFmtId="171" formatCode="m/d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Times New Roman"/>
        <family val="1"/>
        <scheme val="none"/>
      </font>
      <numFmt numFmtId="167" formatCode="mmm\-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  <border diagonalUp="0" diagonalDown="0">
        <left style="medium">
          <color rgb="FFECEEEF"/>
        </left>
        <right style="medium">
          <color rgb="FFECEEEF"/>
        </right>
        <top style="medium">
          <color rgb="FFECEEEF"/>
        </top>
        <bottom style="medium">
          <color rgb="FFECEEEF"/>
        </bottom>
        <vertical/>
        <horizontal/>
      </border>
    </dxf>
    <dxf>
      <font>
        <b val="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  <border diagonalUp="0" diagonalDown="0">
        <left style="medium">
          <color rgb="FFECEEEF"/>
        </left>
        <right style="medium">
          <color rgb="FFECEEEF"/>
        </right>
        <top style="medium">
          <color rgb="FFECEEEF"/>
        </top>
        <bottom style="medium">
          <color rgb="FFECEEEF"/>
        </bottom>
        <vertical/>
        <horizontal/>
      </border>
    </dxf>
    <dxf>
      <font>
        <b val="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  <border diagonalUp="0" diagonalDown="0">
        <left style="medium">
          <color rgb="FFECEEEF"/>
        </left>
        <right style="medium">
          <color rgb="FFECEEEF"/>
        </right>
        <top style="medium">
          <color rgb="FFECEEEF"/>
        </top>
        <bottom style="medium">
          <color rgb="FFECEEEF"/>
        </bottom>
        <vertical/>
        <horizontal/>
      </border>
    </dxf>
    <dxf>
      <font>
        <b val="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  <border diagonalUp="0" diagonalDown="0">
        <left style="medium">
          <color rgb="FFECEEEF"/>
        </left>
        <right style="medium">
          <color rgb="FFECEEEF"/>
        </right>
        <top style="medium">
          <color rgb="FFECEEEF"/>
        </top>
        <bottom style="medium">
          <color rgb="FFECEEEF"/>
        </bottom>
        <vertical/>
        <horizontal/>
      </border>
    </dxf>
    <dxf>
      <font>
        <b val="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  <border diagonalUp="0" diagonalDown="0">
        <left style="medium">
          <color rgb="FFECEEEF"/>
        </left>
        <right style="medium">
          <color rgb="FFECEEEF"/>
        </right>
        <top style="medium">
          <color rgb="FFECEEEF"/>
        </top>
        <bottom style="medium">
          <color rgb="FFECEEEF"/>
        </bottom>
        <vertical/>
        <horizontal/>
      </border>
    </dxf>
    <dxf>
      <font>
        <b val="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  <border diagonalUp="0" diagonalDown="0">
        <left style="medium">
          <color rgb="FFECEEEF"/>
        </left>
        <right style="medium">
          <color rgb="FFECEEEF"/>
        </right>
        <top style="medium">
          <color rgb="FFECEEEF"/>
        </top>
        <bottom style="medium">
          <color rgb="FFECEEEF"/>
        </bottom>
        <vertical/>
        <horizontal/>
      </border>
    </dxf>
    <dxf>
      <font>
        <b val="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  <border diagonalUp="0" diagonalDown="0">
        <left style="medium">
          <color rgb="FFECEEEF"/>
        </left>
        <right style="medium">
          <color rgb="FFECEEEF"/>
        </right>
        <top style="medium">
          <color rgb="FFECEEEF"/>
        </top>
        <bottom style="medium">
          <color rgb="FFECEEEF"/>
        </bottom>
        <vertical/>
        <horizontal/>
      </border>
    </dxf>
    <dxf>
      <font>
        <b val="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  <border diagonalUp="0" diagonalDown="0">
        <left style="medium">
          <color rgb="FFECEEEF"/>
        </left>
        <right style="medium">
          <color rgb="FFECEEEF"/>
        </right>
        <top style="medium">
          <color rgb="FFECEEEF"/>
        </top>
        <bottom style="medium">
          <color rgb="FFECEEEF"/>
        </bottom>
        <vertical/>
        <horizontal/>
      </border>
    </dxf>
    <dxf>
      <font>
        <b val="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  <border diagonalUp="0" diagonalDown="0">
        <left style="medium">
          <color rgb="FFECEEEF"/>
        </left>
        <right style="medium">
          <color rgb="FFECEEEF"/>
        </right>
        <top style="medium">
          <color rgb="FFECEEEF"/>
        </top>
        <bottom style="medium">
          <color rgb="FFECEEEF"/>
        </bottom>
        <vertical/>
        <horizontal/>
      </border>
    </dxf>
    <dxf>
      <font>
        <b val="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  <border diagonalUp="0" diagonalDown="0">
        <left style="medium">
          <color rgb="FFECEEEF"/>
        </left>
        <right style="medium">
          <color rgb="FFECEEEF"/>
        </right>
        <top style="medium">
          <color rgb="FFECEEEF"/>
        </top>
        <bottom style="medium">
          <color rgb="FFECEEEF"/>
        </bottom>
        <vertical/>
        <horizontal/>
      </border>
    </dxf>
    <dxf>
      <font>
        <b val="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  <border diagonalUp="0" diagonalDown="0">
        <left style="medium">
          <color rgb="FFECEEEF"/>
        </left>
        <right style="medium">
          <color rgb="FFECEEEF"/>
        </right>
        <top style="medium">
          <color rgb="FFECEEEF"/>
        </top>
        <bottom style="medium">
          <color rgb="FFECEEEF"/>
        </bottom>
        <vertical/>
        <horizontal/>
      </border>
    </dxf>
    <dxf>
      <font>
        <b val="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  <border diagonalUp="0" diagonalDown="0">
        <left style="medium">
          <color rgb="FFECEEEF"/>
        </left>
        <right style="medium">
          <color rgb="FFECEEEF"/>
        </right>
        <top style="medium">
          <color rgb="FFECEEEF"/>
        </top>
        <bottom style="medium">
          <color rgb="FFECEEEF"/>
        </bottom>
        <vertical/>
        <horizontal/>
      </border>
    </dxf>
    <dxf>
      <font>
        <b val="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  <border diagonalUp="0" diagonalDown="0">
        <left style="medium">
          <color rgb="FFECEEEF"/>
        </left>
        <right style="medium">
          <color rgb="FFECEEEF"/>
        </right>
        <top style="medium">
          <color rgb="FFECEEEF"/>
        </top>
        <bottom style="medium">
          <color rgb="FFECEEEF"/>
        </bottom>
        <vertical/>
        <horizontal/>
      </border>
    </dxf>
    <dxf>
      <font>
        <b val="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  <border diagonalUp="0" diagonalDown="0">
        <left style="medium">
          <color rgb="FFECEEEF"/>
        </left>
        <right style="medium">
          <color rgb="FFECEEEF"/>
        </right>
        <top style="medium">
          <color rgb="FFECEEEF"/>
        </top>
        <bottom style="medium">
          <color rgb="FFECEEEF"/>
        </bottom>
        <vertical/>
        <horizontal/>
      </border>
    </dxf>
    <dxf>
      <font>
        <b val="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  <border diagonalUp="0" diagonalDown="0">
        <left style="medium">
          <color rgb="FFECEEEF"/>
        </left>
        <right style="medium">
          <color rgb="FFECEEEF"/>
        </right>
        <top style="medium">
          <color rgb="FFECEEEF"/>
        </top>
        <bottom style="medium">
          <color rgb="FFECEEEF"/>
        </bottom>
        <vertical/>
        <horizontal/>
      </border>
    </dxf>
    <dxf>
      <font>
        <b val="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  <border diagonalUp="0" diagonalDown="0">
        <left style="medium">
          <color rgb="FFECEEEF"/>
        </left>
        <right style="medium">
          <color rgb="FFECEEEF"/>
        </right>
        <top style="medium">
          <color rgb="FFECEEEF"/>
        </top>
        <bottom style="medium">
          <color rgb="FFECEEEF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medium">
          <color rgb="FFECEEEF"/>
        </left>
        <right style="medium">
          <color rgb="FFECEEEF"/>
        </right>
        <top style="medium">
          <color rgb="FFECEEEF"/>
        </top>
        <bottom style="medium">
          <color rgb="FFECEEEF"/>
        </bottom>
        <vertical/>
        <horizontal/>
      </border>
    </dxf>
    <dxf>
      <font>
        <b val="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medium">
          <color rgb="FFECEEEF"/>
        </left>
        <right style="medium">
          <color rgb="FFECEEEF"/>
        </right>
        <top style="medium">
          <color rgb="FFECEEEF"/>
        </top>
        <bottom style="medium">
          <color rgb="FFECEEEF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none">
          <fgColor indexed="64"/>
          <bgColor indexed="65"/>
        </patternFill>
      </fill>
    </dxf>
    <dxf>
      <numFmt numFmtId="168" formatCode="[$-409]mmm/yy;@"/>
      <fill>
        <patternFill patternType="none">
          <fgColor indexed="64"/>
          <bgColor indexed="65"/>
        </patternFill>
      </fill>
    </dxf>
    <dxf>
      <numFmt numFmtId="168" formatCode="[$-409]mmm/yy;@"/>
      <fill>
        <patternFill patternType="none">
          <fgColor indexed="64"/>
          <bgColor indexed="65"/>
        </patternFill>
      </fill>
    </dxf>
    <dxf>
      <numFmt numFmtId="168" formatCode="[$-409]mmm/yy;@"/>
      <fill>
        <patternFill patternType="none">
          <fgColor indexed="64"/>
          <bgColor indexed="65"/>
        </patternFill>
      </fill>
    </dxf>
    <dxf>
      <numFmt numFmtId="0" formatCode="General"/>
      <alignment horizontal="center" vertical="center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7" formatCode="mmm\-yy"/>
    </dxf>
    <dxf>
      <alignment horizontal="center" vertical="center" textRotation="90" wrapText="1" indent="0" justifyLastLine="0" shrinkToFit="0" readingOrder="0"/>
    </dxf>
    <dxf>
      <alignment textRotation="90"/>
    </dxf>
    <dxf>
      <alignment textRotation="90"/>
    </dxf>
    <dxf>
      <alignment textRotation="90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 indent="0"/>
    </dxf>
    <dxf>
      <alignment wrapText="1" indent="0"/>
    </dxf>
    <dxf>
      <alignment wrapText="1" indent="0"/>
    </dxf>
    <dxf>
      <alignment textRotation="90"/>
    </dxf>
    <dxf>
      <alignment textRotation="90"/>
    </dxf>
    <dxf>
      <alignment textRotation="90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 indent="0"/>
    </dxf>
    <dxf>
      <alignment wrapText="1" indent="0"/>
    </dxf>
    <dxf>
      <alignment wrapText="1" indent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2" formatCode="0.00"/>
    </dxf>
    <dxf>
      <numFmt numFmtId="2" formatCode="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FFFF"/>
        </patternFill>
      </fill>
    </dxf>
    <dxf>
      <font>
        <color theme="0"/>
      </font>
      <fill>
        <patternFill>
          <bgColor rgb="FFFFFFFF"/>
        </patternFill>
      </fill>
    </dxf>
    <dxf>
      <font>
        <color theme="0"/>
      </font>
      <fill>
        <patternFill>
          <bgColor rgb="FFFFFFFF"/>
        </patternFill>
      </fill>
    </dxf>
    <dxf>
      <font>
        <color theme="0"/>
      </font>
      <fill>
        <patternFill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8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Times New Roman"/>
        <family val="1"/>
        <scheme val="none"/>
      </font>
      <numFmt numFmtId="171" formatCode="m/d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Times New Roman"/>
        <family val="1"/>
        <scheme val="none"/>
      </font>
      <numFmt numFmtId="171" formatCode="m/d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Times New Roman"/>
        <family val="1"/>
        <scheme val="none"/>
      </font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center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[$-409]d/mmm/yyyy;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[$-409]d/mmm/yyyy;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center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8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Times New Roman"/>
        <family val="1"/>
        <scheme val="none"/>
      </font>
      <numFmt numFmtId="167" formatCode="mmm\-yy"/>
    </dxf>
    <dxf>
      <font>
        <strike val="0"/>
        <outline val="0"/>
        <shadow val="0"/>
        <u val="none"/>
        <vertAlign val="baseline"/>
        <sz val="8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Times New Roman"/>
        <family val="1"/>
        <scheme val="none"/>
      </font>
      <numFmt numFmtId="172" formatCode="d\-mmm\-yy"/>
    </dxf>
    <dxf>
      <font>
        <strike val="0"/>
        <outline val="0"/>
        <shadow val="0"/>
        <u val="none"/>
        <vertAlign val="baseline"/>
        <sz val="8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Times New Roman"/>
        <family val="1"/>
        <scheme val="none"/>
      </font>
      <numFmt numFmtId="172" formatCode="d\-mmm\-yy"/>
    </dxf>
    <dxf>
      <font>
        <strike val="0"/>
        <outline val="0"/>
        <shadow val="0"/>
        <u val="none"/>
        <vertAlign val="baseline"/>
        <sz val="8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textRotation="90"/>
    </dxf>
    <dxf>
      <alignment textRotation="9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9" formatCode="dd/mm/yy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fgColor indexed="64"/>
          <bgColor rgb="FF92D050"/>
        </patternFill>
      </fill>
    </dxf>
    <dxf>
      <font>
        <sz val="12"/>
      </font>
    </dxf>
    <dxf>
      <font>
        <b/>
      </font>
    </dxf>
    <dxf>
      <font>
        <color theme="0"/>
      </font>
    </dxf>
    <dxf>
      <fill>
        <patternFill>
          <bgColor theme="3"/>
        </patternFill>
      </fill>
    </dxf>
    <dxf>
      <fill>
        <patternFill>
          <fgColor indexed="64"/>
          <bgColor rgb="FF92D05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ont>
        <b/>
      </font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alignment wrapText="1"/>
    </dxf>
    <dxf>
      <alignment wrapText="1"/>
    </dxf>
    <dxf>
      <font>
        <sz val="10"/>
      </font>
    </dxf>
    <dxf>
      <font>
        <sz val="10"/>
      </font>
    </dxf>
    <dxf>
      <font>
        <sz val="10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colors>
    <mruColors>
      <color rgb="FFFF0000"/>
      <color rgb="FFFFFFFF"/>
      <color rgb="FFF2FC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5" Type="http://schemas.openxmlformats.org/officeDocument/2006/relationships/pivotCacheDefinition" Target="pivotCache/pivotCacheDefinition1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pivotCacheDefinition" Target="pivotCache/pivotCacheDefinition6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0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pivotCacheDefinition" Target="pivotCache/pivotCacheDefinition9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pivotCacheDefinition" Target="pivotCache/pivotCacheDefinition8.xml"/><Relationship Id="rId27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J:\Dropbox\mohit%20job%20data%20(main%20folder)\mohit%20attandance%20Excel%20Sheet%20and%20Pics\Mohit%20Attandance.xlsx" TargetMode="External"/><Relationship Id="rId1" Type="http://schemas.openxmlformats.org/officeDocument/2006/relationships/externalLinkPath" Target="file:///J:\Dropbox\mohit%20job%20data%20(main%20folder)\mohit%20attandance%20Excel%20Sheet%20and%20Pics\Mohit%20Attand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 Years(OLD)"/>
      <sheetName val="Summary(OLD)"/>
      <sheetName val="All Years (New)"/>
      <sheetName val="Summary (New)"/>
    </sheetNames>
    <sheetDataSet>
      <sheetData sheetId="0"/>
      <sheetData sheetId="1"/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J:\Dropbox\mohit%20job%20data%20(main%20folder)\Bank%20Statement\SBBJ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evisha" refreshedDate="45997.440149884256" createdVersion="8" refreshedVersion="8" minRefreshableVersion="3" recordCount="2129" xr:uid="{54DA0780-E849-496A-BFAE-D833A7F59C01}">
  <cacheSource type="worksheet">
    <worksheetSource name="Table1" r:id="rId2"/>
  </cacheSource>
  <cacheFields count="13">
    <cacheField name="Txn Date" numFmtId="0">
      <sharedItems containsNonDate="0" containsDate="1" containsString="0" containsBlank="1" minDate="2013-11-01T00:00:00" maxDate="2025-10-26T00:00:00" count="1207">
        <d v="2013-11-01T00:00:00"/>
        <d v="2013-12-27T00:00:00"/>
        <d v="2013-12-31T00:00:00"/>
        <d v="2014-01-08T00:00:00"/>
        <d v="2014-03-15T00:00:00"/>
        <d v="2014-03-16T00:00:00"/>
        <d v="2014-04-02T00:00:00"/>
        <d v="2014-04-07T00:00:00"/>
        <d v="2014-04-08T00:00:00"/>
        <d v="2014-05-02T00:00:00"/>
        <d v="2014-06-28T00:00:00"/>
        <d v="2014-06-30T00:00:00"/>
        <d v="2014-07-02T00:00:00"/>
        <d v="2014-08-01T00:00:00"/>
        <d v="2014-08-21T00:00:00"/>
        <d v="2014-09-01T00:00:00"/>
        <d v="2014-09-22T00:00:00"/>
        <d v="2014-10-08T00:00:00"/>
        <d v="2014-11-01T00:00:00"/>
        <d v="2014-12-12T00:00:00"/>
        <d v="2014-12-24T00:00:00"/>
        <d v="2014-12-31T00:00:00"/>
        <d v="2015-01-01T00:00:00"/>
        <d v="2015-01-06T00:00:00"/>
        <d v="2015-02-02T00:00:00"/>
        <d v="2015-02-06T00:00:00"/>
        <d v="2015-03-03T00:00:00"/>
        <d v="2015-03-08T00:00:00"/>
        <d v="2015-03-09T00:00:00"/>
        <d v="2015-03-10T00:00:00"/>
        <d v="2015-03-30T00:00:00"/>
        <d v="2015-04-04T00:00:00"/>
        <d v="2015-04-21T00:00:00"/>
        <d v="2015-05-04T00:00:00"/>
        <d v="2015-05-25T00:00:00"/>
        <d v="2015-06-25T00:00:00"/>
        <d v="2015-06-30T00:00:00"/>
        <d v="2015-07-02T00:00:00"/>
        <d v="2015-07-20T00:00:00"/>
        <d v="2015-08-01T00:00:00"/>
        <d v="2015-08-18T00:00:00"/>
        <d v="2015-09-17T00:00:00"/>
        <d v="2015-09-23T00:00:00"/>
        <d v="2015-10-01T00:00:00"/>
        <d v="2015-10-17T00:00:00"/>
        <d v="2015-11-21T00:00:00"/>
        <d v="2015-12-11T00:00:00"/>
        <d v="2015-12-24T00:00:00"/>
        <d v="2015-12-31T00:00:00"/>
        <d v="2016-01-21T00:00:00"/>
        <d v="2016-02-01T00:00:00"/>
        <d v="2016-02-11T00:00:00"/>
        <d v="2016-03-02T00:00:00"/>
        <d v="2016-03-03T00:00:00"/>
        <d v="2016-03-10T00:00:00"/>
        <d v="2016-03-11T00:00:00"/>
        <d v="2016-03-31T00:00:00"/>
        <d v="2016-04-13T00:00:00"/>
        <d v="2016-04-25T00:00:00"/>
        <d v="2016-05-02T00:00:00"/>
        <d v="2016-05-16T00:00:00"/>
        <d v="2016-05-31T00:00:00"/>
        <d v="2016-06-09T00:00:00"/>
        <d v="2016-06-21T00:00:00"/>
        <d v="2016-06-28T00:00:00"/>
        <d v="2016-07-02T00:00:00"/>
        <d v="2016-07-25T00:00:00"/>
        <d v="2016-07-26T00:00:00"/>
        <d v="2016-08-04T00:00:00"/>
        <d v="2016-08-08T00:00:00"/>
        <d v="2016-08-12T00:00:00"/>
        <d v="2016-09-01T00:00:00"/>
        <d v="2016-09-15T00:00:00"/>
        <d v="2016-09-26T00:00:00"/>
        <d v="2016-09-28T00:00:00"/>
        <d v="2016-10-01T00:00:00"/>
        <d v="2016-10-19T00:00:00"/>
        <d v="2016-10-24T00:00:00"/>
        <d v="2016-10-25T00:00:00"/>
        <d v="2016-10-28T00:00:00"/>
        <d v="2016-11-02T00:00:00"/>
        <d v="2016-11-05T00:00:00"/>
        <d v="2016-11-09T00:00:00"/>
        <d v="2016-11-19T00:00:00"/>
        <d v="2016-11-21T00:00:00"/>
        <d v="2016-12-01T00:00:00"/>
        <d v="2016-12-08T00:00:00"/>
        <d v="2016-12-21T00:00:00"/>
        <d v="2016-12-22T00:00:00"/>
        <d v="2016-12-25T00:00:00"/>
        <d v="2016-12-26T00:00:00"/>
        <d v="2016-12-29T00:00:00"/>
        <d v="2017-01-04T00:00:00"/>
        <d v="2017-01-11T00:00:00"/>
        <d v="2017-01-16T00:00:00"/>
        <d v="2017-01-28T00:00:00"/>
        <d v="2017-02-01T00:00:00"/>
        <d v="2017-02-13T00:00:00"/>
        <d v="2017-02-15T00:00:00"/>
        <d v="2017-02-20T00:00:00"/>
        <d v="2017-03-02T00:00:00"/>
        <d v="2017-03-03T00:00:00"/>
        <d v="2017-03-07T00:00:00"/>
        <d v="2017-03-09T00:00:00"/>
        <d v="2017-03-14T00:00:00"/>
        <d v="2017-03-23T00:00:00"/>
        <d v="2017-03-25T00:00:00"/>
        <d v="2017-03-26T00:00:00"/>
        <d v="2017-04-04T00:00:00"/>
        <d v="2017-04-07T00:00:00"/>
        <d v="2017-04-22T00:00:00"/>
        <d v="2017-04-25T00:00:00"/>
        <d v="2017-04-27T00:00:00"/>
        <d v="2017-04-30T00:00:00"/>
        <d v="2017-05-03T00:00:00"/>
        <d v="2017-05-19T00:00:00"/>
        <d v="2017-05-22T00:00:00"/>
        <d v="2017-05-31T00:00:00"/>
        <d v="2017-06-01T00:00:00"/>
        <d v="2017-06-03T00:00:00"/>
        <d v="2017-06-17T00:00:00"/>
        <d v="2017-06-25T00:00:00"/>
        <d v="2017-07-01T00:00:00"/>
        <d v="2017-07-13T00:00:00"/>
        <d v="2017-07-18T00:00:00"/>
        <d v="2017-07-19T00:00:00"/>
        <d v="2017-07-21T00:00:00"/>
        <d v="2017-07-27T00:00:00"/>
        <d v="2017-08-03T00:00:00"/>
        <d v="2017-08-14T00:00:00"/>
        <d v="2017-08-18T00:00:00"/>
        <d v="2017-08-25T00:00:00"/>
        <d v="2017-08-30T00:00:00"/>
        <d v="2017-09-06T00:00:00"/>
        <d v="2017-09-21T00:00:00"/>
        <d v="2017-09-25T00:00:00"/>
        <d v="2017-10-06T00:00:00"/>
        <d v="2017-10-12T00:00:00"/>
        <d v="2017-10-13T00:00:00"/>
        <d v="2017-10-17T00:00:00"/>
        <d v="2017-10-24T00:00:00"/>
        <d v="2017-11-06T00:00:00"/>
        <d v="2017-11-14T00:00:00"/>
        <d v="2017-11-22T00:00:00"/>
        <d v="2017-12-01T00:00:00"/>
        <d v="2017-12-02T00:00:00"/>
        <d v="2017-12-06T00:00:00"/>
        <d v="2017-12-10T00:00:00"/>
        <d v="2017-12-18T00:00:00"/>
        <d v="2017-12-25T00:00:00"/>
        <d v="2017-12-30T00:00:00"/>
        <d v="2017-12-31T00:00:00"/>
        <d v="2018-01-02T00:00:00"/>
        <d v="2018-01-03T00:00:00"/>
        <d v="2018-01-30T00:00:00"/>
        <d v="2018-02-02T00:00:00"/>
        <d v="2018-02-03T00:00:00"/>
        <d v="2018-02-06T00:00:00"/>
        <d v="2018-02-07T00:00:00"/>
        <d v="2018-02-15T00:00:00"/>
        <d v="2018-02-16T00:00:00"/>
        <d v="2018-02-18T00:00:00"/>
        <d v="2018-03-06T00:00:00"/>
        <d v="2018-03-07T00:00:00"/>
        <d v="2018-03-08T00:00:00"/>
        <d v="2018-03-11T00:00:00"/>
        <d v="2018-03-14T00:00:00"/>
        <d v="2018-03-16T00:00:00"/>
        <d v="2018-03-25T00:00:00"/>
        <d v="2018-03-26T00:00:00"/>
        <d v="2018-04-03T00:00:00"/>
        <d v="2018-04-06T00:00:00"/>
        <d v="2018-04-16T00:00:00"/>
        <d v="2018-04-17T00:00:00"/>
        <d v="2018-04-18T00:00:00"/>
        <d v="2018-04-23T00:00:00"/>
        <d v="2018-04-25T00:00:00"/>
        <d v="2018-04-26T00:00:00"/>
        <d v="2018-05-01T00:00:00"/>
        <d v="2018-05-04T00:00:00"/>
        <d v="2018-05-07T00:00:00"/>
        <d v="2018-05-09T00:00:00"/>
        <d v="2018-05-10T00:00:00"/>
        <d v="2018-05-13T00:00:00"/>
        <d v="2018-05-15T00:00:00"/>
        <d v="2018-05-19T00:00:00"/>
        <d v="2018-05-29T00:00:00"/>
        <d v="2018-05-31T00:00:00"/>
        <d v="2018-06-01T00:00:00"/>
        <d v="2018-06-05T00:00:00"/>
        <d v="2018-06-18T00:00:00"/>
        <d v="2018-06-20T00:00:00"/>
        <d v="2018-06-25T00:00:00"/>
        <d v="2018-06-28T00:00:00"/>
        <d v="2018-07-02T00:00:00"/>
        <d v="2018-07-04T00:00:00"/>
        <d v="2018-07-09T00:00:00"/>
        <d v="2018-07-10T00:00:00"/>
        <d v="2018-07-11T00:00:00"/>
        <d v="2018-07-14T00:00:00"/>
        <d v="2018-07-31T00:00:00"/>
        <d v="2018-08-01T00:00:00"/>
        <d v="2018-08-02T00:00:00"/>
        <d v="2018-08-03T00:00:00"/>
        <d v="2018-08-09T00:00:00"/>
        <d v="2018-08-17T00:00:00"/>
        <d v="2018-08-18T00:00:00"/>
        <d v="2018-08-24T00:00:00"/>
        <d v="2018-08-28T00:00:00"/>
        <d v="2018-08-30T00:00:00"/>
        <d v="2018-08-31T00:00:00"/>
        <d v="2018-09-01T00:00:00"/>
        <d v="2018-09-03T00:00:00"/>
        <d v="2018-09-04T00:00:00"/>
        <d v="2018-09-06T00:00:00"/>
        <d v="2018-09-07T00:00:00"/>
        <d v="2018-09-08T00:00:00"/>
        <d v="2018-09-11T00:00:00"/>
        <d v="2018-09-12T00:00:00"/>
        <d v="2018-09-13T00:00:00"/>
        <d v="2018-09-15T00:00:00"/>
        <d v="2018-09-20T00:00:00"/>
        <d v="2018-09-21T00:00:00"/>
        <d v="2018-09-23T00:00:00"/>
        <d v="2018-09-25T00:00:00"/>
        <d v="2018-09-28T00:00:00"/>
        <d v="2018-10-08T00:00:00"/>
        <d v="2018-10-09T00:00:00"/>
        <d v="2018-10-10T00:00:00"/>
        <d v="2018-10-15T00:00:00"/>
        <d v="2018-10-16T00:00:00"/>
        <d v="2018-10-17T00:00:00"/>
        <d v="2018-10-20T00:00:00"/>
        <d v="2018-10-21T00:00:00"/>
        <d v="2018-10-24T00:00:00"/>
        <d v="2018-10-26T00:00:00"/>
        <d v="2018-10-27T00:00:00"/>
        <d v="2018-10-28T00:00:00"/>
        <d v="2018-10-30T00:00:00"/>
        <d v="2018-11-01T00:00:00"/>
        <d v="2018-11-02T00:00:00"/>
        <d v="2018-11-03T00:00:00"/>
        <d v="2018-11-04T00:00:00"/>
        <d v="2018-11-05T00:00:00"/>
        <d v="2018-11-07T00:00:00"/>
        <d v="2018-11-08T00:00:00"/>
        <d v="2018-11-12T00:00:00"/>
        <d v="2018-11-14T00:00:00"/>
        <d v="2018-11-15T00:00:00"/>
        <d v="2018-11-20T00:00:00"/>
        <d v="2018-11-26T00:00:00"/>
        <d v="2018-12-01T00:00:00"/>
        <d v="2018-12-05T00:00:00"/>
        <d v="2018-12-06T00:00:00"/>
        <d v="2018-12-09T00:00:00"/>
        <d v="2018-12-10T00:00:00"/>
        <d v="2018-12-21T00:00:00"/>
        <d v="2018-12-23T00:00:00"/>
        <d v="2018-12-24T00:00:00"/>
        <d v="2018-12-25T00:00:00"/>
        <d v="2018-12-27T00:00:00"/>
        <d v="2018-12-28T00:00:00"/>
        <d v="2019-01-03T00:00:00"/>
        <d v="2019-01-04T00:00:00"/>
        <d v="2019-01-05T00:00:00"/>
        <d v="2019-01-06T00:00:00"/>
        <d v="2019-01-08T00:00:00"/>
        <d v="2019-01-12T00:00:00"/>
        <d v="2019-01-13T00:00:00"/>
        <d v="2019-01-14T00:00:00"/>
        <d v="2019-01-15T00:00:00"/>
        <d v="2019-01-18T00:00:00"/>
        <d v="2019-01-19T00:00:00"/>
        <d v="2019-01-30T00:00:00"/>
        <d v="2019-01-31T00:00:00"/>
        <d v="2019-02-01T00:00:00"/>
        <d v="2019-02-04T00:00:00"/>
        <d v="2019-02-06T00:00:00"/>
        <d v="2019-02-07T00:00:00"/>
        <d v="2019-02-08T00:00:00"/>
        <d v="2019-02-11T00:00:00"/>
        <d v="2019-02-13T00:00:00"/>
        <d v="2019-02-14T00:00:00"/>
        <d v="2019-02-17T00:00:00"/>
        <d v="2019-02-19T00:00:00"/>
        <d v="2019-02-20T00:00:00"/>
        <d v="2019-02-21T00:00:00"/>
        <d v="2019-02-28T00:00:00"/>
        <d v="2019-03-02T00:00:00"/>
        <d v="2019-03-04T00:00:00"/>
        <d v="2019-03-07T00:00:00"/>
        <d v="2019-03-09T00:00:00"/>
        <d v="2019-03-10T00:00:00"/>
        <d v="2019-03-19T00:00:00"/>
        <d v="2019-03-20T00:00:00"/>
        <d v="2019-03-25T00:00:00"/>
        <d v="2019-03-31T00:00:00"/>
        <d v="2019-04-01T00:00:00"/>
        <d v="2019-04-02T00:00:00"/>
        <d v="2019-04-03T00:00:00"/>
        <d v="2019-04-09T00:00:00"/>
        <d v="2019-04-12T00:00:00"/>
        <d v="2019-04-20T00:00:00"/>
        <d v="2019-04-27T00:00:00"/>
        <d v="2019-05-01T00:00:00"/>
        <d v="2019-05-02T00:00:00"/>
        <d v="2019-05-04T00:00:00"/>
        <d v="2019-05-13T00:00:00"/>
        <d v="2019-05-14T00:00:00"/>
        <d v="2019-05-22T00:00:00"/>
        <d v="2019-05-23T00:00:00"/>
        <d v="2019-05-24T00:00:00"/>
        <d v="2019-05-26T00:00:00"/>
        <d v="2019-05-27T00:00:00"/>
        <d v="2019-06-03T00:00:00"/>
        <d v="2019-06-10T00:00:00"/>
        <d v="2019-06-12T00:00:00"/>
        <d v="2019-06-14T00:00:00"/>
        <d v="2019-06-19T00:00:00"/>
        <d v="2019-06-24T00:00:00"/>
        <d v="2019-06-25T00:00:00"/>
        <d v="2019-06-26T00:00:00"/>
        <d v="2019-07-02T00:00:00"/>
        <d v="2019-07-15T00:00:00"/>
        <d v="2019-08-06T00:00:00"/>
        <d v="2019-08-17T00:00:00"/>
        <d v="2019-08-19T00:00:00"/>
        <d v="2019-08-22T00:00:00"/>
        <d v="2019-08-27T00:00:00"/>
        <d v="2019-08-31T00:00:00"/>
        <d v="2019-09-01T00:00:00"/>
        <d v="2019-09-02T00:00:00"/>
        <d v="2019-09-13T00:00:00"/>
        <d v="2019-09-19T00:00:00"/>
        <d v="2019-09-20T00:00:00"/>
        <d v="2019-09-24T00:00:00"/>
        <d v="2019-09-25T00:00:00"/>
        <d v="2019-09-30T00:00:00"/>
        <d v="2019-10-01T00:00:00"/>
        <d v="2019-10-04T00:00:00"/>
        <d v="2019-10-10T00:00:00"/>
        <d v="2019-10-11T00:00:00"/>
        <d v="2019-10-18T00:00:00"/>
        <d v="2019-10-23T00:00:00"/>
        <d v="2019-10-24T00:00:00"/>
        <d v="2019-10-25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6T00:00:00"/>
        <d v="2019-11-11T00:00:00"/>
        <d v="2019-11-13T00:00:00"/>
        <d v="2019-11-15T00:00:00"/>
        <d v="2019-12-02T00:00:00"/>
        <d v="2019-12-03T00:00:00"/>
        <d v="2019-12-12T00:00:00"/>
        <d v="2019-12-15T00:00:00"/>
        <d v="2019-12-16T00:00:00"/>
        <d v="2019-12-18T00:00:00"/>
        <d v="2019-12-23T00:00:00"/>
        <d v="2019-12-24T00:00:00"/>
        <d v="2019-12-25T00:00:00"/>
        <d v="2019-12-29T00:00:00"/>
        <d v="2019-12-30T00:00:00"/>
        <d v="2019-12-31T00:00:00"/>
        <d v="2020-01-01T00:00:00"/>
        <d v="2020-01-03T00:00:00"/>
        <d v="2020-01-04T00:00:00"/>
        <d v="2020-01-15T00:00:00"/>
        <d v="2020-01-20T00:00:00"/>
        <d v="2020-01-27T00:00:00"/>
        <d v="2020-01-28T00:00:00"/>
        <d v="2020-02-01T00:00:00"/>
        <d v="2020-02-03T00:00:00"/>
        <d v="2020-02-10T00:00:00"/>
        <d v="2020-02-17T00:00:00"/>
        <d v="2020-02-18T00:00:00"/>
        <d v="2020-02-20T00:00:00"/>
        <d v="2020-02-24T00:00:00"/>
        <d v="2020-02-26T00:00:00"/>
        <d v="2020-02-28T00:00:00"/>
        <d v="2020-03-02T00:00:00"/>
        <d v="2020-03-03T00:00:00"/>
        <d v="2020-03-04T00:00:00"/>
        <d v="2020-03-05T00:00:00"/>
        <d v="2020-03-06T00:00:00"/>
        <d v="2020-03-09T00:00:00"/>
        <d v="2020-03-10T00:00:00"/>
        <d v="2020-03-12T00:00:00"/>
        <d v="2020-03-14T00:00:00"/>
        <d v="2020-03-16T00:00:00"/>
        <d v="2020-03-19T00:00:00"/>
        <d v="2020-03-20T00:00:00"/>
        <d v="2020-03-23T00:00:00"/>
        <d v="2020-03-25T00:00:00"/>
        <d v="2020-03-26T00:00:00"/>
        <d v="2020-03-30T00:00:00"/>
        <d v="2020-04-02T00:00:00"/>
        <d v="2020-04-07T00:00:00"/>
        <d v="2020-04-08T00:00:00"/>
        <d v="2020-04-13T00:00:00"/>
        <d v="2020-04-16T00:00:00"/>
        <d v="2020-04-18T00:00:00"/>
        <d v="2020-04-20T00:00:00"/>
        <d v="2020-04-21T00:00:00"/>
        <d v="2020-04-27T00:00:00"/>
        <d v="2020-04-28T00:00:00"/>
        <d v="2020-04-29T00:00:00"/>
        <d v="2020-05-04T00:00:00"/>
        <d v="2020-05-05T00:00:00"/>
        <d v="2020-05-06T00:00:00"/>
        <d v="2020-05-08T00:00:00"/>
        <d v="2020-05-11T00:00:00"/>
        <d v="2020-05-12T00:00:00"/>
        <d v="2020-05-15T00:00:00"/>
        <d v="2020-05-16T00:00:00"/>
        <d v="2020-05-18T00:00:00"/>
        <d v="2020-05-19T00:00:00"/>
        <d v="2020-05-20T00:00:00"/>
        <d v="2020-05-22T00:00:00"/>
        <d v="2020-05-25T00:00:00"/>
        <d v="2020-05-27T00:00:00"/>
        <d v="2020-06-01T00:00:00"/>
        <d v="2020-06-06T00:00:00"/>
        <d v="2020-06-08T00:00:00"/>
        <d v="2020-06-10T00:00:00"/>
        <d v="2020-06-11T00:00:00"/>
        <d v="2020-06-15T00:00:00"/>
        <d v="2020-06-20T00:00:00"/>
        <d v="2020-06-22T00:00:00"/>
        <d v="2020-06-25T00:00:00"/>
        <d v="2020-06-26T00:00:00"/>
        <d v="2020-06-27T00:00:00"/>
        <d v="2020-06-29T00:00:00"/>
        <d v="2020-07-02T00:00:00"/>
        <d v="2020-07-03T00:00:00"/>
        <d v="2020-07-06T00:00:00"/>
        <d v="2020-07-07T00:00:00"/>
        <d v="2020-07-13T00:00:00"/>
        <d v="2020-07-14T00:00:00"/>
        <d v="2020-07-20T00:00:00"/>
        <d v="2020-07-27T00:00:00"/>
        <d v="2020-07-29T00:00:00"/>
        <d v="2020-07-30T00:00:00"/>
        <d v="2020-08-02T00:00:00"/>
        <d v="2020-08-03T00:00:00"/>
        <d v="2020-08-04T00:00:00"/>
        <d v="2020-08-05T00:00:00"/>
        <d v="2020-08-10T00:00:00"/>
        <d v="2020-08-17T00:00:00"/>
        <d v="2020-08-20T00:00:00"/>
        <d v="2020-08-24T00:00:00"/>
        <d v="2020-08-25T00:00:00"/>
        <d v="2020-08-26T00:00:00"/>
        <d v="2020-08-31T00:00:00"/>
        <d v="2020-09-02T00:00:00"/>
        <d v="2020-09-03T00:00:00"/>
        <d v="2020-09-07T00:00:00"/>
        <d v="2020-09-10T00:00:00"/>
        <d v="2020-09-11T00:00:00"/>
        <d v="2020-09-14T00:00:00"/>
        <d v="2020-09-15T00:00:00"/>
        <d v="2020-09-21T00:00:00"/>
        <d v="2020-09-22T00:00:00"/>
        <d v="2020-09-24T00:00:00"/>
        <d v="2020-09-25T00:00:00"/>
        <d v="2020-09-26T00:00:00"/>
        <d v="2020-09-28T00:00:00"/>
        <d v="2020-10-02T00:00:00"/>
        <d v="2020-10-05T00:00:00"/>
        <d v="2020-10-12T00:00:00"/>
        <d v="2020-10-14T00:00:00"/>
        <d v="2020-10-19T00:00:00"/>
        <d v="2020-10-20T00:00:00"/>
        <d v="2020-10-22T00:00:00"/>
        <d v="2020-10-26T00:00:00"/>
        <d v="2020-10-31T00:00:00"/>
        <d v="2020-11-02T00:00:00"/>
        <d v="2020-11-03T00:00:00"/>
        <d v="2020-11-09T00:00:00"/>
        <d v="2020-11-12T00:00:00"/>
        <d v="2020-11-16T00:00:00"/>
        <d v="2020-11-18T00:00:00"/>
        <d v="2020-11-19T00:00:00"/>
        <d v="2020-11-20T00:00:00"/>
        <d v="2020-11-23T00:00:00"/>
        <d v="2020-11-24T00:00:00"/>
        <d v="2020-11-26T00:00:00"/>
        <d v="2020-11-28T00:00:00"/>
        <d v="2020-11-30T00:00:00"/>
        <d v="2020-12-01T00:00:00"/>
        <d v="2020-12-02T00:00:00"/>
        <d v="2020-12-04T00:00:00"/>
        <d v="2020-12-07T00:00:00"/>
        <d v="2020-12-12T00:00:00"/>
        <d v="2020-12-14T00:00:00"/>
        <d v="2020-12-20T00:00:00"/>
        <d v="2020-12-21T00:00:00"/>
        <d v="2020-12-22T00:00:00"/>
        <d v="2020-12-24T00:00:00"/>
        <d v="2020-12-25T00:00:00"/>
        <d v="2020-12-26T00:00:00"/>
        <d v="2020-12-28T00:00:00"/>
        <d v="2021-01-01T00:00:00"/>
        <d v="2021-01-02T00:00:00"/>
        <d v="2021-01-04T00:00:00"/>
        <d v="2021-01-05T00:00:00"/>
        <d v="2021-01-09T00:00:00"/>
        <d v="2021-01-18T00:00:00"/>
        <d v="2021-01-20T00:00:00"/>
        <d v="2021-01-26T00:00:00"/>
        <d v="2021-01-27T00:00:00"/>
        <d v="2021-01-28T00:00:00"/>
        <d v="2021-02-02T00:00:00"/>
        <d v="2021-02-04T00:00:00"/>
        <d v="2021-02-07T00:00:00"/>
        <d v="2021-02-11T00:00:00"/>
        <d v="2021-02-18T00:00:00"/>
        <d v="2021-02-23T00:00:00"/>
        <d v="2021-02-26T00:00:00"/>
        <d v="2021-02-28T00:00:00"/>
        <d v="2021-03-01T00:00:00"/>
        <d v="2021-03-03T00:00:00"/>
        <d v="2021-03-09T00:00:00"/>
        <d v="2021-03-10T00:00:00"/>
        <d v="2021-03-15T00:00:00"/>
        <d v="2021-03-17T00:00:00"/>
        <d v="2021-03-24T00:00:00"/>
        <d v="2021-03-25T00:00:00"/>
        <d v="2021-03-26T00:00:00"/>
        <d v="2021-03-28T00:00:00"/>
        <d v="2021-03-30T00:00:00"/>
        <d v="2021-04-07T00:00:00"/>
        <d v="2021-04-08T00:00:00"/>
        <d v="2021-04-17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6T00:00:00"/>
        <d v="2021-05-07T00:00:00"/>
        <d v="2021-05-10T00:00:00"/>
        <d v="2021-05-12T00:00:00"/>
        <d v="2021-05-13T00:00:00"/>
        <d v="2021-05-16T00:00:00"/>
        <d v="2021-05-23T00:00:00"/>
        <d v="2021-05-25T00:00:00"/>
        <d v="2021-05-27T00:00:00"/>
        <d v="2021-06-06T00:00:00"/>
        <d v="2021-06-07T00:00:00"/>
        <d v="2021-06-10T00:00:00"/>
        <d v="2021-06-17T00:00:00"/>
        <d v="2021-06-18T00:00:00"/>
        <d v="2021-06-22T00:00:00"/>
        <d v="2021-06-23T00:00:00"/>
        <d v="2021-06-25T00:00:00"/>
        <d v="2021-06-30T00:00:00"/>
        <d v="2021-07-01T00:00:00"/>
        <d v="2021-07-04T00:00:00"/>
        <d v="2021-07-06T00:00:00"/>
        <d v="2021-07-09T00:00:00"/>
        <d v="2021-07-22T00:00:00"/>
        <d v="2021-07-25T00:00:00"/>
        <d v="2021-08-02T00:00:00"/>
        <d v="2021-08-03T00:00:00"/>
        <d v="2021-08-05T00:00:00"/>
        <d v="2021-08-10T00:00:00"/>
        <d v="2021-08-11T00:00:00"/>
        <d v="2021-08-19T00:00:00"/>
        <d v="2021-08-20T00:00:00"/>
        <d v="2021-08-21T00:00:00"/>
        <d v="2021-08-24T00:00:00"/>
        <d v="2021-08-31T00:00:00"/>
        <d v="2021-09-01T00:00:00"/>
        <d v="2021-09-02T00:00:00"/>
        <d v="2021-09-06T00:00:00"/>
        <d v="2021-09-08T00:00:00"/>
        <d v="2021-09-12T00:00:00"/>
        <d v="2021-09-15T00:00:00"/>
        <d v="2021-09-17T00:00:00"/>
        <d v="2021-09-23T00:00:00"/>
        <d v="2021-09-24T00:00:00"/>
        <d v="2021-09-25T00:00:00"/>
        <d v="2021-10-01T00:00:00"/>
        <d v="2021-10-05T00:00:00"/>
        <d v="2021-10-08T00:00:00"/>
        <d v="2021-10-10T00:00:00"/>
        <d v="2021-10-11T00:00:00"/>
        <d v="2021-10-12T00:00:00"/>
        <d v="2021-10-20T00:00:00"/>
        <d v="2021-10-21T00:00:00"/>
        <d v="2021-10-23T00:00:00"/>
        <d v="2021-11-01T00:00:00"/>
        <d v="2021-11-04T00:00:00"/>
        <d v="2021-11-05T00:00:00"/>
        <d v="2021-11-16T00:00:00"/>
        <d v="2021-11-19T00:00:00"/>
        <d v="2021-11-21T00:00:00"/>
        <d v="2021-11-25T00:00:00"/>
        <d v="2021-11-29T00:00:00"/>
        <d v="2021-12-01T00:00:00"/>
        <d v="2021-12-20T00:00:00"/>
        <d v="2021-12-21T00:00:00"/>
        <d v="2021-12-23T00:00:00"/>
        <d v="2021-12-25T00:00:00"/>
        <d v="2021-12-26T00:00:00"/>
        <d v="2022-01-01T00:00:00"/>
        <d v="2022-01-07T00:00:00"/>
        <d v="2022-01-08T00:00:00"/>
        <d v="2022-01-12T00:00:00"/>
        <d v="2022-01-20T00:00:00"/>
        <d v="2022-01-24T00:00:00"/>
        <d v="2022-01-25T00:00:00"/>
        <d v="2022-01-31T00:00:00"/>
        <d v="2022-02-01T00:00:00"/>
        <d v="2022-02-02T00:00:00"/>
        <d v="2022-02-08T00:00:00"/>
        <d v="2022-02-14T00:00:00"/>
        <d v="2022-02-16T00:00:00"/>
        <d v="2022-02-17T00:00:00"/>
        <d v="2022-02-22T00:00:00"/>
        <d v="2022-02-23T00:00:00"/>
        <d v="2022-02-24T00:00:00"/>
        <d v="2022-02-25T00:00:00"/>
        <d v="2022-02-28T00:00:00"/>
        <d v="2022-03-01T00:00:00"/>
        <d v="2022-03-03T00:00:00"/>
        <d v="2022-03-06T00:00:00"/>
        <d v="2022-03-07T00:00:00"/>
        <d v="2022-03-08T00:00:00"/>
        <d v="2022-03-09T00:00:00"/>
        <d v="2022-03-14T00:00:00"/>
        <d v="2022-03-16T00:00:00"/>
        <d v="2022-03-17T00:00:00"/>
        <d v="2022-03-22T00:00:00"/>
        <d v="2022-03-24T00:00:00"/>
        <d v="2022-03-25T00:00:00"/>
        <d v="2022-03-26T00:00:00"/>
        <d v="2022-04-01T00:00:00"/>
        <d v="2022-04-02T00:00:00"/>
        <d v="2022-04-05T00:00:00"/>
        <d v="2022-04-06T00:00:00"/>
        <d v="2022-04-18T00:00:00"/>
        <d v="2022-04-23T00:00:00"/>
        <d v="2022-04-28T00:00:00"/>
        <d v="2022-04-30T00:00:00"/>
        <d v="2022-05-04T00:00:00"/>
        <d v="2022-05-05T00:00:00"/>
        <d v="2022-05-06T00:00:00"/>
        <d v="2022-05-07T00:00:00"/>
        <d v="2022-05-11T00:00:00"/>
        <d v="2022-05-13T00:00:00"/>
        <d v="2022-05-23T00:00:00"/>
        <d v="2022-05-24T00:00:00"/>
        <d v="2022-05-28T00:00:00"/>
        <d v="2022-06-01T00:00:00"/>
        <d v="2022-06-10T00:00:00"/>
        <d v="2022-06-13T00:00:00"/>
        <d v="2022-06-22T00:00:00"/>
        <d v="2022-06-24T00:00:00"/>
        <d v="2022-06-25T00:00:00"/>
        <d v="2022-06-26T00:00:00"/>
        <d v="2022-07-01T00:00:00"/>
        <d v="2022-07-02T00:00:00"/>
        <d v="2022-07-04T00:00:00"/>
        <d v="2022-07-05T00:00:00"/>
        <d v="2022-07-15T00:00:00"/>
        <d v="2022-07-25T00:00:00"/>
        <d v="2022-08-01T00:00:00"/>
        <d v="2022-08-03T00:00:00"/>
        <d v="2022-08-04T00:00:00"/>
        <d v="2022-08-08T00:00:00"/>
        <d v="2022-08-09T00:00:00"/>
        <d v="2022-08-11T00:00:00"/>
        <d v="2022-08-18T00:00:00"/>
        <d v="2022-08-20T00:00:00"/>
        <d v="2022-08-26T00:00:00"/>
        <d v="2022-08-27T00:00:00"/>
        <d v="2022-08-31T00:00:00"/>
        <d v="2022-09-01T00:00:00"/>
        <d v="2022-09-04T00:00:00"/>
        <d v="2022-09-05T00:00:00"/>
        <d v="2022-09-07T00:00:00"/>
        <d v="2022-09-10T00:00:00"/>
        <d v="2022-09-17T00:00:00"/>
        <d v="2022-09-24T00:00:00"/>
        <d v="2022-09-25T00:00:00"/>
        <d v="2022-10-01T00:00:00"/>
        <d v="2022-10-04T00:00:00"/>
        <d v="2022-10-05T00:00:00"/>
        <d v="2022-10-12T00:00:00"/>
        <d v="2022-10-14T00:00:00"/>
        <d v="2022-10-19T00:00:00"/>
        <d v="2022-10-20T00:00:00"/>
        <d v="2022-10-21T00:00:00"/>
        <d v="2022-10-24T00:00:00"/>
        <d v="2022-11-01T00:00:00"/>
        <d v="2022-11-02T00:00:00"/>
        <d v="2022-11-04T00:00:00"/>
        <d v="2022-11-06T00:00:00"/>
        <d v="2022-11-07T00:00:00"/>
        <d v="2022-11-10T00:00:00"/>
        <d v="2022-11-24T00:00:00"/>
        <d v="2022-12-01T00:00:00"/>
        <d v="2022-12-09T00:00:00"/>
        <d v="2022-12-23T00:00:00"/>
        <d v="2022-12-25T00:00:00"/>
        <d v="2022-12-29T00:00:00"/>
        <d v="2022-12-30T00:00:00"/>
        <d v="2023-01-02T00:00:00"/>
        <d v="2023-01-08T00:00:00"/>
        <d v="2023-01-16T00:00:00"/>
        <d v="2023-01-18T00:00:00"/>
        <d v="2023-01-20T00:00:00"/>
        <d v="2023-01-22T00:00:00"/>
        <d v="2023-01-25T00:00:00"/>
        <d v="2023-01-26T00:00:00"/>
        <d v="2023-01-27T00:00:00"/>
        <d v="2023-01-28T00:00:00"/>
        <d v="2023-01-29T00:00:00"/>
        <d v="2023-02-01T00:00:00"/>
        <d v="2023-02-02T00:00:00"/>
        <d v="2023-02-13T00:00:00"/>
        <d v="2023-02-15T00:00:00"/>
        <d v="2023-02-17T00:00:00"/>
        <d v="2023-02-18T00:00:00"/>
        <d v="2023-02-19T00:00:00"/>
        <d v="2023-02-24T00:00:00"/>
        <d v="2023-02-26T00:00:00"/>
        <d v="2023-02-27T00:00:00"/>
        <d v="2023-03-01T00:00:00"/>
        <d v="2023-03-02T00:00:00"/>
        <d v="2023-03-12T00:00:00"/>
        <d v="2023-03-14T00:00:00"/>
        <d v="2023-03-15T00:00:00"/>
        <d v="2023-03-18T00:00:00"/>
        <d v="2023-03-22T00:00:00"/>
        <d v="2023-03-25T00:00:00"/>
        <d v="2023-04-01T00:00:00"/>
        <d v="2023-04-03T00:00:00"/>
        <d v="2023-04-10T00:00:00"/>
        <d v="2023-04-11T00:00:00"/>
        <d v="2023-04-12T00:00:00"/>
        <d v="2023-04-17T00:00:00"/>
        <d v="2023-04-19T00:00:00"/>
        <d v="2023-04-20T00:00:00"/>
        <d v="2023-04-22T00:00:00"/>
        <d v="2023-04-25T00:00:00"/>
        <d v="2023-04-26T00:00:00"/>
        <d v="2023-04-27T00:00:00"/>
        <d v="2023-04-30T00:00:00"/>
        <d v="2023-05-02T00:00:00"/>
        <d v="2023-05-09T00:00:00"/>
        <d v="2023-05-10T00:00:00"/>
        <d v="2023-05-13T00:00:00"/>
        <d v="2023-05-15T00:00:00"/>
        <d v="2023-05-19T00:00:00"/>
        <d v="2023-05-22T00:00:00"/>
        <d v="2023-05-24T00:00:00"/>
        <d v="2023-05-29T00:00:00"/>
        <d v="2023-05-31T00:00:00"/>
        <d v="2023-06-01T00:00:00"/>
        <d v="2023-06-02T00:00:00"/>
        <d v="2023-06-03T00:00:00"/>
        <d v="2023-06-05T00:00:00"/>
        <d v="2023-06-06T00:00:00"/>
        <d v="2023-06-07T00:00:00"/>
        <d v="2023-06-08T00:00:00"/>
        <d v="2023-06-12T00:00:00"/>
        <d v="2023-06-13T00:00:00"/>
        <d v="2023-06-14T00:00:00"/>
        <d v="2023-06-15T00:00:00"/>
        <d v="2023-06-16T00:00:00"/>
        <d v="2023-06-19T00:00:00"/>
        <d v="2023-06-20T00:00:00"/>
        <d v="2023-06-23T00:00:00"/>
        <d v="2023-06-25T00:00:00"/>
        <d v="2023-06-27T00:00:00"/>
        <d v="2023-06-30T00:00:00"/>
        <d v="2023-07-01T00:00:00"/>
        <d v="2023-07-03T00:00:00"/>
        <d v="2023-07-05T00:00:00"/>
        <d v="2023-07-06T00:00:00"/>
        <d v="2023-07-07T00:00:00"/>
        <d v="2023-07-10T00:00:00"/>
        <d v="2023-07-11T00:00:00"/>
        <d v="2023-07-15T00:00:00"/>
        <d v="2023-07-18T00:00:00"/>
        <d v="2023-07-24T00:00:00"/>
        <d v="2023-07-25T00:00:00"/>
        <d v="2023-07-29T00:00:00"/>
        <d v="2023-08-01T00:00:00"/>
        <d v="2023-08-02T00:00:00"/>
        <d v="2023-08-03T00:00:00"/>
        <d v="2023-08-04T00:00:00"/>
        <d v="2023-08-07T00:00:00"/>
        <d v="2023-08-08T00:00:00"/>
        <d v="2023-08-10T00:00:00"/>
        <d v="2023-08-11T00:00:00"/>
        <d v="2023-08-12T00:00:00"/>
        <d v="2023-08-17T00:00:00"/>
        <d v="2023-08-20T00:00:00"/>
        <d v="2023-08-26T00:00:00"/>
        <d v="2023-08-28T00:00:00"/>
        <d v="2023-08-29T00:00:00"/>
        <d v="2023-09-01T00:00:00"/>
        <d v="2023-09-03T00:00:00"/>
        <d v="2023-09-04T00:00:00"/>
        <d v="2023-09-05T00:00:00"/>
        <d v="2023-09-09T00:00:00"/>
        <d v="2023-09-11T00:00:00"/>
        <d v="2023-09-13T00:00:00"/>
        <d v="2023-09-20T00:00:00"/>
        <d v="2023-09-23T00:00:00"/>
        <d v="2023-09-24T00:00:00"/>
        <d v="2023-09-25T00:00:00"/>
        <d v="2023-09-28T00:00:00"/>
        <d v="2023-09-30T00:00:00"/>
        <d v="2023-10-03T00:00:00"/>
        <d v="2023-10-05T00:00:00"/>
        <d v="2023-10-10T00:00:00"/>
        <d v="2023-10-11T00:00:00"/>
        <d v="2023-10-12T00:00:00"/>
        <d v="2023-10-21T00:00:00"/>
        <d v="2023-10-25T00:00:00"/>
        <d v="2023-10-26T00:00:00"/>
        <d v="2023-10-30T00:00:00"/>
        <d v="2023-10-31T00:00:00"/>
        <d v="2023-11-01T00:00:00"/>
        <d v="2023-11-02T00:00:00"/>
        <d v="2023-11-03T00:00:00"/>
        <d v="2023-11-04T00:00:00"/>
        <d v="2023-11-06T00:00:00"/>
        <d v="2023-11-08T00:00:00"/>
        <d v="2023-11-09T00:00:00"/>
        <d v="2023-11-10T00:00:00"/>
        <d v="2023-11-11T00:00:00"/>
        <d v="2023-11-12T00:00:00"/>
        <d v="2023-11-14T00:00:00"/>
        <d v="2023-11-15T00:00:00"/>
        <d v="2023-11-16T00:00:00"/>
        <d v="2023-11-26T00:00:00"/>
        <d v="2023-11-27T00:00:00"/>
        <d v="2023-11-28T00:00:00"/>
        <d v="2023-11-30T00:00:00"/>
        <d v="2023-12-01T00:00:00"/>
        <d v="2023-12-02T00:00:00"/>
        <d v="2023-12-08T00:00:00"/>
        <d v="2023-12-09T00:00:00"/>
        <d v="2023-12-10T00:00:00"/>
        <d v="2023-12-11T00:00:00"/>
        <d v="2023-12-16T00:00:00"/>
        <d v="2023-12-17T00:00:00"/>
        <d v="2023-12-24T00:00:00"/>
        <d v="2023-12-25T00:00:00"/>
        <d v="2023-12-31T00:00:00"/>
        <d v="2024-01-01T00:00:00"/>
        <d v="2024-01-03T00:00:00"/>
        <d v="2024-01-09T00:00:00"/>
        <d v="2024-01-10T00:00:00"/>
        <d v="2024-01-16T00:00:00"/>
        <d v="2024-01-31T00:00:00"/>
        <d v="2024-02-01T00:00:00"/>
        <d v="2024-02-02T00:00:00"/>
        <d v="2024-02-04T00:00:00"/>
        <d v="2024-02-06T00:00:00"/>
        <d v="2024-02-10T00:00:00"/>
        <d v="2024-02-11T00:00:00"/>
        <d v="2024-02-12T00:00:00"/>
        <d v="2024-02-14T00:00:00"/>
        <d v="2024-02-15T00:00:00"/>
        <d v="2024-02-16T00:00:00"/>
        <d v="2024-02-17T00:00:00"/>
        <d v="2024-02-18T00:00:00"/>
        <d v="2024-02-22T00:00:00"/>
        <d v="2024-02-26T00:00:00"/>
        <d v="2024-02-28T00:00:00"/>
        <d v="2024-03-01T00:00:00"/>
        <d v="2024-03-04T00:00:00"/>
        <d v="2024-03-05T00:00:00"/>
        <d v="2024-03-07T00:00:00"/>
        <d v="2024-03-08T00:00:00"/>
        <d v="2024-03-10T00:00:00"/>
        <d v="2024-03-11T00:00:00"/>
        <d v="2024-03-13T00:00:00"/>
        <d v="2024-03-18T00:00:00"/>
        <d v="2024-03-19T00:00:00"/>
        <d v="2024-03-20T00:00:00"/>
        <d v="2024-03-22T00:00:00"/>
        <d v="2024-03-25T00:00:00"/>
        <d v="2024-03-26T00:00:00"/>
        <d v="2024-03-28T00:00:00"/>
        <d v="2024-03-30T00:00:00"/>
        <d v="2024-03-31T00:00:00"/>
        <d v="2024-04-02T00:00:00"/>
        <d v="2024-04-03T00:00:00"/>
        <d v="2024-04-05T00:00:00"/>
        <d v="2024-04-06T00:00:00"/>
        <d v="2024-04-07T00:00:00"/>
        <d v="2024-04-11T00:00:00"/>
        <d v="2024-04-12T00:00:00"/>
        <d v="2024-04-16T00:00:00"/>
        <d v="2024-04-18T00:00:00"/>
        <d v="2024-04-19T00:00:00"/>
        <d v="2024-04-20T00:00:00"/>
        <d v="2024-04-22T00:00:00"/>
        <d v="2024-04-23T00:00:00"/>
        <d v="2024-04-24T00:00:00"/>
        <d v="2024-04-25T00:00:00"/>
        <d v="2024-04-26T00:00:00"/>
        <d v="2024-04-27T00:00:00"/>
        <d v="2024-04-29T00:00:00"/>
        <d v="2024-04-30T00:00:00"/>
        <d v="2024-05-02T00:00:00"/>
        <d v="2024-05-03T00:00:00"/>
        <d v="2024-05-04T00:00:00"/>
        <d v="2024-05-05T00:00:00"/>
        <d v="2024-05-07T00:00:00"/>
        <d v="2024-05-13T00:00:00"/>
        <d v="2024-05-14T00:00:00"/>
        <d v="2024-05-15T00:00:00"/>
        <d v="2024-05-18T00:00:00"/>
        <d v="2024-05-21T00:00:00"/>
        <d v="2024-05-25T00:00:00"/>
        <d v="2024-05-26T00:00:00"/>
        <d v="2024-06-01T00:00:00"/>
        <d v="2024-06-02T00:00:00"/>
        <d v="2024-06-04T00:00:00"/>
        <d v="2024-06-08T00:00:00"/>
        <d v="2024-06-10T00:00:00"/>
        <d v="2024-06-11T00:00:00"/>
        <d v="2024-06-20T00:00:00"/>
        <d v="2024-06-24T00:00:00"/>
        <d v="2024-06-25T00:00:00"/>
        <d v="2024-06-26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5T00:00:00"/>
        <d v="2024-08-06T00:00:00"/>
        <d v="2024-08-08T00:00:00"/>
        <d v="2024-08-10T00:00:00"/>
        <d v="2024-08-12T00:00:00"/>
        <d v="2024-08-13T00:00:00"/>
        <d v="2024-08-15T00:00:00"/>
        <d v="2024-08-18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4T00:00:00"/>
        <d v="2024-09-06T00:00:00"/>
        <d v="2024-09-07T00:00:00"/>
        <d v="2024-09-08T00:00:00"/>
        <d v="2024-09-10T00:00:00"/>
        <d v="2024-09-11T00:00:00"/>
        <d v="2024-09-12T00:00:00"/>
        <d v="2024-09-15T00:00:00"/>
        <d v="2024-09-16T00:00:00"/>
        <d v="2024-09-17T00:00:00"/>
        <d v="2024-09-19T00:00:00"/>
        <d v="2024-09-21T00:00:00"/>
        <d v="2024-09-22T00:00:00"/>
        <d v="2024-09-23T00:00:00"/>
        <d v="2024-09-25T00:00:00"/>
        <d v="2024-09-26T00:00:00"/>
        <d v="2024-09-27T00:00:00"/>
        <d v="2024-10-01T00:00:00"/>
        <d v="2024-10-02T00:00:00"/>
        <d v="2024-10-03T00:00:00"/>
        <d v="2024-10-04T00:00:00"/>
        <d v="2024-10-05T00:00:00"/>
        <d v="2024-10-07T00:00:00"/>
        <d v="2024-10-08T00:00:00"/>
        <d v="2024-10-10T00:00:00"/>
        <d v="2024-10-11T00:00:00"/>
        <d v="2024-10-13T00:00:00"/>
        <d v="2024-10-15T00:00:00"/>
        <d v="2024-10-16T00:00:00"/>
        <d v="2024-10-17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3T00:00:00"/>
        <d v="2024-11-05T00:00:00"/>
        <d v="2024-11-06T00:00:00"/>
        <d v="2024-11-07T00:00:00"/>
        <d v="2024-11-08T00:00:00"/>
        <d v="2024-11-09T00:00:00"/>
        <d v="2024-11-10T00:00:00"/>
        <d v="2024-11-12T00:00:00"/>
        <d v="2024-11-16T00:00:00"/>
        <d v="2024-11-17T00:00:00"/>
        <d v="2024-11-18T00:00:00"/>
        <d v="2024-11-19T00:00:00"/>
        <d v="2024-11-21T00:00:00"/>
        <d v="2024-11-23T00:00:00"/>
        <d v="2024-11-24T00:00:00"/>
        <d v="2024-11-25T00:00:00"/>
        <d v="2024-11-28T00:00:00"/>
        <d v="2024-11-30T00:00:00"/>
        <d v="2024-12-01T00:00:00"/>
        <d v="2024-12-02T00:00:00"/>
        <d v="2024-12-04T00:00:00"/>
        <d v="2024-12-06T00:00:00"/>
        <d v="2024-12-07T00:00:00"/>
        <d v="2024-12-08T00:00:00"/>
        <d v="2024-12-10T00:00:00"/>
        <d v="2024-12-11T00:00:00"/>
        <d v="2024-12-18T00:00:00"/>
        <d v="2024-12-24T00:00:00"/>
        <d v="2024-12-25T00:00:00"/>
        <d v="2024-12-31T00:00:00"/>
        <d v="2025-01-01T00:00:00"/>
        <d v="2025-01-06T00:00:00"/>
        <d v="2025-01-07T00:00:00"/>
        <d v="2025-01-08T00:00:00"/>
        <d v="2025-01-09T00:00:00"/>
        <d v="2025-01-10T00:00:00"/>
        <d v="2025-01-12T00:00:00"/>
        <d v="2025-01-13T00:00:00"/>
        <d v="2025-01-14T00:00:00"/>
        <d v="2025-01-16T00:00:00"/>
        <d v="2025-01-20T00:00:00"/>
        <d v="2025-01-21T00:00:00"/>
        <d v="2025-01-23T00:00:00"/>
        <d v="2025-01-24T00:00:00"/>
        <d v="2025-01-26T00:00:00"/>
        <d v="2025-01-27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10T00:00:00"/>
        <d v="2025-02-11T00:00:00"/>
        <d v="2025-02-12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3-01T00:00:00"/>
        <d v="2025-03-02T00:00:00"/>
        <d v="2025-03-04T00:00:00"/>
        <d v="2025-03-05T00:00:00"/>
        <d v="2025-03-07T00:00:00"/>
        <d v="2025-03-11T00:00:00"/>
        <d v="2025-03-12T00:00:00"/>
        <d v="2025-03-17T00:00:00"/>
        <d v="2025-03-22T00:00:00"/>
        <d v="2025-03-23T00:00:00"/>
        <d v="2025-03-24T00:00:00"/>
        <d v="2025-03-25T00:00:00"/>
        <d v="2025-03-27T00:00:00"/>
        <d v="2025-03-29T00:00:00"/>
        <d v="2025-03-30T00:00:00"/>
        <d v="2025-03-31T00:00:00"/>
        <d v="2025-04-02T00:00:00"/>
        <d v="2025-04-04T00:00:00"/>
        <d v="2025-04-05T00:00:00"/>
        <d v="2025-04-07T00:00:00"/>
        <d v="2025-04-11T00:00:00"/>
        <d v="2025-04-15T00:00:00"/>
        <d v="2025-04-16T00:00:00"/>
        <d v="2025-04-17T00:00:00"/>
        <d v="2025-04-19T00:00:00"/>
        <d v="2025-04-21T00:00:00"/>
        <d v="2025-04-22T00:00:00"/>
        <d v="2025-04-26T00:00:00"/>
        <d v="2025-04-30T00:00:00"/>
        <d v="2025-05-01T00:00:00"/>
        <d v="2025-05-03T00:00:00"/>
        <d v="2025-05-06T00:00:00"/>
        <d v="2025-05-07T00:00:00"/>
        <d v="2025-05-08T00:00:00"/>
        <d v="2025-05-09T00:00:00"/>
        <d v="2025-05-11T00:00:00"/>
        <d v="2025-05-12T00:00:00"/>
        <d v="2025-05-13T00:00:00"/>
        <d v="2025-05-15T00:00:00"/>
        <d v="2025-05-16T00:00:00"/>
        <d v="2025-05-19T00:00:00"/>
        <d v="2025-05-20T00:00:00"/>
        <d v="2025-05-23T00:00:00"/>
        <d v="2025-05-24T00:00:00"/>
        <d v="2025-05-26T00:00:00"/>
        <d v="2025-05-30T00:00:00"/>
        <d v="2025-05-31T00:00:00"/>
        <d v="2025-06-02T00:00:00"/>
        <d v="2025-06-05T00:00:00"/>
        <d v="2025-06-06T00:00:00"/>
        <d v="2025-06-09T00:00:00"/>
        <d v="2025-06-11T00:00:00"/>
        <d v="2025-06-22T00:00:00"/>
        <d v="2025-06-25T00:00:00"/>
        <d v="2025-07-01T00:00:00"/>
        <d v="2025-07-04T00:00:00"/>
        <d v="2025-07-05T00:00:00"/>
        <d v="2025-07-07T00:00:00"/>
        <d v="2025-07-10T00:00:00"/>
        <d v="2025-07-16T00:00:00"/>
        <d v="2025-07-19T00:00:00"/>
        <d v="2025-07-24T00:00:00"/>
        <d v="2025-07-25T00:00:00"/>
        <d v="2025-07-28T00:00:00"/>
        <d v="2025-08-01T00:00:00"/>
        <d v="2025-08-02T00:00:00"/>
        <d v="2025-08-04T00:00:00"/>
        <d v="2025-08-06T00:00:00"/>
        <d v="2025-08-08T00:00:00"/>
        <d v="2025-08-09T00:00:00"/>
        <d v="2025-08-17T00:00:00"/>
        <d v="2025-08-22T00:00:00"/>
        <d v="2025-08-26T00:00:00"/>
        <d v="2025-08-28T00:00:00"/>
        <d v="2025-09-01T00:00:00"/>
        <d v="2025-09-03T00:00:00"/>
        <d v="2025-09-10T00:00:00"/>
        <d v="2025-09-11T00:00:00"/>
        <d v="2025-09-12T00:00:00"/>
        <d v="2025-09-22T00:00:00"/>
        <d v="2025-09-23T00:00:00"/>
        <d v="2025-09-25T00:00:00"/>
        <d v="2025-09-27T00:00:00"/>
        <d v="2025-10-01T00:00:00"/>
        <d v="2025-10-02T00:00:00"/>
        <d v="2025-10-03T00:00:00"/>
        <d v="2025-10-06T00:00:00"/>
        <d v="2025-10-07T00:00:00"/>
        <d v="2025-10-11T00:00:00"/>
        <d v="2025-10-13T00:00:00"/>
        <d v="2025-10-16T00:00:00"/>
        <d v="2025-10-17T00:00:00"/>
        <d v="2025-10-18T00:00:00"/>
        <d v="2025-10-22T00:00:00"/>
        <d v="2025-10-25T00:00:00"/>
        <m/>
      </sharedItems>
    </cacheField>
    <cacheField name="Value Date" numFmtId="0">
      <sharedItems containsNonDate="0" containsDate="1" containsString="0" containsBlank="1" minDate="2013-12-27T00:00:00" maxDate="2025-10-26T00:00:00"/>
    </cacheField>
    <cacheField name="Description" numFmtId="0">
      <sharedItems containsBlank="1"/>
    </cacheField>
    <cacheField name="Ref No./Cheque No." numFmtId="0">
      <sharedItems containsBlank="1" containsMixedTypes="1" containsNumber="1" containsInteger="1" minValue="307240" maxValue="899787"/>
    </cacheField>
    <cacheField name="Debit" numFmtId="0">
      <sharedItems containsBlank="1" containsMixedTypes="1" containsNumber="1" minValue="1" maxValue="699000"/>
    </cacheField>
    <cacheField name="Credit" numFmtId="0">
      <sharedItems containsBlank="1" containsMixedTypes="1" containsNumber="1" minValue="1" maxValue="685000"/>
    </cacheField>
    <cacheField name="Balance" numFmtId="0">
      <sharedItems containsSemiMixedTypes="0" containsString="0" containsNumber="1" minValue="549.94000000001688" maxValue="735821.10000000009"/>
    </cacheField>
    <cacheField name="Main Select 1" numFmtId="0">
      <sharedItems containsBlank="1"/>
    </cacheField>
    <cacheField name="Transfer App" numFmtId="0">
      <sharedItems containsBlank="1"/>
    </cacheField>
    <cacheField name="Remark-1" numFmtId="0">
      <sharedItems containsBlank="1" containsMixedTypes="1" containsNumber="1" containsInteger="1" minValue="7340025568" maxValue="7340025568" count="493" longText="1">
        <m/>
        <s v="sms charges"/>
        <s v="Mininum Balance Charges"/>
        <s v="From ATM SBI Malout"/>
        <s v="FD ACC_00000061258635965"/>
        <s v="ATM charges"/>
        <s v="HP GAS SUBSIDY"/>
        <s v="Salary Arrer"/>
        <s v="Hanumangarh Jn Plot"/>
        <s v="Jatin Garg"/>
        <s v="Diwali Bonus"/>
        <s v="FD ACC_00000061334360200"/>
        <s v="DA"/>
        <s v="Received from Jatin Garg"/>
        <s v="Cash Withdrwal (micro atm in tibbi camp) not sure"/>
        <s v="From ATM SBI Tibbi"/>
        <s v="Raju ji Accountant  panchyat samiti tibbi ki transaction ki or cash le liya"/>
        <s v="From ATM AXIS Malout"/>
        <s v="Mohit Kumar Jain (7340025568)"/>
        <s v="PL Salary"/>
        <s v="To Sunil Kumar Pooja Stationers Tibbi"/>
        <s v="transfer for Rahul PS Tibbi and got cash for room rent"/>
        <s v="offline bill"/>
        <s v="offline bills"/>
        <s v="bus ticket book"/>
        <s v="ram kumar ji ko udhar vapsi"/>
        <s v="offline bill for transfer"/>
        <s v="bus ticket from munnar to banglore"/>
        <s v="Divya Jain"/>
        <s v="jaspreet madam's Mobile Bill payment to airtel"/>
        <s v="Ram Kumar's Mobile Bill payment to airtel"/>
        <s v="Mobile Mangvaya"/>
        <s v="Rohit Jain"/>
        <s v="Mutual Fund Purchased"/>
        <s v="to self"/>
        <s v="Divya Jain (8847283560)"/>
        <s v="Tibbi Home"/>
        <s v="bill paid for extension board (payment from acp office)"/>
        <s v="to jaspreet madam (devar ki fee)"/>
        <s v="Vishant Kataria"/>
        <s v="From Jaspreet Madam (Dever ki fee)"/>
        <s v="To Ram Kumar Saini(unki LIC Policy k liye)"/>
        <s v="Books ordered for friend from amazon"/>
        <s v="Mohit Kumar Jain"/>
        <s v="For Referal For Install UPI"/>
        <s v="Samyak Agro"/>
        <s v="SBI malout account closed"/>
        <s v="Jaspreet Madam"/>
        <s v="For Paying Mobile Bill"/>
        <s v="Rohit Jain Friend"/>
        <s v="Arvind Suthar"/>
        <s v="For Paying Electricity Bill"/>
        <s v="Sukhwinder Singh emitra Surewala"/>
        <s v="Mangli Khicar Panchyat Samiti Tibbi"/>
        <s v="Irjesh Godara"/>
        <s v="Harpreet Singh Rajnet Engg"/>
        <s v="From ATM SBI Sirsa "/>
        <s v="Book Purchase from Amazon (Data comm by frourzan and willilam stallings)"/>
        <s v="Exam Fee (Mohit)"/>
        <s v="Exam Fee of Madav in Statics Dept Tibbi"/>
        <s v="Ram Kumar Saini"/>
        <s v="Mobile recharge of Preeti Jain Gothi Kalawali"/>
        <s v="Transfer my self using PAYTM app"/>
        <s v="Received from my self using PAYTM app"/>
        <s v="Sanjay s/o Jagdish ps tibbi"/>
        <s v="Rahul Soni Panchyat Samiti Tibbi"/>
        <s v="Payment of Aadhaar Banner of Hakam Sharma and transfer to sukhwinder singh emitra surewala"/>
        <s v="Ravi Kumar Saini"/>
        <s v="Send Payment to Irjesh Godara (for Tea Payment of month July)(Ravi Bill 270 and 540 Mohit's) "/>
        <s v="Transfer to Mother"/>
        <s v="ITD TAX REFUND AY 18-19 PAN ANBPJ3859N"/>
        <s v="Received From Ravi Saini (15th Aug ki picture)"/>
        <s v="TA Bill No. 1730374"/>
        <s v="TA Bill No. 19484624"/>
        <s v="TA Bill No. 1942947"/>
        <s v="TA Bill No. 1942698"/>
        <s v="TA Bill No. 1735488"/>
        <s v="TA Bill No. 1984934"/>
        <s v="Kapil Soni VC Engg"/>
        <s v="FD ACC_00000037913663301"/>
        <s v="FD ACC_00000037913820333"/>
        <s v="FD ACC_00000037913822910"/>
        <s v="FD ACC_00000037913835395"/>
        <s v="Tea Payment to Irjesh Godara using tez app"/>
        <s v="Dharampal rathikhera operator"/>
        <s v="Sunil Kumar (pooja Pustak Bhandar) Tibbi"/>
        <s v="Ram Kumar Saini ko tez app se transfer kiye or cash liye"/>
        <s v="Mobile Recharge Preeti jain Gothi kalawali"/>
        <s v="For Paying Mobile Recharge"/>
        <s v="Mohit Kumar Jain (9465383987)"/>
        <s v="Refunded amout after failure of transation from tez pay"/>
        <s v="Ajay Kumar Emitra Plus"/>
        <s v="tried to transfer to ppf from google pay app"/>
        <s v="refunded because transation was not successful using google pay app"/>
        <s v="Ravi Kant (Emitra Talwara jheel)"/>
        <s v="Gauri Shankar RSWAN Engg"/>
        <s v="Recharge of SDM (Umaid singh)"/>
        <s v="Ram Kumar Soni LDC Tibbi"/>
        <s v="FD ACC _00000037913835395"/>
        <s v="Aditi Jain"/>
        <s v="Sirsa Home"/>
        <s v="Received Through Google Pay app from divya       Get back from divya for electricity bill of sirsa"/>
        <s v="Aayusha Jain"/>
        <s v="Aadhaar Payment (Ram Kumar Saini)"/>
        <s v="Dream 11"/>
        <s v="For Using File Go Application"/>
        <s v="Sushil Sinvar PS tibbi operator"/>
        <s v="A/C Transfer From Sangria to Tibbi"/>
        <s v="movie payment from google pay to paytm"/>
        <s v="Ramesh Bhunan (Irjesh Operator)"/>
        <s v="Malout Home"/>
        <s v="Bhavana Jain"/>
        <s v="Arvind Suthar (Mobile recharge) "/>
        <s v="HP Gas Cylinder"/>
        <s v="Sunil Emitra Tibbi"/>
        <s v="TA Bill No. 2073740"/>
        <s v="TA Bill No. 2073410"/>
        <s v="to rahul soni PS Tibbi"/>
        <s v="FD ACC_00000038242822128"/>
        <s v="FD ACC_00000038243589676"/>
        <s v="to ravi kumar saini"/>
        <s v="from rahul soni PS Tibbi"/>
        <s v="From Raju Panwar Panchayat Samiti Tibbi"/>
        <s v="to raju ram"/>
        <s v="ravi kumarsaini for pulvama attack"/>
        <s v="cash back"/>
        <s v="IMPS"/>
        <s v="To Pramod Bishnoi BCMO Sangria"/>
        <s v="from Pramod Bishnoi BCMO Sangria"/>
        <s v="to divya jain (retrun amt)"/>
        <s v="to irjesh godara / manish"/>
        <s v="to abdul khalik"/>
        <s v="self"/>
        <s v="check clear"/>
        <s v="hanumangarh atm se withdraw krvaye"/>
        <s v="hanumangarh atm se withdraw krvaye, withdraw nhi hone pr vapis aa gye"/>
        <s v="bike purchased"/>
        <s v="FD ACC_00000038525928769"/>
        <s v="FD ACC_00000038536718363"/>
        <s v="FD ACC_00000038536719264"/>
        <s v="FD ACC_00000038536720097"/>
        <s v="FD ACC_00000038536790655"/>
        <s v="Transfer from treasury"/>
        <s v="FD ACC_00000038569636673"/>
        <s v="FD ACC_00000038733988879"/>
        <s v="FD ACC_00000038733993265"/>
        <s v="ITD TAX REFUND AY 19-20 PAN ANBPJ3859N"/>
        <s v="from divya jain"/>
        <s v="TA Bill No. 2219956"/>
        <s v="csc payment"/>
        <s v="to vikas kumar talwara mis opertor"/>
        <s v="from rohit jain"/>
        <s v="to ram kumar saini"/>
        <s v="from ram kumar saini"/>
        <s v="to rohit jain"/>
        <s v="from ravi kumar saini"/>
        <s v="to irjesh godara"/>
        <s v="from irjesh godara"/>
        <s v="Vikas Kumar Talwara  _x000a_(panchayati raj operator)"/>
        <s v="to dheeraj upveja vc enngg"/>
        <s v="from dheeraj upveja VC Engg Tibbi"/>
        <s v="Mohit Kumar Jain (8003027591)"/>
        <s v="to mohit kumar jain"/>
        <s v="to devender singh railtel engg"/>
        <s v="from devender gill Rail tel Wifi Engg"/>
        <s v="To aarif khan"/>
        <s v="NPS Tier-2"/>
        <s v="NPS Tier-1"/>
        <s v="Godaddy India Domain for Manish Rokana"/>
        <s v="source not known"/>
        <s v="friz repair"/>
        <s v="cooler"/>
        <s v="from manisha jain OR rohit jain"/>
        <s v="ration"/>
        <s v="From Mukesh Kumar SBI BC Tibbi"/>
        <s v="to sourabh narang"/>
        <s v="from sourabh narang"/>
        <s v="Franklin Build India Fund - Direct - Growth"/>
        <s v="UTI ELSS Tax Saver Fund - Direct Plan - Growth Option"/>
        <s v="Tata Digital India Fund-Direct Plan-Growth"/>
        <s v="to lavish chug for jeevisha diapers"/>
        <s v="Nippon India Banking &amp; Financial Services Fund- DIRECT Plan - IDCW Option"/>
        <s v="UTI Nifty 50 Index Fund - Growth Option- Direct"/>
        <s v="UTI Banking and Financial Services Fund - Direct Plan - Growth Option"/>
        <s v="TA Bill No. 3032832"/>
        <s v="TA Bill No. 3003401"/>
        <s v="to kalu ram ji"/>
        <s v="Sirsa"/>
        <s v="to preeti jain gothi"/>
        <s v="From Preeti Jain gothi"/>
        <s v="to lavish chug and cash taken"/>
        <s v="divya delivery medicine"/>
        <s v="divya delivery payment"/>
        <s v="TA Bill No. 4509668"/>
        <s v="TA Bill No. 3032981"/>
        <s v="SBI Conservative Hybrid Fund - Direct Plan - Growth"/>
        <s v="to rohit jain or manisha jain"/>
        <s v="book mangvai online(pathshala classes)"/>
        <s v="ITD TAX REFUND AY 21-22 PAN ANBPJ3859N"/>
        <s v="SBI BLUE CHIP FUND-REGULAR PLAN GROWTH"/>
        <s v="SBI Equity Minimum Variance Fund - Direct Plan - Growth"/>
        <s v="Axis Midcap Fund - Direct Plan - Growth_x000a_Axis Small Cap Fund - Direct Plan - Growth_x000a_Franklin Build India Fund - Direct - Growth_x000a_ICICI Prudential Bluechip Fund - Direct Plan - Growth_x000a_Nippon India Banking &amp; Financial Services Fund- DIRECT Plan - IDCW Option_x000a_Nippon India Nifty Next 50 Junior BeES FoF - Direct Plan - Growth Plan - Growth Option"/>
        <s v="ct scan mohit in bathinda"/>
        <s v="TA Bill No. 5368026"/>
        <s v="TA Bill No. 5368485"/>
        <s v="TA Bill No. 5368405"/>
        <s v="TA Bill No. 5368438"/>
        <s v="TA Bill No. 5368468"/>
        <s v="from Surender Bhati"/>
        <s v="to surender bhati internship wala mysy scheme doit tibbi"/>
        <s v="laptop wire from navdeep pathak malout"/>
        <s v="amazone se order kiya_x000a_refund date 17-09-2022"/>
        <s v="amazone se order kiya"/>
        <s v="amazon refund amt_x000a_order date 31-08-2022"/>
        <s v="online shamoo order"/>
        <s v="gate smasher cource purchased"/>
        <s v="rohit 9464507310"/>
        <s v="to satish kumar ia sje office tibbi"/>
        <s v="TA Bill No. 6193571"/>
        <s v="TA Bill No. 6129648"/>
        <s v="TA Bill No. 6000451"/>
        <s v="to ranjeet emitra ( 220 for rail ticket and 5000 taken cash)"/>
        <s v="From satish kumar ia sso office"/>
        <s v="breadsandwitch (delhi darbar tibbi) (manish rokna aaya tha)"/>
        <s v="hdd case from amzaon"/>
        <s v="To Balwinder sigh emitra chandoorwali"/>
        <s v="Divya jain (amout returned)"/>
        <s v="Dividend"/>
        <s v="From Aarif Khan"/>
        <s v="Aditya Birla Sun Life ELSS Tax Saver Fund - Growth Option"/>
        <s v="To Manish Rokana"/>
        <s v="RATION "/>
        <s v="Aata"/>
        <s v="sabji"/>
        <s v="medicine"/>
        <s v="Jeevu lower"/>
        <s v="IT union fund"/>
        <s v="Anjali jain preeti jain gothi sardulgarh"/>
        <s v="House rent"/>
        <s v="TA Bill No. 6457779"/>
        <s v="TA Bill No. 6450614"/>
        <s v="TA Bill No. 6450521"/>
        <s v="TA Bill No. 6540614"/>
        <s v="Axis Bluechip Fund - Direct Plan - Growth"/>
        <s v="Axis Midcap Fund - Direct Plan - Growth"/>
        <s v="ICICI Prudential Bluechip Fund - Direct Plan - Growth"/>
        <s v="Aarif Khan"/>
        <s v="From surender Internship wala (ram kumar ji ki father retirement party wale)"/>
        <s v="SBI BANKING &amp; FINANCIAL SERVICES FUND - DIRECT PLAN - GROWTH"/>
        <s v="Axis Small Cap Fund - Direct Plan - Growth"/>
        <s v="Tata India Pharma &amp; Healthcare Fund-Direct Plan-Growth"/>
        <s v="Manish Rokana"/>
        <s v="Nippon India Banking &amp; Financial Services Fund - Direct Plan Growth Plan - Growth Option"/>
        <s v="new mobile battery and guard "/>
        <s v="Aditya Birla Sun Life Banking and Financial Services Fund - Direct Plan - Growth"/>
        <s v="Axis ELSS Tax Saver Fund - Direct Plan - Growth Option"/>
        <s v="TO RANJEET EMITRA"/>
        <s v="Nippon India Nifty Next 50 Junior BeES FoF - Direct Plan - Growth Plan - Growth Option"/>
        <s v="from manish rokana (14-06-2023 ki payment vapis aayi hai)"/>
        <s v="gud, namak"/>
        <s v="TA Bill No. 6880812"/>
        <s v="TA Bill No. 6880705"/>
        <s v="frnd recharge MMM"/>
        <s v="Jeevisha School Fee"/>
        <s v="for cold drink"/>
        <s v="milk payment"/>
        <s v="To Surender Parik for Honey"/>
        <s v="To Surender Bana for 2 Soaps"/>
        <s v="to bana ji for (khadi soap)"/>
        <s v="bartan (malout)"/>
        <s v="jeevu or shristhi k shooes"/>
        <s v="jeevu or shristhi k cloths"/>
        <s v="juice"/>
        <s v="srishti diapers"/>
        <s v="jeevu stationary"/>
        <s v="biscuits and balloon"/>
        <s v="petrol at malout"/>
        <s v="for 20 rupee note ki gdddi li thi uske rajnet engg ravinder ko transfer kiye"/>
        <s v="sabji  50 ki or 500 cash liye"/>
        <s v="lovish chug for medicine"/>
        <s v="ram kumar saini se lene thy_x000a_ 20 rupee k note diye thy"/>
        <s v="laadu"/>
        <s v="Bike Service"/>
        <s v="Tea Payement to Surender Kumar Parik"/>
        <s v="Rajender Kumar sharma Panchayat shayak Tibbi"/>
        <s v="Programmer Exam Fee Mohit"/>
        <s v="Mohit Bday Party to Divya"/>
        <s v="Manisha MMM"/>
        <s v="Sateesh Kumar IA in SJE Tibbi"/>
        <s v="Chair ki Gaddi bavai"/>
        <s v="RPSC Programmer Exam Book Amazon se Mangvai"/>
        <s v="Sukveer Singh BNO in BCMO Tibbi for Programmer Exam"/>
        <s v="NPS Tier -1 for additional Tax Saving of 50000"/>
        <s v="pen MMM"/>
        <s v="Gourav sales Tibbi For Mobile Payment of Mi Note 13 Pro"/>
        <s v="Rajcomp"/>
        <s v="mohit cloth payment"/>
        <s v="kids cloth payment"/>
        <s v="Surender Parik AP"/>
        <s v="Jeevisha UKG Books"/>
        <s v="Tea Payement to Surender Bana"/>
        <s v="Srishti School Fee"/>
        <s v="Kids School Dress, Shooes"/>
        <s v="from manish rokana (money Transfer k liye testing ki)"/>
        <s v="From Manish Rokana"/>
        <s v="RTI IN NIELIT Delhi for MCQ's Answer"/>
        <s v="Kids Almira/shooes Rack"/>
        <s v="TA Bill No. 7374736"/>
        <s v="Jeevisha  Bday"/>
        <s v="Recharge of Tea Mama (cash taken)"/>
        <s v="biscuits"/>
        <s v="Tinu Masad k operation k liye payment di"/>
        <s v="zerodha me payment dali hai (-ve balance show ho rha tha)"/>
        <s v="Car Payment (Tibbi to Sirsa)"/>
        <s v="Mohit Medicine"/>
        <s v="Cold Drink"/>
        <s v="Online Book for MMM_x000a__x000a_frnd recharge MMM"/>
        <s v="zerodha se vapis aaye hai"/>
        <s v="market down thi to share lene thy to rohit jain ko transfer kiye"/>
        <s v="market down thi to share lene thy to rohit ko transfer kiye"/>
        <s v="Bike Insurance RJ31SQ4063"/>
        <s v="from surender parik _x000a_tea payment mohit ne ki thi Return kri hai"/>
        <s v="office milk payment_x000a_to surender bana"/>
        <s v="Cooler Payment to surender bana"/>
        <s v="Mohit Ear Medicine from HMH"/>
        <s v="zerodha me payment dali hai"/>
        <s v="Jeevisha and Srishti Water Bottle"/>
        <s v="Zerodha"/>
        <s v="Rajender Kumar Teacher Tibbi ke son dvra payment ki"/>
        <s v="fruits"/>
        <s v="Srishti Nursary Books"/>
        <s v="Zerodha acc kite"/>
        <s v="purchase daal for bhavna jain"/>
        <s v="from bhavana jain"/>
        <s v="black hit mosqitto hit"/>
        <s v="cooler pad"/>
        <s v="cooler pad taar"/>
        <s v="Ice cream for all"/>
        <s v="Kids Hair cut"/>
        <s v="mohit expenses"/>
        <s v="ghee"/>
        <s v="library me khana pina"/>
        <s v="milk"/>
        <s v="petrol from tibbi"/>
        <s v="divya bday party with family"/>
        <s v="jeevisha chappal"/>
        <s v="kids chips"/>
        <s v="mohit photo from tibbi"/>
        <s v="To satish kumar ia sso office"/>
        <s v="kids bag repair"/>
        <s v="course purchased by rajinder from Kalam Librar and cash taken"/>
        <s v="Surender Bana"/>
        <s v="Tube Light for Library"/>
        <s v="Mohit Hair cut"/>
        <s v="divya acc transfer test"/>
        <s v="Stationary"/>
        <s v="divya medicine for test and operation"/>
        <s v="divya medicine for medic and operation"/>
        <s v="books mohit"/>
        <s v="Medicine divya"/>
        <s v="Friend MMM"/>
        <s v="Kachori Payment"/>
        <s v="MOHIT AADHAAR Card"/>
        <s v="Medicine Mohit"/>
        <s v="Bike Head Light Change"/>
        <s v="Kids Keyring and pen"/>
        <s v="C"/>
        <s v="pastry and french fries"/>
        <s v="265 ki medicine li or 300 cash liye"/>
        <s v="mohit  Chappal"/>
        <s v="kids and divya footware"/>
        <s v="diwali Diye"/>
        <s v="Sunil Poonia k father ki death pr padampura by car gye thy uski payment"/>
        <s v="donation to all Library Members"/>
        <s v="kids pens"/>
        <s v="Train ticket Payment"/>
        <s v="Library Fee"/>
        <s v="Jaipur mein Food"/>
        <s v="Jaipur Mein Exam (Rapido)"/>
        <s v="Mohit UltraSound from Sran Hospital Malout"/>
        <s v="Kanak Pisali Malout"/>
        <s v="Bike Wash From Malout"/>
        <s v="Petrol From Malout"/>
        <s v="Diwali Sweets"/>
        <s v="Diwali pr bahar khana pina"/>
        <s v="Sweets form Barfi House"/>
        <s v="Grilled Sandwitch"/>
        <s v="Elecricity bill deducted from account but bill not paid"/>
        <s v="Kids Books (Drawing Books)"/>
        <s v="refund of amount of date 05-11-2024 (Elecricity bill deducted from account but bill not paid)"/>
        <s v="Water Bill"/>
        <s v="jeevisha Kit "/>
        <s v="Bijli or Tooti ka saman"/>
        <s v="Jeevisha Dress, shooes, brush cream etc"/>
        <s v="To divya Jain"/>
        <s v="Dinner at Tibbi Blessing Bells"/>
        <s v="Kotak-Small Cap Fund - Growth - Direct"/>
        <s v="Soap"/>
        <s v="Axis Growth Opportunities Fund - Direct Plan - Growth"/>
        <s v="HDFC Large and Mid Cap Fund - Growth Option - Direct Plan"/>
        <s v="TV Remote"/>
        <s v="Honey"/>
        <s v="ICICI Prudential Multi-Asset Fund - Direct Plan - Growth"/>
        <s v="Petrol From Killiawali"/>
        <s v="To auto in Pune"/>
        <s v="C And Medicine"/>
        <s v="Tea Mama For Langer Sewa"/>
        <s v="From Surender Bana"/>
        <s v="Cloths of Mohit and Kids"/>
        <s v="Mohit Shooes (Red Tape from Sirsa)"/>
        <s v="ITD TAX REFUND AY 24-25 PAN ANBPJ3859N"/>
        <s v="Axis Value Fund - Direct Plan - Growth"/>
        <s v="Templeton India Value Fund - Direct - Growth"/>
        <s v="To Surender Bana"/>
        <s v="Zerodha Charges"/>
        <s v="SBI INFRASTRUCTURE FUND -  DIRECT PLAN - GROWTH"/>
        <s v="Mohit Shooes (Online)"/>
        <s v="Mohit Shaving Blades (online)"/>
        <s v="from nohar Bank BC"/>
        <s v="From Pilibangan"/>
        <s v="For Attendance Register"/>
        <s v="TA Bill No. 7815070"/>
        <s v="TA Bill No. 7815011"/>
        <s v="TA Bill No. 7814984"/>
        <s v="TA Bill No. 8351288"/>
        <s v="TA Bill No. 8351408"/>
        <s v="TA Bill No. 8351462"/>
        <s v="TA Bill No. 8351560"/>
        <s v="TA Bill No. 8351587"/>
        <s v="To Surendra Parik for Honey 1 kg"/>
        <s v="to surender bana for laptop battery"/>
        <s v="Kids Cloths"/>
        <s v="Mohit MI NOTE 13 PRO Cover"/>
        <n v="7340025568"/>
        <s v="RO Repair"/>
        <s v="ICICI Prudential Value Discovery Fund - Direct Plan - Growth"/>
        <s v="kids school fee, books, van"/>
        <s v="Mohit T Shirts Online"/>
        <s v="Cooler Paint"/>
        <s v="Jeevisha cloths and shooes"/>
        <s v="Aggarbati Macchar"/>
        <s v="1 chota bulb, 1 bda bulb, water heater rod"/>
        <s v="Kids ki chappal and socks"/>
        <s v="SI Loan"/>
        <s v="Hair Cutting Mohit"/>
        <s v="Pollution"/>
        <s v="Electric Tube"/>
        <s v="Pradhan Mantri Jeevan Jyoti Bima Yojana (PMJJBY)"/>
        <s v="Pradhan Mantri Suraksha Bima Yojana (PMSBY)"/>
        <s v="To Surender Parik for going nukera (AP Mandeep) "/>
        <s v="Zerodha Returned amount after deductioon of fine"/>
        <s v="From AP Navjot Singh for Autorickhaw payment done"/>
        <s v="OLA Bike from Deepika jain jaipur to polovictory"/>
        <s v="kids toys"/>
        <s v="mohit shooes"/>
        <s v="mohit and kids cloth"/>
        <s v="Rapido Bike Jaipur"/>
        <s v="face cream from amazon"/>
        <s v="dinner at jaipur highway with deepika jain and family"/>
        <s v="Dinner"/>
        <s v="Shopping at Ludhiana"/>
        <s v="Bhujiya"/>
        <s v="dinner at jaipur"/>
        <s v="to lavish chug medicine" u="1"/>
        <s v="NPS" u="1"/>
        <s v="delhi darbar tibbi for food" u="1"/>
        <s v="Rajender Kumar Teacher Tibbi" u="1"/>
        <s v="divya mobile rechare 8847283560" u="1"/>
        <s v="DA+ PL's DA Arrer" u="1"/>
        <s v="Mutual Fund Purchased (UTI)" u="1"/>
        <s v="Arrer" u="1"/>
        <s v="PL Arrer" u="1"/>
        <s v="Salaray Arrer (7th pay 2nd installment)" u="1"/>
        <s v="Send Payment to Irjest Godara (for Tea Payment of month July)(Ravi Bill 270 and 540 Mohit's) " u="1"/>
        <s v="Mutual Funds (tata)" u="1"/>
        <s v="FD acc no _00000037913835395" u="1"/>
        <s v="Mutual Fund Purchased (Frankline Templon)" u="1"/>
        <s v="Mutual Fund Purchased (SBI Blue Chip)" u="1"/>
        <s v="mutual fund transaction faild the amount received back" u="1"/>
        <s v="Mutual Fund Purchased (SBI)" u="1"/>
        <s v="to rahul soni" u="1"/>
        <s v="for electricy bill" u="1"/>
        <s v="TA Bill No. 6193567" u="1"/>
        <s v="axis mid cap" u="1"/>
        <s v="tata digital india" u="1"/>
        <s v="sbi blue chip fund" u="1"/>
        <s v="nippon india nifty next 50 bees" u="1"/>
        <s v="uti nifty 50" u="1"/>
        <s v="icici blue chip fund" u="1"/>
        <s v="Srishti School Fee Nursary" u="1"/>
        <s v="From Treasury Hanumangarh" u="1"/>
        <s v="from manish rokna" u="1"/>
        <s v="Mutual Fund Sold" u="1"/>
      </sharedItems>
    </cacheField>
    <cacheField name="Remark-2" numFmtId="0">
      <sharedItems containsBlank="1"/>
    </cacheField>
    <cacheField name="FY" numFmtId="0">
      <sharedItems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evisha" refreshedDate="46110.918503356479" createdVersion="7" refreshedVersion="8" minRefreshableVersion="3" recordCount="120" xr:uid="{FBC35E36-5E1E-48B6-805D-47A2C44A922E}">
  <cacheSource type="worksheet">
    <worksheetSource name="Table3"/>
  </cacheSource>
  <cacheFields count="15">
    <cacheField name="S.No" numFmtId="0">
      <sharedItems containsString="0" containsBlank="1" containsNumber="1" containsInteger="1" minValue="1" maxValue="65"/>
    </cacheField>
    <cacheField name="SI Financial Year" numFmtId="0">
      <sharedItems containsBlank="1" count="11">
        <s v="2016-2017"/>
        <s v="2017-2018"/>
        <s v="2018-2019"/>
        <s v="2019-2020"/>
        <s v="2020-2021"/>
        <s v="2021-2022"/>
        <s v="2022-2023"/>
        <s v="2023-2024"/>
        <s v="2024-2025"/>
        <s v="2026-2026"/>
        <m u="1"/>
      </sharedItems>
    </cacheField>
    <cacheField name="Financial _x000a_Year" numFmtId="0">
      <sharedItems containsBlank="1"/>
    </cacheField>
    <cacheField name="Months" numFmtId="0">
      <sharedItems containsBlank="1"/>
    </cacheField>
    <cacheField name="Trans _x000a_Type" numFmtId="0">
      <sharedItems containsBlank="1"/>
    </cacheField>
    <cacheField name="Premium" numFmtId="0">
      <sharedItems containsSemiMixedTypes="0" containsString="0" containsNumber="1" containsInteger="1" minValue="-1100" maxValue="5000"/>
    </cacheField>
    <cacheField name="Incremental _x000a_Premium" numFmtId="0">
      <sharedItems containsBlank="1" containsMixedTypes="1" containsNumber="1" containsInteger="1" minValue="0" maxValue="0"/>
    </cacheField>
    <cacheField name="Arrers" numFmtId="0">
      <sharedItems containsBlank="1" containsMixedTypes="1" containsNumber="1" containsInteger="1" minValue="0" maxValue="0"/>
    </cacheField>
    <cacheField name="Loan _x000a_Installment" numFmtId="0">
      <sharedItems containsBlank="1" containsMixedTypes="1" containsNumber="1" containsInteger="1" minValue="0" maxValue="7242"/>
    </cacheField>
    <cacheField name="Loan _x000a_Interest" numFmtId="0">
      <sharedItems containsBlank="1" containsMixedTypes="1" containsNumber="1" containsInteger="1" minValue="0" maxValue="0"/>
    </cacheField>
    <cacheField name="Misc _x000a_Arrear" numFmtId="0">
      <sharedItems containsBlank="1" containsMixedTypes="1" containsNumber="1" containsInteger="1" minValue="0" maxValue="5000"/>
    </cacheField>
    <cacheField name="Service _x000a_Tax" numFmtId="0">
      <sharedItems containsBlank="1" containsMixedTypes="1" containsNumber="1" containsInteger="1" minValue="0" maxValue="0"/>
    </cacheField>
    <cacheField name="Total Premium" numFmtId="0">
      <sharedItems containsSemiMixedTypes="0" containsString="0" containsNumber="1" containsInteger="1" minValue="-1100" maxValue="12242"/>
    </cacheField>
    <cacheField name="Check Status with ga 55" numFmtId="0">
      <sharedItems/>
    </cacheField>
    <cacheField name="CORRECTION NEED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evisha" refreshedDate="46110.918503703702" createdVersion="7" refreshedVersion="8" minRefreshableVersion="3" recordCount="202" xr:uid="{CFA7D7E0-3E92-465E-A94C-100C470606EC}">
  <cacheSource type="worksheet">
    <worksheetSource name="Table1"/>
  </cacheSource>
  <cacheFields count="29">
    <cacheField name="S. No." numFmtId="0">
      <sharedItems containsSemiMixedTypes="0" containsString="0" containsNumber="1" containsInteger="1" minValue="1" maxValue="202"/>
    </cacheField>
    <cacheField name="Bill No" numFmtId="0">
      <sharedItems containsString="0" containsBlank="1" containsNumber="1" containsInteger="1" minValue="1" maxValue="5045755347"/>
    </cacheField>
    <cacheField name="Bill Date" numFmtId="164">
      <sharedItems containsNonDate="0" containsDate="1" containsString="0" containsBlank="1" minDate="2014-03-13T00:00:00" maxDate="2026-02-27T00:00:00"/>
    </cacheField>
    <cacheField name="TV No" numFmtId="0">
      <sharedItems containsSemiMixedTypes="0" containsString="0" containsNumber="1" containsInteger="1" minValue="268" maxValue="4840915"/>
    </cacheField>
    <cacheField name="TV Date" numFmtId="164">
      <sharedItems containsSemiMixedTypes="0" containsNonDate="0" containsDate="1" containsString="0" minDate="2014-03-15T00:00:00" maxDate="2026-03-03T00:00:00" count="189">
        <d v="2014-03-15T00:00:00"/>
        <d v="2014-04-07T00:00:00"/>
        <d v="2014-05-02T00:00:00"/>
        <d v="2014-07-02T00:00:00"/>
        <d v="2014-08-21T00:00:00"/>
        <d v="2014-08-01T00:00:00"/>
        <d v="2014-09-01T00:00:00"/>
        <d v="2014-10-08T00:00:00"/>
        <d v="2014-11-01T00:00:00"/>
        <d v="2015-03-10T00:00:00"/>
        <d v="2015-01-01T00:00:00"/>
        <d v="2015-02-02T00:00:00"/>
        <d v="2015-03-03T00:00:00"/>
        <d v="2015-04-21T00:00:00"/>
        <d v="2015-05-04T00:00:00"/>
        <d v="2015-10-01T00:00:00"/>
        <d v="2015-08-01T00:00:00"/>
        <d v="2018-09-17T00:00:00"/>
        <d v="2016-01-21T00:00:00"/>
        <d v="2015-12-11T00:00:00"/>
        <d v="2016-03-03T00:00:00"/>
        <d v="2016-02-01T00:00:00"/>
        <d v="2016-03-02T00:00:00"/>
        <d v="2015-10-17T00:00:00"/>
        <d v="2016-03-31T00:00:00"/>
        <d v="2016-04-25T00:00:00"/>
        <d v="2016-05-02T00:00:00"/>
        <d v="2016-06-28T00:00:00"/>
        <d v="2016-07-02T00:00:00"/>
        <d v="2016-08-04T00:00:00"/>
        <d v="2016-09-01T00:00:00"/>
        <d v="2016-10-01T00:00:00"/>
        <d v="2016-10-28T00:00:00"/>
        <d v="2016-12-01T00:00:00"/>
        <d v="2017-01-04T00:00:00"/>
        <d v="2017-02-01T00:00:00"/>
        <d v="2017-03-03T00:00:00"/>
        <d v="2016-09-15T00:00:00"/>
        <d v="2016-10-25T00:00:00"/>
        <d v="2016-11-09T00:00:00"/>
        <d v="2017-03-07T00:00:00"/>
        <d v="2016-12-08T00:00:00"/>
        <d v="2017-04-07T00:00:00"/>
        <d v="2017-05-03T00:00:00"/>
        <d v="2017-06-01T00:00:00"/>
        <d v="2017-07-01T00:00:00"/>
        <d v="2017-08-04T00:00:00"/>
        <d v="2017-09-06T00:00:00"/>
        <d v="2017-10-06T00:00:00"/>
        <d v="2017-11-06T00:00:00"/>
        <d v="2017-12-01T00:00:00"/>
        <d v="2018-01-03T00:00:00"/>
        <d v="2018-02-03T00:00:00"/>
        <d v="2018-03-07T00:00:00"/>
        <d v="2017-04-27T00:00:00"/>
        <d v="2017-10-13T00:00:00"/>
        <d v="2018-02-15T00:00:00"/>
        <d v="2018-03-06T00:00:00"/>
        <d v="2018-04-16T00:00:00"/>
        <d v="2018-05-29T00:00:00"/>
        <d v="2018-06-01T00:00:00"/>
        <d v="2018-07-02T00:00:00"/>
        <d v="2018-08-01T00:00:00"/>
        <d v="2018-09-01T00:00:00"/>
        <d v="2018-10-09T00:00:00"/>
        <d v="2018-11-08T00:00:00"/>
        <d v="2019-01-05T00:00:00"/>
        <d v="2019-02-07T00:00:00"/>
        <d v="2019-03-02T00:00:00"/>
        <d v="2018-04-25T00:00:00"/>
        <d v="2018-11-03T00:00:00"/>
        <d v="2018-10-30T00:00:00"/>
        <d v="2018-05-19T00:00:00"/>
        <d v="2018-07-31T00:00:00"/>
        <d v="2019-01-31T00:00:00"/>
        <d v="2018-11-05T00:00:00"/>
        <d v="2019-04-12T00:00:00"/>
        <d v="2019-05-01T00:00:00"/>
        <d v="2019-06-10T00:00:00"/>
        <d v="2019-07-02T00:00:00"/>
        <d v="2019-08-06T00:00:00"/>
        <d v="2019-09-02T00:00:00"/>
        <d v="2019-10-01T00:00:00"/>
        <d v="2019-11-01T00:00:00"/>
        <d v="2019-12-03T00:00:00"/>
        <d v="2020-01-03T00:00:00"/>
        <d v="2020-02-01T00:00:00"/>
        <d v="2020-03-04T00:00:00"/>
        <d v="2019-05-04T00:00:00"/>
        <d v="2020-02-18T00:00:00"/>
        <d v="2019-10-28T00:00:00"/>
        <d v="2020-04-08T00:00:00"/>
        <d v="2020-05-05T00:00:00"/>
        <d v="2020-06-01T00:00:00"/>
        <d v="2020-07-03T00:00:00"/>
        <d v="2020-08-05T00:00:00"/>
        <d v="2020-09-03T00:00:00"/>
        <d v="2020-10-05T00:00:00"/>
        <d v="2020-11-02T00:00:00"/>
        <d v="2020-12-04T00:00:00"/>
        <d v="2021-01-01T00:00:00"/>
        <d v="2021-02-04T00:00:00"/>
        <d v="2021-03-03T00:00:00"/>
        <d v="2021-03-15T00:00:00"/>
        <d v="2020-05-04T00:00:00"/>
        <d v="2020-09-24T00:00:00"/>
        <d v="2020-11-18T00:00:00"/>
        <d v="2021-04-08T00:00:00"/>
        <d v="2021-05-04T00:00:00"/>
        <d v="2021-06-07T00:00:00"/>
        <d v="2021-07-01T00:00:00"/>
        <d v="2021-07-06T00:00:00"/>
        <d v="2021-08-03T00:00:00"/>
        <d v="2021-08-19T00:00:00"/>
        <d v="2021-09-01T00:00:00"/>
        <d v="2021-10-11T00:00:00"/>
        <d v="2021-11-01T00:00:00"/>
        <d v="2021-12-01T00:00:00"/>
        <d v="2021-12-16T00:00:00"/>
        <d v="2022-01-01T00:00:00"/>
        <d v="2022-02-01T00:00:00"/>
        <d v="2022-03-01T00:00:00"/>
        <d v="2022-04-02T00:00:00"/>
        <d v="2022-05-04T00:00:00"/>
        <d v="2022-05-23T00:00:00"/>
        <d v="2022-06-01T00:00:00"/>
        <d v="2022-07-01T00:00:00"/>
        <d v="2022-06-27T00:00:00"/>
        <d v="2022-08-01T00:00:00"/>
        <d v="2022-09-01T00:00:00"/>
        <d v="2022-10-01T00:00:00"/>
        <d v="2022-10-20T00:00:00"/>
        <d v="2022-11-01T00:00:00"/>
        <d v="2022-12-01T00:00:00"/>
        <d v="2023-01-02T00:00:00"/>
        <d v="2022-12-14T00:00:00"/>
        <d v="2023-01-20T00:00:00"/>
        <d v="2023-02-01T00:00:00"/>
        <d v="2023-03-01T00:00:00"/>
        <d v="2023-04-03T00:00:00"/>
        <d v="2023-05-15T00:00:00"/>
        <d v="2023-06-01T00:00:00"/>
        <d v="2023-07-11T00:00:00"/>
        <d v="2023-07-01T00:00:00"/>
        <d v="2023-08-07T00:00:00"/>
        <d v="2023-08-01T00:00:00"/>
        <d v="2023-09-01T00:00:00"/>
        <d v="2023-08-16T00:00:00"/>
        <d v="2023-10-03T00:00:00"/>
        <d v="2023-11-01T00:00:00"/>
        <d v="2023-11-09T00:00:00"/>
        <d v="2023-12-01T00:00:00"/>
        <d v="2024-01-01T00:00:00"/>
        <d v="2024-02-01T00:00:00"/>
        <d v="2024-01-24T00:00:00"/>
        <d v="2024-03-04T00:00:00"/>
        <d v="2024-04-02T00:00:00"/>
        <d v="2024-05-07T00:00:00"/>
        <d v="2024-05-30T00:00:00"/>
        <d v="2024-06-01T00:00:00"/>
        <d v="2024-07-01T00:00:00"/>
        <d v="2024-08-01T00:00:00"/>
        <d v="2024-09-02T00:00:00"/>
        <d v="2024-10-01T00:00:00"/>
        <d v="2024-10-30T00:00:00"/>
        <d v="2024-10-24T00:00:00"/>
        <d v="2024-11-28T00:00:00"/>
        <d v="2024-12-02T00:00:00"/>
        <d v="2025-01-01T00:00:00"/>
        <d v="2025-02-05T00:00:00"/>
        <d v="2025-03-01T00:00:00"/>
        <d v="2025-04-02T00:00:00"/>
        <d v="2025-04-28T00:00:00"/>
        <d v="2025-05-01T00:00:00"/>
        <d v="2025-05-13T00:00:00"/>
        <d v="2025-06-02T00:00:00"/>
        <d v="2025-07-01T00:00:00"/>
        <d v="2025-08-01T00:00:00"/>
        <d v="2025-09-01T00:00:00"/>
        <d v="2025-09-03T00:00:00"/>
        <d v="2025-10-01T00:00:00"/>
        <d v="2025-10-17T00:00:00"/>
        <d v="2025-11-01T00:00:00"/>
        <d v="2025-12-01T00:00:00"/>
        <d v="2025-11-03T00:00:00"/>
        <d v="2026-01-01T00:00:00"/>
        <d v="2026-02-02T00:00:00"/>
        <d v="2026-03-02T00:00:00"/>
        <d v="2015-01-21T00:00:00" u="1"/>
      </sharedItems>
    </cacheField>
    <cacheField name="FY" numFmtId="0">
      <sharedItems containsBlank="1" count="14">
        <s v="2013-2014"/>
        <s v="2014-2015"/>
        <s v="2015-2016"/>
        <s v="2016-2017"/>
        <s v="2017-2018"/>
        <s v="2018-2019"/>
        <s v="2019-2020"/>
        <s v="2020-2021"/>
        <s v="2021-2022"/>
        <s v="2022-2023"/>
        <s v="2023-2024"/>
        <s v="2024-2025"/>
        <s v="2025-2026"/>
        <m u="1"/>
      </sharedItems>
    </cacheField>
    <cacheField name="Name of month" numFmtId="0">
      <sharedItems containsDate="1" containsBlank="1" containsMixedTypes="1" minDate="2013-09-01T00:00:00" maxDate="2026-02-02T00:00:00" count="183"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s v="Oct-15 Salary Arrer"/>
        <s v="Mar-16 Salary Arrer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s v="Aug-16 Salary Arrer"/>
        <s v="Diwali  Bonus"/>
        <s v="Oct-16 Salary Arrer"/>
        <s v="Surrender Leave"/>
        <s v="DA Arrer July to November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s v="Salary Arrer Jan to March"/>
        <s v="Surrender Leave Arrer"/>
        <s v="Salary Arrer Jul to Sep"/>
        <s v="Salary Arrer from Oct to Dec (7th Pay Comm)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s v="DA Salary Arrer Jul to Sep"/>
        <s v="Salary Arrer (7th Pay Comm 2nd Installment)"/>
        <s v="Salary Arrer (7th Pay Comm 3rd Installment)"/>
        <s v="Salary Arrer (7th Pay Comm 4th Installment)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s v="DA Arrer Jan to Feb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s v="DA Arrer"/>
        <d v="2021-03-01T00:00:00"/>
        <d v="2021-04-01T00:00:00"/>
        <d v="2021-05-01T00:00:00"/>
        <d v="2021-06-01T00:00:00"/>
        <d v="2021-07-01T00:00:00"/>
        <s v="Salary Arrer  Aug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s v="DA arrer jan to march"/>
        <d v="2022-07-01T00:00:00"/>
        <d v="2022-08-01T00:00:00"/>
        <d v="2022-09-01T00:00:00"/>
        <d v="2022-10-01T00:00:00"/>
        <d v="2022-11-01T00:00:00"/>
        <d v="2022-12-01T00:00:00"/>
        <s v="Salary Arrer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s v="DA Arrer (Jan to Mar 2023) (Da rate 38 to 42%)"/>
        <d v="2023-09-01T00:00:00"/>
        <d v="2023-10-01T00:00:00"/>
        <d v="2023-11-01T00:00:00"/>
        <d v="2023-12-01T00:00:00"/>
        <d v="2024-01-01T00:00:00"/>
        <s v="DA Arrer (jul to oct 2023) (Da rate 42 to 46%)"/>
        <d v="2024-02-01T00:00:00"/>
        <d v="2024-03-01T00:00:00"/>
        <d v="2024-04-01T00:00:00"/>
        <s v="DA Arrer (Jan to Feb 2024) (DA rate 46 to 50%)"/>
        <d v="2024-05-01T00:00:00"/>
        <d v="2024-06-01T00:00:00"/>
        <d v="2024-07-01T00:00:00"/>
        <d v="2024-08-01T00:00:00"/>
        <d v="2024-09-01T00:00:00"/>
        <d v="2024-10-01T00:00:00"/>
        <s v="DA Arrer (Jul toAug 2024) (DA rate 50 to 53%)"/>
        <d v="2024-11-01T00:00:00"/>
        <d v="2024-12-01T00:00:00"/>
        <d v="2025-01-01T00:00:00"/>
        <d v="2025-02-01T00:00:00"/>
        <d v="2025-03-01T00:00:00"/>
        <s v="DA Arrer (Jan to Mar 2025) (DA rate 53 to 55%)"/>
        <d v="2025-04-01T00:00:00"/>
        <s v="SI Loan"/>
        <d v="2025-05-01T00:00:00"/>
        <d v="2025-06-01T00:00:00"/>
        <d v="2025-07-01T00:00:00"/>
        <d v="2025-08-01T00:00:00"/>
        <d v="2025-09-01T00:00:00"/>
        <d v="2025-10-01T00:00:00"/>
        <d v="2025-11-01T00:00:00"/>
        <s v="DA Arrer (Jul to Sep 2025) (DA rate 55 to 58%)"/>
        <d v="2025-12-01T00:00:00"/>
        <d v="2026-01-01T00:00:00"/>
        <d v="2026-02-01T00:00:00"/>
        <m u="1"/>
        <s v="DA Arrer (Jul toAug 2024) (DA rate 53 to 55%)" u="1"/>
        <s v="Da Arrier check krna hai" u="1"/>
        <s v="Surrender Bill (15 days)" u="1"/>
        <s v="Salary" u="1"/>
        <s v="DA" u="1"/>
      </sharedItems>
    </cacheField>
    <cacheField name=" Pay" numFmtId="0">
      <sharedItems containsString="0" containsBlank="1" containsNumber="1" containsInteger="1" minValue="340" maxValue="63241"/>
    </cacheField>
    <cacheField name="DA" numFmtId="0">
      <sharedItems containsString="0" containsBlank="1" containsNumber="1" containsInteger="1" minValue="-55281" maxValue="29685"/>
    </cacheField>
    <cacheField name="HRA" numFmtId="0">
      <sharedItems containsString="0" containsBlank="1" containsNumber="1" containsInteger="1" minValue="34" maxValue="7600"/>
    </cacheField>
    <cacheField name="ROP" numFmtId="0">
      <sharedItems containsString="0" containsBlank="1" containsNumber="1" containsInteger="1" minValue="-1452" maxValue="-1452"/>
    </cacheField>
    <cacheField name="Bonus" numFmtId="0">
      <sharedItems containsString="0" containsBlank="1" containsNumber="1" containsInteger="1" minValue="3387" maxValue="6774"/>
    </cacheField>
    <cacheField name="PL Arrer" numFmtId="0">
      <sharedItems containsString="0" containsBlank="1" containsNumber="1" containsInteger="1" minValue="287" maxValue="287"/>
    </cacheField>
    <cacheField name="SI Loan" numFmtId="0">
      <sharedItems containsString="0" containsBlank="1" containsNumber="1" containsInteger="1" minValue="434500" maxValue="434500"/>
    </cacheField>
    <cacheField name="CCA" numFmtId="0">
      <sharedItems containsString="0" containsBlank="1" containsNumber="1" containsInteger="1" minValue="839" maxValue="1000"/>
    </cacheField>
    <cacheField name="Gross Amount" numFmtId="0">
      <sharedItems containsSemiMixedTypes="0" containsString="0" containsNumber="1" containsInteger="1" minValue="230" maxValue="434500"/>
    </cacheField>
    <cacheField name="SI" numFmtId="0">
      <sharedItems containsString="0" containsBlank="1" containsNumber="1" containsInteger="1" minValue="1100" maxValue="10000"/>
    </cacheField>
    <cacheField name="SI Loan  EMI" numFmtId="0">
      <sharedItems containsString="0" containsBlank="1" containsNumber="1" containsInteger="1" minValue="7242" maxValue="7242"/>
    </cacheField>
    <cacheField name="NPS" numFmtId="0">
      <sharedItems containsString="0" containsBlank="1" containsNumber="1" containsInteger="1" minValue="77" maxValue="5463"/>
    </cacheField>
    <cacheField name="GIS" numFmtId="0">
      <sharedItems containsString="0" containsBlank="1" containsNumber="1" containsInteger="1" minValue="220" maxValue="2100"/>
    </cacheField>
    <cacheField name="GIS Tax" numFmtId="0">
      <sharedItems containsString="0" containsBlank="1" containsNumber="1" minValue="27.19" maxValue="33"/>
    </cacheField>
    <cacheField name="H.F.R.F." numFmtId="0">
      <sharedItems containsString="0" containsBlank="1" containsNumber="1" containsInteger="1" minValue="269" maxValue="269"/>
    </cacheField>
    <cacheField name="C M FUND" numFmtId="0">
      <sharedItems containsString="0" containsBlank="1" containsNumber="1" containsInteger="1" minValue="1266" maxValue="1968"/>
    </cacheField>
    <cacheField name="GPF 2004" numFmtId="0">
      <sharedItems containsString="0" containsBlank="1" containsNumber="1" containsInteger="1" minValue="14" maxValue="5728"/>
    </cacheField>
    <cacheField name="RGHS" numFmtId="0">
      <sharedItems containsString="0" containsBlank="1" containsNumber="1" containsInteger="1" minValue="220" maxValue="660"/>
    </cacheField>
    <cacheField name="Itax" numFmtId="0">
      <sharedItems containsString="0" containsBlank="1" containsNumber="1" containsInteger="1" minValue="2000" maxValue="2500"/>
    </cacheField>
    <cacheField name="Total Deduction" numFmtId="0">
      <sharedItems containsSemiMixedTypes="0" containsString="0" containsNumber="1" minValue="0" maxValue="15000"/>
    </cacheField>
    <cacheField name="Net. Payable Amount" numFmtId="0">
      <sharedItems containsSemiMixedTypes="0" containsString="0" containsNumber="1" minValue="0" maxValue="434500"/>
    </cacheField>
    <cacheField name="remar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evisha" refreshedDate="46110.918505208334" createdVersion="8" refreshedVersion="8" minRefreshableVersion="3" recordCount="235" xr:uid="{FDF73F53-2FC4-4C63-A456-9964DD4F4448}">
  <cacheSource type="worksheet">
    <worksheetSource ref="A3:R1048576" sheet="GPF"/>
  </cacheSource>
  <cacheFields count="18">
    <cacheField name="S. No." numFmtId="0">
      <sharedItems containsBlank="1" containsMixedTypes="1" containsNumber="1" containsInteger="1" minValue="119" maxValue="202"/>
    </cacheField>
    <cacheField name="Bill No" numFmtId="0">
      <sharedItems containsBlank="1" containsMixedTypes="1" containsNumber="1" containsInteger="1" minValue="23" maxValue="5045755347"/>
    </cacheField>
    <cacheField name="Bill Date" numFmtId="0">
      <sharedItems containsDate="1" containsBlank="1" containsMixedTypes="1" minDate="2020-11-13T00:00:00" maxDate="2026-02-27T00:00:00"/>
    </cacheField>
    <cacheField name="TV No" numFmtId="0">
      <sharedItems containsBlank="1" containsMixedTypes="1" containsNumber="1" containsInteger="1" minValue="763" maxValue="4840915"/>
    </cacheField>
    <cacheField name="TV Date" numFmtId="0">
      <sharedItems containsDate="1" containsBlank="1" containsMixedTypes="1" minDate="2020-11-18T00:00:00" maxDate="2026-03-03T00:00:00"/>
    </cacheField>
    <cacheField name="M" numFmtId="0">
      <sharedItems containsBlank="1" count="13">
        <s v="Apr"/>
        <s v="May"/>
        <s v="Jun"/>
        <s v="Jul"/>
        <s v="Aug"/>
        <s v="Sep"/>
        <s v="Oct"/>
        <s v="Nov"/>
        <s v="Dec"/>
        <s v="Jan"/>
        <s v="Feb"/>
        <s v="Mar"/>
        <m/>
      </sharedItems>
    </cacheField>
    <cacheField name="FY" numFmtId="0">
      <sharedItems containsBlank="1" count="19">
        <s v="2012-2013"/>
        <s v="2013-2014"/>
        <s v="2014-2015"/>
        <s v="2015-2016"/>
        <s v="2016-2017"/>
        <s v="2017-2018"/>
        <s v="2018-2019"/>
        <s v="2019-2020"/>
        <s v="2020-2021"/>
        <s v="2021-2022"/>
        <s v="2022-2023"/>
        <s v="2023-2024"/>
        <s v="2024-2025"/>
        <s v="2025-2026"/>
        <s v="2026-2027"/>
        <s v="2027-2028"/>
        <s v="2028-2029"/>
        <s v="2029-2030"/>
        <m/>
      </sharedItems>
    </cacheField>
    <cacheField name="Month" numFmtId="0">
      <sharedItems containsBlank="1"/>
    </cacheField>
    <cacheField name="GPF_x000a_Deduction" numFmtId="0">
      <sharedItems containsString="0" containsBlank="1" containsNumber="1" containsInteger="1" minValue="0" maxValue="25200"/>
    </cacheField>
    <cacheField name="DA_x000a_Arrears" numFmtId="0">
      <sharedItems containsString="0" containsBlank="1" containsNumber="1" containsInteger="1" minValue="0" maxValue="9904"/>
    </cacheField>
    <cacheField name="Withdrawl_x000a_/Claim" numFmtId="0">
      <sharedItems containsString="0" containsBlank="1" containsNumber="1" containsInteger="1" minValue="0" maxValue="0"/>
    </cacheField>
    <cacheField name="Withdrawl_x000a_Repayment" numFmtId="0">
      <sharedItems containsString="0" containsBlank="1" containsNumber="1" containsInteger="1" minValue="0" maxValue="0"/>
    </cacheField>
    <cacheField name="Other_x000a_Arrears" numFmtId="0">
      <sharedItems containsString="0" containsBlank="1" containsNumber="1" containsInteger="1" minValue="0" maxValue="5081"/>
    </cacheField>
    <cacheField name="Total" numFmtId="0">
      <sharedItems containsString="0" containsBlank="1" containsNumber="1" containsInteger="1" minValue="0" maxValue="36798"/>
    </cacheField>
    <cacheField name="New_x000a_Balance" numFmtId="0">
      <sharedItems containsString="0" containsBlank="1" containsNumber="1" minValue="0" maxValue="225562.72075499425"/>
    </cacheField>
    <cacheField name="Interest_x000a_Rate" numFmtId="10">
      <sharedItems containsString="0" containsBlank="1" containsNumber="1" minValue="7.0999999999999994E-2" maxValue="8.7999999999999995E-2" count="9">
        <n v="8.7999999999999995E-2"/>
        <m/>
        <n v="8.6999999999999994E-2"/>
        <n v="8.1000000000000003E-2"/>
        <n v="0.08"/>
        <n v="7.9000000000000001E-2"/>
        <n v="7.8E-2"/>
        <n v="7.5999999999999998E-2"/>
        <n v="7.0999999999999994E-2"/>
      </sharedItems>
    </cacheField>
    <cacheField name="Interest" numFmtId="0">
      <sharedItems containsString="0" containsBlank="1" containsNumber="1" minValue="0" maxValue="14953.27093707245"/>
    </cacheField>
    <cacheField name="Remar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evisha" refreshedDate="46110.918505787035" createdVersion="8" refreshedVersion="8" minRefreshableVersion="3" recordCount="7" xr:uid="{EB85C35C-8782-4476-AC91-CAB89B43B483}">
  <cacheSource type="worksheet">
    <worksheetSource ref="A54:I61" sheet="Leave Balance"/>
  </cacheSource>
  <cacheFields count="9">
    <cacheField name="Leave Type" numFmtId="0">
      <sharedItems count="1">
        <s v="Medical"/>
      </sharedItems>
    </cacheField>
    <cacheField name="Leave Earned / Cash Payment or Deductable PL" numFmtId="0">
      <sharedItems count="1">
        <s v="Leave Earned"/>
      </sharedItems>
    </cacheField>
    <cacheField name="Year" numFmtId="0">
      <sharedItems containsNonDate="0" containsString="0" containsBlank="1"/>
    </cacheField>
    <cacheField name="From" numFmtId="14">
      <sharedItems containsSemiMixedTypes="0" containsNonDate="0" containsDate="1" containsString="0" minDate="2015-09-24T00:00:00" maxDate="2021-09-25T00:00:00"/>
    </cacheField>
    <cacheField name="To" numFmtId="14">
      <sharedItems containsSemiMixedTypes="0" containsNonDate="0" containsDate="1" containsString="0" minDate="2016-09-23T00:00:00" maxDate="2022-09-24T00:00:00"/>
    </cacheField>
    <cacheField name="No of Days/ Months" numFmtId="0">
      <sharedItems/>
    </cacheField>
    <cacheField name="Leave Earned / Cash Payment or Deductable PL2" numFmtId="0">
      <sharedItems containsSemiMixedTypes="0" containsString="0" containsNumber="1" containsInteger="1" minValue="20" maxValue="20"/>
    </cacheField>
    <cacheField name="Balance on retrun from leave column" numFmtId="0">
      <sharedItems containsSemiMixedTypes="0" containsString="0" containsNumber="1" containsInteger="1" minValue="20" maxValue="140"/>
    </cacheField>
    <cacheField name="Remark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evisha" refreshedDate="46110.918506134258" createdVersion="8" refreshedVersion="8" minRefreshableVersion="3" recordCount="35" xr:uid="{0D7E1A16-773D-4CD6-B5FD-BBD9E9DF828B}">
  <cacheSource type="worksheet">
    <worksheetSource name="Table11"/>
  </cacheSource>
  <cacheFields count="10">
    <cacheField name="Leave Type" numFmtId="0">
      <sharedItems containsBlank="1" count="2">
        <s v="PL"/>
        <m u="1"/>
      </sharedItems>
    </cacheField>
    <cacheField name="Leave Earned / Cash Payment or Deductable PL" numFmtId="0">
      <sharedItems containsBlank="1" count="6">
        <s v="Leave Earned"/>
        <s v="Payment"/>
        <s v="Deductable"/>
        <m u="1"/>
        <s v="Dedutable" u="1"/>
        <s v="Leve Earned" u="1"/>
      </sharedItems>
    </cacheField>
    <cacheField name="Year" numFmtId="0">
      <sharedItems containsSemiMixedTypes="0" containsString="0" containsNumber="1" containsInteger="1" minValue="2015" maxValue="2025"/>
    </cacheField>
    <cacheField name="From" numFmtId="0">
      <sharedItems containsNonDate="0" containsDate="1" containsString="0" containsBlank="1" minDate="2015-09-24T00:00:00" maxDate="2025-11-25T00:00:00"/>
    </cacheField>
    <cacheField name="To" numFmtId="0">
      <sharedItems containsNonDate="0" containsDate="1" containsString="0" containsBlank="1" minDate="2015-12-31T00:00:00" maxDate="2026-01-01T00:00:00"/>
    </cacheField>
    <cacheField name="No of Days/ Months" numFmtId="0">
      <sharedItems containsBlank="1"/>
    </cacheField>
    <cacheField name="Leave Earned / Cash Payment or Deductable PL2" numFmtId="0">
      <sharedItems containsSemiMixedTypes="0" containsString="0" containsNumber="1" containsInteger="1" minValue="-15" maxValue="15"/>
    </cacheField>
    <cacheField name="Balance on retrun from leave column" numFmtId="0">
      <sharedItems containsSemiMixedTypes="0" containsString="0" containsNumber="1" containsInteger="1" minValue="8" maxValue="186"/>
    </cacheField>
    <cacheField name="Remark" numFmtId="0">
      <sharedItems containsBlank="1"/>
    </cacheField>
    <cacheField name="matched with service boo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evisha" refreshedDate="46110.918506365742" createdVersion="7" refreshedVersion="8" minRefreshableVersion="3" recordCount="92" xr:uid="{333F0F09-4CEB-470C-9957-D671D605FA8F}">
  <cacheSource type="worksheet">
    <worksheetSource name="Table4"/>
  </cacheSource>
  <cacheFields count="10">
    <cacheField name="S.No" numFmtId="0">
      <sharedItems containsString="0" containsBlank="1" containsNumber="1" containsInteger="1" minValue="1" maxValue="88"/>
    </cacheField>
    <cacheField name="SI FY" numFmtId="0">
      <sharedItems containsBlank="1" count="9">
        <s v="2015-2016"/>
        <s v="2016-2017"/>
        <s v="2017-2018"/>
        <s v="2018-2019"/>
        <s v="2019-2020"/>
        <s v="2020-2021"/>
        <s v="2021-2022"/>
        <s v="2022-2023"/>
        <m u="1"/>
      </sharedItems>
    </cacheField>
    <cacheField name="Month" numFmtId="0">
      <sharedItems containsBlank="1"/>
    </cacheField>
    <cacheField name="TVNO" numFmtId="0">
      <sharedItems containsString="0" containsBlank="1" containsNumber="1" containsInteger="1" minValue="291" maxValue="89654"/>
    </cacheField>
    <cacheField name="Office Name" numFmtId="0">
      <sharedItems containsBlank="1"/>
    </cacheField>
    <cacheField name="Employee Contribution" numFmtId="0">
      <sharedItems containsString="0" containsBlank="1" containsNumber="1" containsInteger="1" minValue="77" maxValue="5463"/>
    </cacheField>
    <cacheField name="Employer Contribution" numFmtId="0">
      <sharedItems containsString="0" containsBlank="1" containsNumber="1" containsInteger="1" minValue="77" maxValue="5463"/>
    </cacheField>
    <cacheField name="Total" numFmtId="0">
      <sharedItems containsString="0" containsBlank="1" containsNumber="1" containsInteger="1" minValue="154" maxValue="10926"/>
    </cacheField>
    <cacheField name="Check Status with ga 55" numFmtId="0">
      <sharedItems/>
    </cacheField>
    <cacheField name="CORRECTION NEED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evisha" refreshedDate="46110.91850659722" createdVersion="8" refreshedVersion="8" minRefreshableVersion="3" recordCount="7" xr:uid="{D0D682A6-92CB-40C8-88CE-CC4A8040D5BB}">
  <cacheSource type="worksheet">
    <worksheetSource name="Table8"/>
  </cacheSource>
  <cacheFields count="15">
    <cacheField name="FY" numFmtId="0">
      <sharedItems containsBlank="1" count="2">
        <s v="2025-2026"/>
        <m/>
      </sharedItems>
    </cacheField>
    <cacheField name="Type" numFmtId="0">
      <sharedItems containsBlank="1"/>
    </cacheField>
    <cacheField name="S No." numFmtId="0">
      <sharedItems containsString="0" containsBlank="1" containsNumber="1" containsInteger="1" minValue="1" maxValue="5"/>
    </cacheField>
    <cacheField name="Hospital Name" numFmtId="0">
      <sharedItems containsBlank="1"/>
    </cacheField>
    <cacheField name="Patient Name" numFmtId="0">
      <sharedItems containsBlank="1"/>
    </cacheField>
    <cacheField name="Enrollment Id" numFmtId="0">
      <sharedItems containsBlank="1"/>
    </cacheField>
    <cacheField name="Transaction ID/ Reimbursement ID" numFmtId="49">
      <sharedItems containsBlank="1"/>
    </cacheField>
    <cacheField name="Relation" numFmtId="0">
      <sharedItems containsBlank="1"/>
    </cacheField>
    <cacheField name="Gender" numFmtId="0">
      <sharedItems containsBlank="1"/>
    </cacheField>
    <cacheField name="TID/ Rem ID Creation Date" numFmtId="14">
      <sharedItems containsNonDate="0" containsDate="1" containsString="0" containsBlank="1" minDate="2025-06-21T00:00:00" maxDate="2026-01-18T00:00:00"/>
    </cacheField>
    <cacheField name="Admission Type" numFmtId="0">
      <sharedItems containsBlank="1"/>
    </cacheField>
    <cacheField name="Treatment Type" numFmtId="0">
      <sharedItems containsBlank="1"/>
    </cacheField>
    <cacheField name="Admission Date" numFmtId="14">
      <sharedItems containsNonDate="0" containsDate="1" containsString="0" containsBlank="1" minDate="2025-06-21T00:00:00" maxDate="2026-01-18T00:00:00"/>
    </cacheField>
    <cacheField name="Discharge Date" numFmtId="14">
      <sharedItems containsNonDate="0" containsDate="1" containsString="0" containsBlank="1" minDate="2025-06-21T00:00:00" maxDate="2026-01-18T00:00:00"/>
    </cacheField>
    <cacheField name="Hospital/ Beneficiary Claim Amount" numFmtId="0">
      <sharedItems containsString="0" containsBlank="1" containsNumber="1" containsInteger="1" minValue="1786" maxValue="59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evisha" refreshedDate="46110.918506944443" createdVersion="7" refreshedVersion="8" minRefreshableVersion="3" recordCount="373" xr:uid="{8EED3988-539E-4FF2-B1B6-659993AB563F}">
  <cacheSource type="worksheet">
    <worksheetSource name="Table6"/>
  </cacheSource>
  <cacheFields count="14">
    <cacheField name="FY" numFmtId="0">
      <sharedItems containsBlank="1" count="11">
        <s v="2016-2017"/>
        <s v="2017-2018"/>
        <s v="2018-2019"/>
        <s v="2019-2020"/>
        <s v="2020-2021"/>
        <s v="2021-2022"/>
        <s v="2022-2023"/>
        <s v="2023-2024"/>
        <s v="2024-2025"/>
        <s v="2025-2026"/>
        <m/>
      </sharedItems>
    </cacheField>
    <cacheField name="Month" numFmtId="0">
      <sharedItems containsDate="1" containsMixedTypes="1" minDate="2016-03-01T00:00:00" maxDate="2047-02-02T00:00:00"/>
    </cacheField>
    <cacheField name="Sr.No" numFmtId="0">
      <sharedItems containsString="0" containsBlank="1" containsNumber="1" containsInteger="1" minValue="1" maxValue="3"/>
    </cacheField>
    <cacheField name="Salary Date" numFmtId="0">
      <sharedItems containsNonDate="0" containsDate="1" containsString="0" containsBlank="1" minDate="2016-03-01T00:00:00" maxDate="2026-02-02T00:00:00"/>
    </cacheField>
    <cacheField name="Encashment Date" numFmtId="0">
      <sharedItems containsNonDate="0" containsDate="1" containsString="0" containsBlank="1" minDate="2016-04-25T00:00:00" maxDate="2026-03-03T00:00:00"/>
    </cacheField>
    <cacheField name="TV No" numFmtId="0">
      <sharedItems containsString="0" containsBlank="1" containsNumber="1" containsInteger="1" minValue="727" maxValue="4840915"/>
    </cacheField>
    <cacheField name="Total Premium" numFmtId="0">
      <sharedItems containsString="0" containsBlank="1" containsNumber="1" containsInteger="1" minValue="1100" maxValue="434500"/>
    </cacheField>
    <cacheField name="Transaction Type" numFmtId="0">
      <sharedItems containsBlank="1"/>
    </cacheField>
    <cacheField name="UNIT" numFmtId="0">
      <sharedItems containsBlank="1"/>
    </cacheField>
    <cacheField name="DDO" numFmtId="0">
      <sharedItems containsBlank="1"/>
    </cacheField>
    <cacheField name="Office" numFmtId="0">
      <sharedItems containsBlank="1"/>
    </cacheField>
    <cacheField name="TV month or Encashment Month" numFmtId="0">
      <sharedItems count="12">
        <s v="Apr"/>
        <s v="May"/>
        <s v="Jun"/>
        <s v="Jul"/>
        <s v="Aug"/>
        <s v="Sep"/>
        <s v="Oct"/>
        <s v="Dec"/>
        <s v="Jan"/>
        <s v="Feb"/>
        <s v="Mar"/>
        <s v="Nov"/>
      </sharedItems>
    </cacheField>
    <cacheField name="TV year or Encashment Year" numFmtId="0">
      <sharedItems/>
    </cacheField>
    <cacheField name="remar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evisha" refreshedDate="46110.918507291666" createdVersion="7" refreshedVersion="8" minRefreshableVersion="3" recordCount="121" xr:uid="{2DC959C7-FF04-4869-AF25-7C11CB672F99}">
  <cacheSource type="worksheet">
    <worksheetSource name="Table2"/>
  </cacheSource>
  <cacheFields count="21">
    <cacheField name="FY" numFmtId="0">
      <sharedItems count="10">
        <s v="2016-2017"/>
        <s v="2017-2018"/>
        <s v="2018-2019"/>
        <s v="2019-2020"/>
        <s v="2020-2021"/>
        <s v="2021-2022"/>
        <s v="2022-2023"/>
        <s v="2023-2024"/>
        <s v="2024-2025"/>
        <s v="2025-2026"/>
      </sharedItems>
    </cacheField>
    <cacheField name="Month" numFmtId="0">
      <sharedItems containsSemiMixedTypes="0" containsNonDate="0" containsDate="1" containsString="0" minDate="2016-03-01T00:00:00" maxDate="2026-02-02T00:00:00"/>
    </cacheField>
    <cacheField name="Salary Month" numFmtId="0">
      <sharedItems containsString="0" containsBlank="1" containsNumber="1" containsInteger="1" minValue="201604" maxValue="202603"/>
    </cacheField>
    <cacheField name="Transaction Mode" numFmtId="0">
      <sharedItems/>
    </cacheField>
    <cacheField name="Premium Usual" numFmtId="0">
      <sharedItems containsSemiMixedTypes="0" containsString="0" containsNumber="1" containsInteger="1" minValue="0" maxValue="10000"/>
    </cacheField>
    <cacheField name="Incremental Premium" numFmtId="0">
      <sharedItems containsSemiMixedTypes="0" containsString="0" containsNumber="1" containsInteger="1" minValue="0" maxValue="0"/>
    </cacheField>
    <cacheField name="Arrear Usual" numFmtId="0">
      <sharedItems containsSemiMixedTypes="0" containsString="0" containsNumber="1" containsInteger="1" minValue="0" maxValue="5000"/>
    </cacheField>
    <cacheField name="Loan Installment" numFmtId="0">
      <sharedItems containsSemiMixedTypes="0" containsString="0" containsNumber="1" containsInteger="1" minValue="0" maxValue="7242"/>
    </cacheField>
    <cacheField name="Loan Interest" numFmtId="0">
      <sharedItems containsSemiMixedTypes="0" containsString="0" containsNumber="1" containsInteger="1" minValue="0" maxValue="0"/>
    </cacheField>
    <cacheField name="Service Tax" numFmtId="0">
      <sharedItems containsSemiMixedTypes="0" containsString="0" containsNumber="1" containsInteger="1" minValue="0" maxValue="0"/>
    </cacheField>
    <cacheField name="Recovery Amount" numFmtId="0">
      <sharedItems containsSemiMixedTypes="0" containsString="0" containsNumber="1" containsInteger="1" minValue="0" maxValue="0"/>
    </cacheField>
    <cacheField name="Total Premium" numFmtId="0">
      <sharedItems containsSemiMixedTypes="0" containsString="0" containsNumber="1" containsInteger="1" minValue="0" maxValue="12242"/>
    </cacheField>
    <cacheField name="Loan" numFmtId="0">
      <sharedItems containsSemiMixedTypes="0" containsString="0" containsNumber="1" containsInteger="1" minValue="0" maxValue="434500"/>
    </cacheField>
    <cacheField name="Claim" numFmtId="0">
      <sharedItems containsSemiMixedTypes="0" containsString="0" containsNumber="1" containsInteger="1" minValue="0" maxValue="0"/>
    </cacheField>
    <cacheField name="Refund" numFmtId="0">
      <sharedItems containsSemiMixedTypes="0" containsString="0" containsNumber="1" containsInteger="1" minValue="0" maxValue="0"/>
    </cacheField>
    <cacheField name="Check Status with ga 55" numFmtId="0">
      <sharedItems containsBlank="1"/>
    </cacheField>
    <cacheField name="CORRECTION NEEDED" numFmtId="0">
      <sharedItems containsSemiMixedTypes="0" containsString="0" containsNumber="1" containsInteger="1" minValue="0" maxValue="1"/>
    </cacheField>
    <cacheField name="TV month or Encashment Month and year" numFmtId="168">
      <sharedItems/>
    </cacheField>
    <cacheField name="TV month or Encashment Month" numFmtId="168">
      <sharedItems containsBlank="1" count="14">
        <s v="Oct"/>
        <s v="Apr"/>
        <s v="May"/>
        <s v="Jun"/>
        <s v="Jul"/>
        <s v="Aug"/>
        <s v="Sep"/>
        <s v=""/>
        <s v="Dec"/>
        <s v="Jan"/>
        <s v="Feb"/>
        <s v="Mar"/>
        <s v="Nov"/>
        <m u="1"/>
      </sharedItems>
    </cacheField>
    <cacheField name="TV year or Encashment Year" numFmtId="168">
      <sharedItems/>
    </cacheField>
    <cacheField name="Total (automatic)" numFmtId="0">
      <sharedItems containsSemiMixedTypes="0" containsString="0" containsNumber="1" containsInteger="1" minValue="0" maxValue="434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evisha" refreshedDate="46110.918507870367" createdVersion="8" refreshedVersion="8" minRefreshableVersion="3" recordCount="129" xr:uid="{15D15B75-61D8-41FE-810C-979601AB0A90}">
  <cacheSource type="worksheet">
    <worksheetSource name="Table7"/>
  </cacheSource>
  <cacheFields count="9">
    <cacheField name="FY" numFmtId="0">
      <sharedItems containsBlank="1" count="6">
        <s v="2021-2022"/>
        <s v="2022-2023"/>
        <s v="2023-2024"/>
        <s v="2024-2025"/>
        <s v="2025-2026"/>
        <m u="1"/>
      </sharedItems>
    </cacheField>
    <cacheField name="Type" numFmtId="0">
      <sharedItems/>
    </cacheField>
    <cacheField name="S No." numFmtId="0">
      <sharedItems containsSemiMixedTypes="0" containsString="0" containsNumber="1" containsInteger="1" minValue="1" maxValue="129"/>
    </cacheField>
    <cacheField name="Type Of Service" numFmtId="0">
      <sharedItems/>
    </cacheField>
    <cacheField name="New Transaction ID / _x000a_Reimbursement ID" numFmtId="0">
      <sharedItems/>
    </cacheField>
    <cacheField name="TID/ Rem ID Creation Date" numFmtId="169">
      <sharedItems containsSemiMixedTypes="0" containsNonDate="0" containsDate="1" containsString="0" minDate="2022-01-21T00:00:00" maxDate="2026-02-15T00:00:00"/>
    </cacheField>
    <cacheField name="Hospital/Pharmacy Name" numFmtId="0">
      <sharedItems/>
    </cacheField>
    <cacheField name="Claim Amount" numFmtId="0">
      <sharedItems containsSemiMixedTypes="0" containsString="0" containsNumber="1" minValue="0" maxValue="10006"/>
    </cacheField>
    <cacheField name="Transaction ID / _x000a_Reimbursement ID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29">
  <r>
    <x v="0"/>
    <m/>
    <m/>
    <s v="1000 ki statements nhi hai_x000a_or txn date vese dali hui hai_x000a_kyn k fy shi dikhaye"/>
    <m/>
    <n v="1000"/>
    <n v="1000"/>
    <s v="Cheque Encashment"/>
    <m/>
    <x v="0"/>
    <m/>
    <s v="2013-2014"/>
    <s v="CHECKED"/>
  </r>
  <r>
    <x v="1"/>
    <d v="2013-12-27T00:00:00"/>
    <s v="SMS Charges for quarter oct-dec 2013"/>
    <m/>
    <n v="15"/>
    <m/>
    <n v="985"/>
    <s v="Bank Charges"/>
    <m/>
    <x v="1"/>
    <m/>
    <s v="2013-2014"/>
    <s v="CHECKED"/>
  </r>
  <r>
    <x v="2"/>
    <d v="2013-12-31T00:00:00"/>
    <s v="Credit Interest"/>
    <m/>
    <m/>
    <n v="4"/>
    <n v="989"/>
    <s v="Credit Interest"/>
    <m/>
    <x v="0"/>
    <m/>
    <s v="2013-2014"/>
    <s v="CHECKED"/>
  </r>
  <r>
    <x v="2"/>
    <d v="2013-12-31T00:00:00"/>
    <s v="Min Bal Charges"/>
    <m/>
    <n v="300"/>
    <m/>
    <n v="689"/>
    <s v="Bank Charges"/>
    <m/>
    <x v="2"/>
    <m/>
    <s v="2013-2014"/>
    <s v="CHECKED"/>
  </r>
  <r>
    <x v="3"/>
    <d v="2014-01-08T00:00:00"/>
    <s v="Cash Deposit Self"/>
    <m/>
    <m/>
    <n v="500"/>
    <n v="1189"/>
    <s v="Cash Deposit"/>
    <m/>
    <x v="0"/>
    <m/>
    <s v="2013-2014"/>
    <s v="CHECKED"/>
  </r>
  <r>
    <x v="4"/>
    <d v="2014-03-15T00:00:00"/>
    <s v="Salary"/>
    <m/>
    <m/>
    <n v="8950"/>
    <n v="10139"/>
    <s v="Salary"/>
    <m/>
    <x v="0"/>
    <m/>
    <s v="2013-2014"/>
    <s v="CHECKED"/>
  </r>
  <r>
    <x v="4"/>
    <d v="2014-03-15T00:00:00"/>
    <s v="Salary"/>
    <m/>
    <m/>
    <n v="8950"/>
    <n v="19089"/>
    <s v="Salary"/>
    <m/>
    <x v="0"/>
    <m/>
    <s v="2013-2014"/>
    <s v="CHECKED"/>
  </r>
  <r>
    <x v="4"/>
    <d v="2014-03-15T00:00:00"/>
    <s v="Salary"/>
    <m/>
    <m/>
    <n v="2088"/>
    <n v="21177"/>
    <s v="Salary"/>
    <m/>
    <x v="0"/>
    <m/>
    <s v="2013-2014"/>
    <s v="CHECKED"/>
  </r>
  <r>
    <x v="4"/>
    <d v="2014-03-15T00:00:00"/>
    <s v="Salary"/>
    <m/>
    <m/>
    <n v="8950"/>
    <n v="30127"/>
    <s v="Salary"/>
    <m/>
    <x v="0"/>
    <m/>
    <s v="2013-2014"/>
    <s v="CHECKED"/>
  </r>
  <r>
    <x v="4"/>
    <d v="2014-03-15T00:00:00"/>
    <s v="Salary"/>
    <m/>
    <m/>
    <n v="8950"/>
    <n v="39077"/>
    <s v="Salary"/>
    <m/>
    <x v="0"/>
    <m/>
    <s v="2013-2014"/>
    <s v="CHECKED"/>
  </r>
  <r>
    <x v="4"/>
    <d v="2014-03-15T00:00:00"/>
    <s v="Salary"/>
    <m/>
    <m/>
    <n v="8950"/>
    <n v="48027"/>
    <s v="Salary"/>
    <m/>
    <x v="0"/>
    <m/>
    <s v="2013-2014"/>
    <s v="CHECKED"/>
  </r>
  <r>
    <x v="5"/>
    <d v="2014-03-16T00:00:00"/>
    <s v="SMS Charges for quarter Jan-Mar 2014"/>
    <m/>
    <n v="15"/>
    <m/>
    <n v="48012"/>
    <s v="Bank Charges"/>
    <m/>
    <x v="1"/>
    <m/>
    <s v="2013-2014"/>
    <s v="CHECKED"/>
  </r>
  <r>
    <x v="6"/>
    <d v="2014-04-02T00:00:00"/>
    <s v="   ATM WDL-ATM 6270  SBI  MALOUT           MALOUT       PB IN--"/>
    <m/>
    <n v="100"/>
    <m/>
    <n v="47912"/>
    <s v="Cash Withdrwal"/>
    <m/>
    <x v="3"/>
    <m/>
    <s v="2014-2015"/>
    <s v="CHECKED"/>
  </r>
  <r>
    <x v="7"/>
    <d v="2014-04-07T00:00:00"/>
    <s v="   BULK POSTING-Sal04141017805060226200000002000050066140000018815--"/>
    <m/>
    <m/>
    <n v="8950"/>
    <n v="56862"/>
    <s v="Salary"/>
    <m/>
    <x v="0"/>
    <m/>
    <s v="2014-2015"/>
    <s v="CHECKED"/>
  </r>
  <r>
    <x v="8"/>
    <d v="2014-04-08T00:00:00"/>
    <s v="   ATM WDL-ATM 2727  SBI OPP. ADARSH THEATEMALOUT       PB IN--"/>
    <m/>
    <n v="20000"/>
    <m/>
    <n v="36862"/>
    <s v="Cash Withdrwal"/>
    <m/>
    <x v="3"/>
    <m/>
    <s v="2014-2015"/>
    <s v="CHECKED"/>
  </r>
  <r>
    <x v="8"/>
    <d v="2014-04-08T00:00:00"/>
    <s v="   ATM WDL-ATM 2729  SBI OPP. ADARSH THEATEMALOUT       PB IN--"/>
    <m/>
    <n v="20000"/>
    <m/>
    <n v="16862"/>
    <s v="Cash Withdrwal"/>
    <m/>
    <x v="3"/>
    <m/>
    <s v="2014-2015"/>
    <s v="CHECKED"/>
  </r>
  <r>
    <x v="9"/>
    <d v="2014-05-02T00:00:00"/>
    <s v="   BULK POSTING-Sal05141017805060226200000005000363192550000035915--"/>
    <m/>
    <m/>
    <n v="8702.81"/>
    <n v="25564.809999999998"/>
    <s v="Salary"/>
    <m/>
    <x v="0"/>
    <m/>
    <s v="2014-2015"/>
    <s v="CHECKED"/>
  </r>
  <r>
    <x v="10"/>
    <d v="2014-06-28T00:00:00"/>
    <s v="   DEBIT-SMS CHARGES FOR QUARTER APR-JUN 2014..............--"/>
    <m/>
    <n v="15"/>
    <m/>
    <n v="25549.809999999998"/>
    <s v="Bank Charges"/>
    <m/>
    <x v="1"/>
    <m/>
    <s v="2014-2015"/>
    <s v="CHECKED"/>
  </r>
  <r>
    <x v="11"/>
    <d v="2014-06-30T00:00:00"/>
    <s v="   CREDIT INTEREST---"/>
    <m/>
    <m/>
    <n v="349"/>
    <n v="25898.809999999998"/>
    <s v="Credit Interest"/>
    <m/>
    <x v="0"/>
    <m/>
    <s v="2014-2015"/>
    <s v="CHECKED"/>
  </r>
  <r>
    <x v="12"/>
    <d v="2014-07-02T00:00:00"/>
    <s v="   BULK POSTING-Sal07141017805060226200000011000715477260000023615--"/>
    <m/>
    <m/>
    <n v="8950"/>
    <n v="34848.81"/>
    <s v="Salary"/>
    <m/>
    <x v="0"/>
    <m/>
    <s v="2014-2015"/>
    <s v="CHECKED"/>
  </r>
  <r>
    <x v="13"/>
    <d v="2014-08-01T00:00:00"/>
    <s v="   BULK POSTING-Sal08141017805060226200000016001076609800000012715--"/>
    <m/>
    <m/>
    <n v="8950"/>
    <n v="43798.81"/>
    <s v="Salary"/>
    <m/>
    <x v="0"/>
    <m/>
    <s v="2014-2015"/>
    <s v="CHECKED"/>
  </r>
  <r>
    <x v="14"/>
    <d v="2014-08-21T00:00:00"/>
    <s v="   BULK POSTING-Sal08141017805060226200000013000924699340000003015--"/>
    <m/>
    <m/>
    <n v="8950"/>
    <n v="52748.81"/>
    <s v="Salary"/>
    <m/>
    <x v="0"/>
    <m/>
    <s v="2014-2015"/>
    <s v="CHECKED"/>
  </r>
  <r>
    <x v="15"/>
    <d v="2014-09-01T00:00:00"/>
    <s v="   BULK POSTING-Sal08141017805060226200000019001264752140000000915--"/>
    <m/>
    <m/>
    <n v="8950"/>
    <n v="61698.81"/>
    <s v="Salary"/>
    <m/>
    <x v="0"/>
    <m/>
    <s v="2014-2015"/>
    <s v="CHECKED"/>
  </r>
  <r>
    <x v="16"/>
    <d v="2014-09-22T00:00:00"/>
    <s v="   DEBIT-SMS CHARGES FOR QUARTER JUL-SEP 2014..............--"/>
    <m/>
    <n v="15"/>
    <m/>
    <n v="61683.81"/>
    <s v="Bank Charges"/>
    <m/>
    <x v="1"/>
    <m/>
    <s v="2014-2015"/>
    <s v="CHECKED"/>
  </r>
  <r>
    <x v="17"/>
    <d v="2014-10-08T00:00:00"/>
    <s v="   BULK POSTING-Sal10141017805060226200000025001804029630000005115--"/>
    <m/>
    <m/>
    <n v="8681"/>
    <n v="70364.81"/>
    <s v="Salary"/>
    <m/>
    <x v="0"/>
    <m/>
    <s v="2014-2015"/>
    <s v="CHECKED"/>
  </r>
  <r>
    <x v="18"/>
    <d v="2014-11-01T00:00:00"/>
    <s v="   BULK POSTING-Sal10141017805060226200000034002074179840000000415--"/>
    <m/>
    <m/>
    <n v="8681"/>
    <n v="79045.81"/>
    <s v="Salary"/>
    <m/>
    <x v="0"/>
    <m/>
    <s v="2014-2015"/>
    <s v="CHECKED"/>
  </r>
  <r>
    <x v="19"/>
    <d v="2014-12-12T00:00:00"/>
    <s v="   CREDIT INTEREST---"/>
    <m/>
    <m/>
    <n v="1067"/>
    <n v="80112.81"/>
    <s v="Credit Interest"/>
    <m/>
    <x v="0"/>
    <m/>
    <s v="2014-2015"/>
    <s v="CHECKED"/>
  </r>
  <r>
    <x v="19"/>
    <d v="2014-12-12T00:00:00"/>
    <s v="   DEBIT INTEREST---"/>
    <m/>
    <n v="1067"/>
    <m/>
    <n v="79045.81"/>
    <s v="Debit Interest"/>
    <m/>
    <x v="0"/>
    <m/>
    <s v="2014-2015"/>
    <s v="CHECKED"/>
  </r>
  <r>
    <x v="20"/>
    <d v="2014-12-24T00:00:00"/>
    <s v="   DEBIT-SMS CHARGES FOR QUARTER OCT-DEC 2014            .--"/>
    <m/>
    <n v="15"/>
    <m/>
    <n v="79030.81"/>
    <s v="Bank Charges"/>
    <m/>
    <x v="1"/>
    <m/>
    <s v="2014-2015"/>
    <s v="CHECKED"/>
  </r>
  <r>
    <x v="21"/>
    <d v="2014-12-31T00:00:00"/>
    <s v="   CREDIT INTEREST---"/>
    <m/>
    <m/>
    <n v="1240"/>
    <n v="80270.81"/>
    <s v="Credit Interest"/>
    <m/>
    <x v="0"/>
    <m/>
    <s v="2014-2015"/>
    <s v="CHECKED"/>
  </r>
  <r>
    <x v="22"/>
    <d v="2015-01-01T00:00:00"/>
    <s v="   BULK POSTING-SAL12141015817050229560000059002705100492010025615--"/>
    <m/>
    <m/>
    <n v="10740"/>
    <n v="91010.81"/>
    <s v="Salary"/>
    <m/>
    <x v="0"/>
    <m/>
    <s v="2014-2015"/>
    <s v="CHECKED"/>
  </r>
  <r>
    <x v="23"/>
    <d v="2015-01-06T00:00:00"/>
    <s v="CASH CHEQUE-SELF--899776"/>
    <n v="899776"/>
    <n v="2000"/>
    <m/>
    <n v="89010.81"/>
    <s v="Cheque Encashment"/>
    <m/>
    <x v="0"/>
    <m/>
    <s v="2014-2015"/>
    <s v="CHECKED"/>
  </r>
  <r>
    <x v="24"/>
    <d v="2015-02-02T00:00:00"/>
    <s v="   BULK POSTING-SAL01151015817050229560000060002960100693110023715--"/>
    <m/>
    <m/>
    <n v="10740"/>
    <n v="99750.81"/>
    <s v="Salary"/>
    <m/>
    <x v="0"/>
    <m/>
    <s v="2014-2015"/>
    <s v="CHECKED"/>
  </r>
  <r>
    <x v="25"/>
    <d v="2015-02-06T00:00:00"/>
    <s v="   TO TRANSFER-TRF--"/>
    <s v="TRANSFER TO 61258635965                           "/>
    <n v="80000"/>
    <m/>
    <n v="19750.809999999998"/>
    <s v="Acc Opened"/>
    <m/>
    <x v="4"/>
    <m/>
    <s v="2014-2015"/>
    <s v="CHECKED"/>
  </r>
  <r>
    <x v="26"/>
    <d v="2015-03-03T00:00:00"/>
    <s v="   BULK POSTING-SAL03151015817050229560000070003138100928600011815--"/>
    <m/>
    <m/>
    <n v="10740"/>
    <n v="30490.809999999998"/>
    <s v="Salary"/>
    <m/>
    <x v="0"/>
    <m/>
    <s v="2014-2015"/>
    <s v="CHECKED"/>
  </r>
  <r>
    <x v="27"/>
    <d v="2015-03-08T00:00:00"/>
    <s v="   DEBIT-SMS CHARGES FOR QUARTER JAN-MAR 2015            .--"/>
    <m/>
    <n v="15"/>
    <m/>
    <n v="30475.809999999998"/>
    <s v="Bank Charges"/>
    <m/>
    <x v="1"/>
    <m/>
    <s v="2014-2015"/>
    <s v="CHECKED"/>
  </r>
  <r>
    <x v="28"/>
    <d v="2015-03-09T00:00:00"/>
    <s v="   DEBIT- AMC ATM 201415 FOR CARD 4591570004017496--"/>
    <m/>
    <n v="112.36"/>
    <m/>
    <n v="30363.449999999997"/>
    <s v="Bank Charges"/>
    <m/>
    <x v="5"/>
    <m/>
    <s v="2014-2015"/>
    <s v="CHECKED"/>
  </r>
  <r>
    <x v="29"/>
    <d v="2015-03-10T00:00:00"/>
    <s v="   BULK POSTING-SAL03151015817050229560000071003172100970940000115--"/>
    <m/>
    <m/>
    <n v="10740"/>
    <n v="41103.449999999997"/>
    <s v="Salary"/>
    <m/>
    <x v="0"/>
    <m/>
    <s v="2014-2015"/>
    <s v="CHECKED"/>
  </r>
  <r>
    <x v="30"/>
    <d v="2015-03-30T00:00:00"/>
    <s v="   BULK POSTING-HP516467 151444 2403:104186169    :413309535418--"/>
    <m/>
    <m/>
    <n v="214.22"/>
    <n v="41317.67"/>
    <s v="Subsidy"/>
    <m/>
    <x v="6"/>
    <m/>
    <s v="2014-2015"/>
    <s v="CHECKED"/>
  </r>
  <r>
    <x v="31"/>
    <d v="2015-04-04T00:00:00"/>
    <s v="   BULK POSTING-HP516467 LPGADV 2403:106565145    :413309535418--"/>
    <m/>
    <m/>
    <n v="568"/>
    <n v="41885.67"/>
    <s v="Subsidy"/>
    <m/>
    <x v="6"/>
    <m/>
    <s v="2015-2016"/>
    <s v="CHECKED"/>
  </r>
  <r>
    <x v="32"/>
    <d v="2015-04-21T00:00:00"/>
    <s v="   BULK POSTING-SAL04151015817050229560000002000152100118930001416--"/>
    <m/>
    <m/>
    <n v="10740"/>
    <n v="52625.67"/>
    <s v="Salary"/>
    <m/>
    <x v="0"/>
    <m/>
    <s v="2015-2016"/>
    <s v="CHECKED"/>
  </r>
  <r>
    <x v="33"/>
    <d v="2015-05-04T00:00:00"/>
    <s v="   BULK POSTING-SAL05151015817050229560000016000339100235480016216--"/>
    <m/>
    <m/>
    <n v="10492.81"/>
    <n v="63118.479999999996"/>
    <s v="Salary"/>
    <m/>
    <x v="0"/>
    <m/>
    <s v="2015-2016"/>
    <s v="CHECKED"/>
  </r>
  <r>
    <x v="34"/>
    <d v="2015-05-25T00:00:00"/>
    <s v="TO CASH / CHEQUE-SBJ--899777"/>
    <n v="899777"/>
    <n v="35000"/>
    <m/>
    <n v="28118.479999999996"/>
    <s v="Cheque Encashment"/>
    <m/>
    <x v="0"/>
    <m/>
    <s v="2015-2016"/>
    <s v="CHECKED"/>
  </r>
  <r>
    <x v="35"/>
    <d v="2015-06-25T00:00:00"/>
    <s v="   DEBIT-SMS CHARGES FOR QUARTER APR-JUN 2015            .--"/>
    <m/>
    <n v="15"/>
    <m/>
    <n v="28103.479999999996"/>
    <s v="Bank Charges"/>
    <m/>
    <x v="1"/>
    <m/>
    <s v="2015-2016"/>
    <s v="CHECKED"/>
  </r>
  <r>
    <x v="36"/>
    <d v="2015-06-30T00:00:00"/>
    <s v="   CREDIT INTEREST---"/>
    <m/>
    <m/>
    <n v="959"/>
    <n v="29062.479999999996"/>
    <s v="Credit Interest"/>
    <m/>
    <x v="0"/>
    <m/>
    <s v="2015-2016"/>
    <s v="CHECKED"/>
  </r>
  <r>
    <x v="37"/>
    <d v="2015-07-02T00:00:00"/>
    <s v="   BULK POSTING-HP516467 188892 2606:174672605    :413309535418--"/>
    <m/>
    <m/>
    <n v="236.73"/>
    <n v="29299.209999999995"/>
    <s v="Subsidy"/>
    <m/>
    <x v="6"/>
    <m/>
    <s v="2015-2016"/>
    <s v="CHECKED"/>
  </r>
  <r>
    <x v="38"/>
    <d v="2015-07-20T00:00:00"/>
    <s v="CASH CHEQUE---899778"/>
    <n v="899778"/>
    <n v="8300"/>
    <m/>
    <n v="20999.209999999995"/>
    <s v="Cheque Encashment"/>
    <m/>
    <x v="0"/>
    <m/>
    <s v="2015-2016"/>
    <s v="CHECKED"/>
  </r>
  <r>
    <x v="39"/>
    <d v="2015-08-01T00:00:00"/>
    <s v="   BULK POSTING-SAL07151015817050229560000038001225100850280011616--"/>
    <m/>
    <m/>
    <n v="11820"/>
    <n v="32819.209999999992"/>
    <s v="Salary"/>
    <m/>
    <x v="0"/>
    <m/>
    <s v="2015-2016"/>
    <s v="CHECKED"/>
  </r>
  <r>
    <x v="40"/>
    <d v="2015-08-18T00:00:00"/>
    <s v="   BULK POSTING-HP516467 108747 1508:209263107    :413309535418--"/>
    <m/>
    <m/>
    <n v="194.1"/>
    <n v="33013.30999999999"/>
    <s v="Subsidy"/>
    <m/>
    <x v="6"/>
    <m/>
    <s v="2015-2016"/>
    <s v="CHECKED"/>
  </r>
  <r>
    <x v="41"/>
    <d v="2015-09-17T00:00:00"/>
    <s v="   BULK POSTING-SAL09151015817050229560000046001707101204740001616--"/>
    <m/>
    <m/>
    <n v="11820"/>
    <n v="44833.30999999999"/>
    <s v="Salary"/>
    <m/>
    <x v="0"/>
    <m/>
    <s v="2015-2016"/>
    <s v="CHECKED"/>
  </r>
  <r>
    <x v="42"/>
    <d v="2015-09-23T00:00:00"/>
    <s v="   DEBIT-SMS CHARGES FOR QUARTER JUL-SEP 2015            .--"/>
    <m/>
    <n v="15"/>
    <m/>
    <n v="44818.30999999999"/>
    <s v="Bank Charges"/>
    <m/>
    <x v="1"/>
    <m/>
    <s v="2015-2016"/>
    <s v="CHECKED"/>
  </r>
  <r>
    <x v="43"/>
    <d v="2015-10-01T00:00:00"/>
    <s v="   BULK POSTING-BY Salary--"/>
    <m/>
    <m/>
    <n v="10740"/>
    <n v="55558.30999999999"/>
    <s v="Salary"/>
    <m/>
    <x v="0"/>
    <m/>
    <s v="2015-2016"/>
    <s v="CHECKED"/>
  </r>
  <r>
    <x v="43"/>
    <d v="2015-10-01T00:00:00"/>
    <s v="   BULK POSTING-BY Salary--"/>
    <m/>
    <m/>
    <n v="10740"/>
    <n v="66298.31"/>
    <s v="Salary"/>
    <m/>
    <x v="0"/>
    <m/>
    <s v="2015-2016"/>
    <s v="CHECKED"/>
  </r>
  <r>
    <x v="43"/>
    <d v="2015-10-01T00:00:00"/>
    <s v="   BULK POSTING-BY Salary--"/>
    <m/>
    <m/>
    <n v="11820"/>
    <n v="78118.31"/>
    <s v="Salary"/>
    <m/>
    <x v="0"/>
    <m/>
    <s v="2015-2016"/>
    <s v="CHECKED"/>
  </r>
  <r>
    <x v="44"/>
    <d v="2015-10-17T00:00:00"/>
    <s v="   BULK POSTING-SAL10151015817050229560000061002024101465470001916--"/>
    <m/>
    <m/>
    <n v="3580"/>
    <n v="81698.31"/>
    <s v="Salary"/>
    <m/>
    <x v="7"/>
    <s v="Oct-15 Salary Arrer"/>
    <s v="2015-2016"/>
    <s v="CHECKED"/>
  </r>
  <r>
    <x v="45"/>
    <d v="2015-11-21T00:00:00"/>
    <s v="   BULK POSTING-HP516467 146931 1511:283769684    :413309535418--"/>
    <m/>
    <m/>
    <n v="151"/>
    <n v="81849.31"/>
    <s v="Subsidy"/>
    <m/>
    <x v="6"/>
    <m/>
    <s v="2015-2016"/>
    <s v="CHECKED"/>
  </r>
  <r>
    <x v="46"/>
    <d v="2015-12-11T00:00:00"/>
    <s v="   BULK POSTING-SAL12151015817050229560000076002722102090130000616--"/>
    <m/>
    <m/>
    <n v="11820"/>
    <n v="93669.31"/>
    <s v="Salary"/>
    <m/>
    <x v="0"/>
    <m/>
    <s v="2015-2016"/>
    <s v="CHECKED"/>
  </r>
  <r>
    <x v="47"/>
    <d v="2015-12-24T00:00:00"/>
    <s v="   DEBIT-SMS CHARGES FOR QUARTER OCT-DEC 2015            .--"/>
    <m/>
    <n v="17.18"/>
    <m/>
    <n v="93652.13"/>
    <s v="Bank Charges"/>
    <m/>
    <x v="1"/>
    <m/>
    <s v="2015-2016"/>
    <s v="CHECKED"/>
  </r>
  <r>
    <x v="48"/>
    <d v="2015-12-31T00:00:00"/>
    <s v="   CREDIT INTEREST---"/>
    <m/>
    <m/>
    <n v="1172"/>
    <n v="94824.13"/>
    <s v="Credit Interest"/>
    <m/>
    <x v="0"/>
    <m/>
    <s v="2015-2016"/>
    <s v="CHECKED"/>
  </r>
  <r>
    <x v="49"/>
    <d v="2016-01-21T00:00:00"/>
    <s v="   BULK POSTING-SAL01161015817050229560000064003362102488570000216--"/>
    <m/>
    <m/>
    <n v="11820"/>
    <n v="106644.13"/>
    <s v="Salary"/>
    <m/>
    <x v="0"/>
    <m/>
    <s v="2015-2016"/>
    <s v="CHECKED"/>
  </r>
  <r>
    <x v="50"/>
    <d v="2016-02-01T00:00:00"/>
    <s v="   BULK POSTING-SAL01161015817050229560000115003417102548820014216--"/>
    <m/>
    <m/>
    <n v="23133"/>
    <n v="129777.13"/>
    <s v="Salary"/>
    <m/>
    <x v="0"/>
    <m/>
    <s v="2015-2016"/>
    <s v="CHECKED"/>
  </r>
  <r>
    <x v="51"/>
    <d v="2016-02-11T00:00:00"/>
    <s v="   BULK POSTING- :HP516467 186305 0402:350396246--"/>
    <m/>
    <m/>
    <n v="182.25"/>
    <n v="129959.38"/>
    <s v="Subsidy"/>
    <m/>
    <x v="6"/>
    <m/>
    <s v="2015-2016"/>
    <s v="CHECKED"/>
  </r>
  <r>
    <x v="52"/>
    <d v="2016-03-02T00:00:00"/>
    <s v="   BULK POSTING-SAL03161015817050229560000131003930102847090023516--"/>
    <m/>
    <m/>
    <n v="23133"/>
    <n v="153092.38"/>
    <s v="Salary"/>
    <m/>
    <x v="0"/>
    <m/>
    <s v="2015-2016"/>
    <s v="CHECKED"/>
  </r>
  <r>
    <x v="53"/>
    <d v="2016-03-03T00:00:00"/>
    <s v="   BULK POSTING-SAL03161015817050229560000096003333102859700001716--"/>
    <m/>
    <m/>
    <n v="23133"/>
    <n v="176225.38"/>
    <s v="Salary"/>
    <m/>
    <x v="0"/>
    <m/>
    <s v="2015-2016"/>
    <s v="CHECKED"/>
  </r>
  <r>
    <x v="54"/>
    <d v="2016-03-10T00:00:00"/>
    <s v="   BULK POSTING- :HP516467 100363 0403:373431786--"/>
    <m/>
    <m/>
    <n v="120.56"/>
    <n v="176345.94"/>
    <s v="Subsidy"/>
    <m/>
    <x v="6"/>
    <m/>
    <s v="2015-2016"/>
    <s v="CHECKED"/>
  </r>
  <r>
    <x v="55"/>
    <d v="2016-03-11T00:00:00"/>
    <s v="   DEBIT-SMS CHARGES FOR QUARTER JAN-MAR 2016            .--"/>
    <m/>
    <n v="17.18"/>
    <m/>
    <n v="176328.76"/>
    <s v="Bank Charges"/>
    <m/>
    <x v="1"/>
    <m/>
    <s v="2015-2016"/>
    <s v="CHECKED"/>
  </r>
  <r>
    <x v="56"/>
    <d v="2016-03-31T00:00:00"/>
    <s v="   BULK POSTING-SAL03161015817050229560000137004301103106580000216--"/>
    <m/>
    <m/>
    <n v="25265"/>
    <n v="201593.76"/>
    <s v="Salary"/>
    <m/>
    <x v="7"/>
    <s v="Mar-16 Salary Arrer"/>
    <s v="2015-2016"/>
    <s v="CHECKED"/>
  </r>
  <r>
    <x v="57"/>
    <d v="2016-04-13T00:00:00"/>
    <s v="   BULK POSTING- :HP516467 116312 0704:397386766--"/>
    <m/>
    <m/>
    <n v="115.29"/>
    <n v="201709.05000000002"/>
    <s v="Subsidy"/>
    <m/>
    <x v="6"/>
    <m/>
    <s v="2016-2017"/>
    <s v="CHECKED"/>
  </r>
  <r>
    <x v="58"/>
    <d v="2016-04-25T00:00:00"/>
    <s v="   BULK POSTING-SAL04161015817050229560000002000183103301470003017--"/>
    <m/>
    <m/>
    <n v="22033"/>
    <n v="223742.05000000002"/>
    <s v="Salary"/>
    <m/>
    <x v="0"/>
    <m/>
    <s v="2016-2017"/>
    <s v="CHECKED"/>
  </r>
  <r>
    <x v="58"/>
    <d v="2016-04-25T00:00:00"/>
    <s v="   CREDIT INTEREST---"/>
    <m/>
    <m/>
    <n v="1893"/>
    <n v="225635.05000000002"/>
    <s v="Credit Interest"/>
    <m/>
    <x v="0"/>
    <m/>
    <s v="2016-2017"/>
    <s v="CHECKED"/>
  </r>
  <r>
    <x v="59"/>
    <d v="2016-05-02T00:00:00"/>
    <s v="   BULK POSTING-SAL04161015817050229560000012000338103350810033317--"/>
    <m/>
    <m/>
    <n v="22385.1"/>
    <n v="248020.15000000002"/>
    <s v="Salary"/>
    <m/>
    <x v="0"/>
    <m/>
    <s v="2016-2017"/>
    <s v="CHECKED"/>
  </r>
  <r>
    <x v="60"/>
    <d v="2016-05-16T00:00:00"/>
    <s v="TO CASH / CHEQUE-TO CLEARING CHEQUE--899780"/>
    <n v="899780"/>
    <n v="200000"/>
    <m/>
    <n v="48020.150000000023"/>
    <s v="Cheque Encashment"/>
    <m/>
    <x v="8"/>
    <m/>
    <s v="2016-2017"/>
    <s v="CHECKED"/>
  </r>
  <r>
    <x v="61"/>
    <d v="2016-05-31T00:00:00"/>
    <s v="   BULK POSTING- :HP516467 135297 2805:431491558--"/>
    <m/>
    <m/>
    <n v="133.47"/>
    <n v="48153.620000000024"/>
    <s v="Subsidy"/>
    <m/>
    <x v="6"/>
    <m/>
    <s v="2016-2017"/>
    <s v="CHECKED"/>
  </r>
  <r>
    <x v="62"/>
    <d v="2016-06-09T00:00:00"/>
    <s v="CASH CHEQUE-MOHIT--899781"/>
    <n v="899781"/>
    <n v="5000"/>
    <m/>
    <n v="43153.620000000024"/>
    <s v="Cheque Encashment"/>
    <m/>
    <x v="0"/>
    <m/>
    <s v="2016-2017"/>
    <s v="CHECKED"/>
  </r>
  <r>
    <x v="63"/>
    <d v="2016-06-21T00:00:00"/>
    <s v="   DEBIT-SMS CHARGES FOR QUARTER APR-JUN 2016            .--"/>
    <m/>
    <n v="17.25"/>
    <m/>
    <n v="43136.370000000024"/>
    <s v="Bank Charges"/>
    <m/>
    <x v="1"/>
    <m/>
    <s v="2016-2017"/>
    <s v="CHECKED"/>
  </r>
  <r>
    <x v="64"/>
    <d v="2016-06-28T00:00:00"/>
    <s v="   BULK POSTING-SAL06161084417000325980000013005397103926390001817--"/>
    <m/>
    <m/>
    <n v="22637"/>
    <n v="65773.370000000024"/>
    <s v="Salary"/>
    <m/>
    <x v="0"/>
    <m/>
    <s v="2016-2017"/>
    <s v="CHECKED"/>
  </r>
  <r>
    <x v="65"/>
    <d v="2016-07-02T00:00:00"/>
    <s v="   BULK POSTING-SAL07161084417000325980000014005753103978880015717--"/>
    <m/>
    <m/>
    <n v="22637"/>
    <n v="88410.370000000024"/>
    <s v="Salary"/>
    <m/>
    <x v="0"/>
    <m/>
    <s v="2016-2017"/>
    <s v="CHECKED"/>
  </r>
  <r>
    <x v="66"/>
    <d v="2016-07-25T00:00:00"/>
    <s v="   CREDIT INTEREST---"/>
    <m/>
    <m/>
    <n v="1004"/>
    <n v="89414.370000000024"/>
    <s v="Credit Interest"/>
    <m/>
    <x v="0"/>
    <m/>
    <s v="2016-2017"/>
    <s v="CHECKED"/>
  </r>
  <r>
    <x v="67"/>
    <d v="2016-07-26T00:00:00"/>
    <s v="   TO TRANSFER- FIAEPSOFFUSISSUERWDLREF:1076616862035851641330953--"/>
    <s v="TRANSFER TO 3199995108639"/>
    <n v="100"/>
    <m/>
    <n v="89314.370000000024"/>
    <s v="unkown"/>
    <m/>
    <x v="0"/>
    <m/>
    <s v="2016-2017"/>
    <s v="5. Pending (check with all sheet one by one)"/>
  </r>
  <r>
    <x v="68"/>
    <d v="2016-08-04T00:00:00"/>
    <s v="   BULK POSTING-SAL08161084417000325980000017007748104245310006917--"/>
    <m/>
    <m/>
    <n v="22637"/>
    <n v="111951.37000000002"/>
    <s v="Salary"/>
    <m/>
    <x v="0"/>
    <m/>
    <s v="2016-2017"/>
    <s v="CHECKED"/>
  </r>
  <r>
    <x v="69"/>
    <d v="2016-08-08T00:00:00"/>
    <s v="TO CASH / CHEQUE-SBI   MOHIT KUMAR JAIN--899782"/>
    <n v="899782"/>
    <n v="80000"/>
    <m/>
    <n v="31951.370000000024"/>
    <s v="Cheque Encashment"/>
    <m/>
    <x v="0"/>
    <m/>
    <s v="2016-2017"/>
    <s v="CHECKED"/>
  </r>
  <r>
    <x v="70"/>
    <d v="2016-08-12T00:00:00"/>
    <s v="CASH CHEQUE-CASH WITHDRAWAL BY CHEQUE--899783"/>
    <n v="899783"/>
    <n v="10000"/>
    <m/>
    <n v="21951.370000000024"/>
    <s v="Cheque Encashment"/>
    <m/>
    <x v="0"/>
    <m/>
    <s v="2016-2017"/>
    <s v="CHECKED"/>
  </r>
  <r>
    <x v="71"/>
    <d v="2016-09-01T00:00:00"/>
    <s v="   BULK POSTING-SAL08161084417000325980000028009623104398740017217--"/>
    <m/>
    <m/>
    <n v="23359"/>
    <n v="45310.370000000024"/>
    <s v="Salary"/>
    <m/>
    <x v="0"/>
    <m/>
    <s v="2016-2017"/>
    <s v="CHECKED"/>
  </r>
  <r>
    <x v="72"/>
    <d v="2016-09-15T00:00:00"/>
    <s v="   BULK POSTING-SAL09161084417000325980000029010277104540650000717--"/>
    <m/>
    <m/>
    <n v="722"/>
    <n v="46032.370000000024"/>
    <s v="Salary"/>
    <m/>
    <x v="7"/>
    <s v="Aug-16 Salary Arrer"/>
    <s v="2016-2017"/>
    <s v="CHECKED"/>
  </r>
  <r>
    <x v="73"/>
    <d v="2016-09-26T00:00:00"/>
    <s v="CASH CHEQUE-CASH WITHDRAWAL BY CHEQUE--899784"/>
    <n v="899784"/>
    <n v="5000"/>
    <m/>
    <n v="41032.370000000024"/>
    <s v="Cheque Encashment"/>
    <m/>
    <x v="0"/>
    <m/>
    <s v="2016-2017"/>
    <s v="CHECKED"/>
  </r>
  <r>
    <x v="74"/>
    <d v="2016-09-28T00:00:00"/>
    <s v="   BULK POSTING- :HP516467 175904 2009:517811988--"/>
    <m/>
    <m/>
    <n v="69.38"/>
    <n v="41101.750000000022"/>
    <s v="Subsidy"/>
    <m/>
    <x v="6"/>
    <m/>
    <s v="2016-2017"/>
    <s v="CHECKED"/>
  </r>
  <r>
    <x v="74"/>
    <d v="2016-09-28T00:00:00"/>
    <s v="   DEBIT-SMS CHARGES FOR QUARTER JUL-SEP 2016            .--"/>
    <m/>
    <n v="17.25"/>
    <m/>
    <n v="41084.500000000022"/>
    <s v="Bank Charges"/>
    <m/>
    <x v="1"/>
    <m/>
    <s v="2016-2017"/>
    <s v="CHECKED"/>
  </r>
  <r>
    <x v="75"/>
    <d v="2016-10-01T00:00:00"/>
    <s v="   BULK POSTING-SAL09161084417000325980000034012236104641830010017--"/>
    <m/>
    <m/>
    <n v="23359"/>
    <n v="64443.500000000022"/>
    <s v="Salary"/>
    <m/>
    <x v="0"/>
    <m/>
    <s v="2016-2017"/>
    <s v="CHECKED"/>
  </r>
  <r>
    <x v="76"/>
    <d v="2016-10-19T00:00:00"/>
    <s v="   BULK POSTING-TO Salary TRICKLE FEED ENTRY--"/>
    <m/>
    <m/>
    <n v="475"/>
    <n v="64918.500000000022"/>
    <s v="Mobile Bill Reimbursement (DOIT)"/>
    <m/>
    <x v="0"/>
    <m/>
    <s v="2016-2017"/>
    <s v="CHECKED"/>
  </r>
  <r>
    <x v="77"/>
    <d v="2016-10-24T00:00:00"/>
    <s v="   BY TRANSFER-NEFT HDFC0000001N298160198851754JATIN KUMAR GARG--"/>
    <s v="TRANSFER FROM 3197726108633"/>
    <m/>
    <n v="5000"/>
    <n v="69918.500000000029"/>
    <s v="Received Through Net Banking"/>
    <m/>
    <x v="9"/>
    <m/>
    <s v="2016-2017"/>
    <s v="CHECKED"/>
  </r>
  <r>
    <x v="78"/>
    <d v="2016-10-25T00:00:00"/>
    <s v="   BULK POSTING-SAL10161084417000325980000043014101104820210006917--"/>
    <m/>
    <m/>
    <n v="3387"/>
    <n v="73305.500000000029"/>
    <s v="Salary"/>
    <m/>
    <x v="10"/>
    <m/>
    <s v="2016-2017"/>
    <s v="CHECKED"/>
  </r>
  <r>
    <x v="78"/>
    <d v="2016-10-25T00:00:00"/>
    <s v="   CREDIT INTEREST---"/>
    <m/>
    <m/>
    <n v="524"/>
    <n v="73829.500000000029"/>
    <s v="Credit Interest"/>
    <m/>
    <x v="0"/>
    <m/>
    <s v="2016-2017"/>
    <s v="CHECKED"/>
  </r>
  <r>
    <x v="79"/>
    <d v="2016-10-28T00:00:00"/>
    <s v="   BULK POSTING-SAL10161084417000325980000047014649104876040027717--"/>
    <m/>
    <m/>
    <n v="23359"/>
    <n v="97188.500000000029"/>
    <s v="Salary"/>
    <m/>
    <x v="0"/>
    <m/>
    <s v="2016-2017"/>
    <s v="CHECKED"/>
  </r>
  <r>
    <x v="80"/>
    <d v="2016-11-02T00:00:00"/>
    <s v="CASH CHEQUE-CASH WITHDRAWAL BY CHEQUE--899785"/>
    <n v="899785"/>
    <n v="5000"/>
    <m/>
    <n v="92188.500000000029"/>
    <s v="Cheque Encashment"/>
    <m/>
    <x v="0"/>
    <m/>
    <s v="2016-2017"/>
    <s v="CHECKED"/>
  </r>
  <r>
    <x v="80"/>
    <d v="2016-11-02T00:00:00"/>
    <s v="   TO TRANSFER-TRFAMT FD--"/>
    <s v="TRANSFER TO 61334360200                           "/>
    <n v="80000"/>
    <m/>
    <n v="12188.500000000029"/>
    <s v="Acc Opened"/>
    <m/>
    <x v="11"/>
    <m/>
    <s v="2016-2017"/>
    <s v="CHECKED"/>
  </r>
  <r>
    <x v="81"/>
    <d v="2016-11-05T00:00:00"/>
    <s v="CASH CHEQUE-CASH WITHDRAWAL BY CHEQUE--899787"/>
    <n v="899787"/>
    <n v="5000"/>
    <m/>
    <n v="7188.5000000000291"/>
    <s v="Cheque Encashment"/>
    <m/>
    <x v="0"/>
    <m/>
    <s v="2016-2017"/>
    <s v="CHECKED"/>
  </r>
  <r>
    <x v="82"/>
    <d v="2016-11-09T00:00:00"/>
    <s v="   BULK POSTING-SAL11161084417000325980000041015286104970090002517--"/>
    <m/>
    <m/>
    <n v="1812"/>
    <n v="9000.5000000000291"/>
    <s v="Salary"/>
    <m/>
    <x v="7"/>
    <s v="Oct-16 Salary Arrer"/>
    <s v="2016-2017"/>
    <s v="CHECKED"/>
  </r>
  <r>
    <x v="83"/>
    <d v="2016-11-19T00:00:00"/>
    <s v="   TO TRANSFER-INB Amazon Seller Services Pv ASSPL Payments--"/>
    <s v="HSBJ4908604433IGAAHGWIG2               TRANSFER TO"/>
    <n v="1067.44"/>
    <m/>
    <n v="7933.0600000000286"/>
    <s v="Transfer Through Net Banking"/>
    <m/>
    <x v="0"/>
    <m/>
    <s v="2016-2017"/>
    <s v="6. pending to check with daily expenses sheet"/>
  </r>
  <r>
    <x v="84"/>
    <d v="2016-11-21T00:00:00"/>
    <s v="   BULK POSTING-TO Salary TRICKLE FEED ENTRY--"/>
    <m/>
    <m/>
    <n v="204"/>
    <n v="8137.0600000000286"/>
    <s v="Mobile Bill Reimbursement (DOIT)"/>
    <m/>
    <x v="0"/>
    <m/>
    <s v="2016-2017"/>
    <s v="CHECKED"/>
  </r>
  <r>
    <x v="85"/>
    <d v="2016-12-01T00:00:00"/>
    <s v="   BULK POSTING-SAL11161084417000325980000054016541105077100035917--"/>
    <m/>
    <m/>
    <n v="24084"/>
    <n v="32221.060000000027"/>
    <s v="Salary"/>
    <m/>
    <x v="0"/>
    <m/>
    <s v="2016-2017"/>
    <s v="CHECKED"/>
  </r>
  <r>
    <x v="86"/>
    <d v="2016-12-08T00:00:00"/>
    <s v="   BULK POSTING-SAL12161084417000325980000052017061105175000034017--"/>
    <m/>
    <m/>
    <n v="724"/>
    <n v="32945.060000000027"/>
    <s v="Salary"/>
    <m/>
    <x v="12"/>
    <s v="DA Arrer July to November"/>
    <s v="2016-2017"/>
    <s v="CHECKED"/>
  </r>
  <r>
    <x v="86"/>
    <d v="2016-12-08T00:00:00"/>
    <s v="   BULK POSTING-SAL12161084417000325980000052017061105175000034117--"/>
    <m/>
    <m/>
    <n v="724"/>
    <n v="33669.060000000027"/>
    <s v="Salary"/>
    <m/>
    <x v="12"/>
    <s v="DA Arrer July to November"/>
    <s v="2016-2017"/>
    <s v="CHECKED"/>
  </r>
  <r>
    <x v="86"/>
    <d v="2016-12-08T00:00:00"/>
    <s v="   BULK POSTING-SAL12161084417000325980000052017061105175000034217--"/>
    <m/>
    <m/>
    <n v="724"/>
    <n v="34393.060000000027"/>
    <s v="Salary"/>
    <m/>
    <x v="12"/>
    <s v="DA Arrer July to November"/>
    <s v="2016-2017"/>
    <s v="CHECKED"/>
  </r>
  <r>
    <x v="86"/>
    <d v="2016-12-08T00:00:00"/>
    <s v="   BULK POSTING-SAL12161084417000325980000052017061105175000034317--"/>
    <m/>
    <m/>
    <n v="724"/>
    <n v="35117.060000000027"/>
    <s v="Salary"/>
    <m/>
    <x v="12"/>
    <s v="DA Arrer July to November"/>
    <s v="2016-2017"/>
    <s v="CHECKED"/>
  </r>
  <r>
    <x v="87"/>
    <d v="2016-12-21T00:00:00"/>
    <s v="   TO TRANSFER-INB Deposit / Investment--"/>
    <s v="IHC1776612               TRANSFER TO 61204889731  "/>
    <n v="270"/>
    <m/>
    <n v="34847.060000000027"/>
    <s v="unkown"/>
    <m/>
    <x v="0"/>
    <m/>
    <s v="2016-2017"/>
    <s v="5. Pending (check with all sheet one by one)"/>
  </r>
  <r>
    <x v="88"/>
    <d v="2016-12-22T00:00:00"/>
    <s v="   DEBIT-SMS CHARGES FOR QUARTER OCT-DEC 2016            .--"/>
    <m/>
    <n v="17.25"/>
    <m/>
    <n v="34829.810000000027"/>
    <s v="Bank Charges"/>
    <m/>
    <x v="1"/>
    <m/>
    <s v="2016-2017"/>
    <s v="CHECKED"/>
  </r>
  <r>
    <x v="89"/>
    <d v="2016-12-25T00:00:00"/>
    <s v="   CREDIT INTEREST---"/>
    <m/>
    <m/>
    <n v="190"/>
    <n v="35019.810000000027"/>
    <s v="Credit Interest"/>
    <m/>
    <x v="0"/>
    <m/>
    <s v="2016-2017"/>
    <s v="CHECKED"/>
  </r>
  <r>
    <x v="90"/>
    <d v="2016-12-26T00:00:00"/>
    <s v="   BY TRANSFER-NEFT HDFC0000001N361160223077314JATIN KUMAR GARG--"/>
    <s v="TRANSFER FROM 3197726108633"/>
    <m/>
    <n v="5000"/>
    <n v="40019.810000000027"/>
    <s v="Received Through Net Banking"/>
    <m/>
    <x v="13"/>
    <m/>
    <s v="2016-2017"/>
    <s v="CHECKED"/>
  </r>
  <r>
    <x v="91"/>
    <d v="2016-12-29T00:00:00"/>
    <s v="   BULK POSTING-TO Salary TRICKLE FEED ENTRY--"/>
    <m/>
    <m/>
    <n v="510"/>
    <n v="40529.810000000027"/>
    <s v="Mobile Bill Reimbursement (DOIT)"/>
    <m/>
    <x v="0"/>
    <m/>
    <s v="2016-2017"/>
    <s v="CHECKED"/>
  </r>
  <r>
    <x v="92"/>
    <d v="2017-01-04T00:00:00"/>
    <s v="   BULK POSTING-SAL01171084417000325980000059018729105397600006917--"/>
    <m/>
    <m/>
    <n v="24084"/>
    <n v="64613.810000000027"/>
    <s v="Salary"/>
    <m/>
    <x v="0"/>
    <m/>
    <s v="2016-2017"/>
    <s v="CHECKED"/>
  </r>
  <r>
    <x v="93"/>
    <d v="2017-01-11T00:00:00"/>
    <s v="   POS PRCH-POS 000392612948 RAJCOMP INFO SERVICES LHANUMAN--"/>
    <m/>
    <n v="100"/>
    <m/>
    <n v="64513.810000000027"/>
    <s v="Cash Withdrwal"/>
    <m/>
    <x v="14"/>
    <m/>
    <s v="2016-2017"/>
    <s v="CHECKED"/>
  </r>
  <r>
    <x v="93"/>
    <d v="2017-01-11T00:00:00"/>
    <s v="   POS PRCH-POS 000392614208 RAJCOMP INFO SERVICES LHANUMAN--"/>
    <m/>
    <n v="100"/>
    <m/>
    <n v="64413.810000000027"/>
    <s v="Cash Withdrwal"/>
    <m/>
    <x v="14"/>
    <m/>
    <s v="2016-2017"/>
    <s v="CHECKED"/>
  </r>
  <r>
    <x v="93"/>
    <d v="2017-01-11T00:00:00"/>
    <s v="   POS PRCH-POS 000392615320 RAJCOMP INFO SERVICES LHANUMAN--"/>
    <m/>
    <n v="100"/>
    <m/>
    <n v="64313.810000000027"/>
    <s v="Cash Withdrwal"/>
    <m/>
    <x v="14"/>
    <m/>
    <s v="2016-2017"/>
    <s v="CHECKED"/>
  </r>
  <r>
    <x v="93"/>
    <d v="2017-01-11T00:00:00"/>
    <s v="   ATM WDL-ATM CASH 3671  SBBJ TIBBI            HANUMANGARH--"/>
    <m/>
    <n v="4500"/>
    <m/>
    <n v="59813.810000000027"/>
    <s v="Cash Withdrwal"/>
    <m/>
    <x v="15"/>
    <m/>
    <s v="2016-2017"/>
    <s v="CHECKED"/>
  </r>
  <r>
    <x v="94"/>
    <d v="2017-01-16T00:00:00"/>
    <s v="   TO TRANSFER-INB Payment of education fee--"/>
    <s v="IHC8358987               TRANSFER TO 61240252574  "/>
    <n v="1500"/>
    <m/>
    <n v="58313.810000000027"/>
    <s v="Transfer Through Net Banking"/>
    <m/>
    <x v="16"/>
    <m/>
    <s v="2016-2017"/>
    <s v="CHECKED"/>
  </r>
  <r>
    <x v="95"/>
    <d v="2017-01-28T00:00:00"/>
    <s v="   ATM WDL-ATM CASH 70280 AXIS BANK LIMITED      MALOUT--"/>
    <m/>
    <n v="2000"/>
    <m/>
    <n v="56313.810000000027"/>
    <s v="Cash Withdrwal"/>
    <m/>
    <x v="17"/>
    <s v="for jalandhar exam"/>
    <s v="2016-2017"/>
    <s v="CHECKED"/>
  </r>
  <r>
    <x v="96"/>
    <d v="2017-02-01T00:00:00"/>
    <s v="   BULK POSTING-SAL01171084417000325980000065020436105614120035617--"/>
    <m/>
    <m/>
    <n v="24084"/>
    <n v="80397.810000000027"/>
    <s v="Salary"/>
    <m/>
    <x v="0"/>
    <m/>
    <s v="2016-2017"/>
    <s v="CHECKED"/>
  </r>
  <r>
    <x v="96"/>
    <d v="2017-02-01T00:00:00"/>
    <s v="   ATM WDL-ATM CASH 9676  SBBJ TIBBI            HANUMANGARH--"/>
    <m/>
    <n v="4500"/>
    <m/>
    <n v="75897.810000000027"/>
    <s v="Cash Withdrwal"/>
    <m/>
    <x v="15"/>
    <m/>
    <s v="2016-2017"/>
    <s v="CHECKED"/>
  </r>
  <r>
    <x v="97"/>
    <d v="2017-02-13T00:00:00"/>
    <s v="   BULK POSTING- :HP516467 136817 1002:641728206--"/>
    <m/>
    <m/>
    <n v="244.44"/>
    <n v="76142.250000000029"/>
    <s v="Subsidy"/>
    <m/>
    <x v="6"/>
    <m/>
    <s v="2016-2017"/>
    <s v="CHECKED"/>
  </r>
  <r>
    <x v="98"/>
    <d v="2017-02-15T00:00:00"/>
    <s v="   BULK POSTING-TO Salary TRICKLE FEED ENTRY--"/>
    <m/>
    <m/>
    <n v="530"/>
    <n v="76672.250000000029"/>
    <s v="Mobile Bill Reimbursement (DOIT)"/>
    <m/>
    <x v="0"/>
    <m/>
    <s v="2016-2017"/>
    <s v="CHECKED"/>
  </r>
  <r>
    <x v="99"/>
    <d v="2017-02-20T00:00:00"/>
    <s v="   TO TRANSFER-INB BHARTI AIRTEL--"/>
    <s v="131702000024158IGAAVFQAT4               TRANSFER T"/>
    <n v="482.3"/>
    <m/>
    <n v="76189.950000000026"/>
    <s v="Mobile Recharge"/>
    <m/>
    <x v="18"/>
    <m/>
    <s v="2016-2017"/>
    <s v="CHECKED"/>
  </r>
  <r>
    <x v="100"/>
    <d v="2017-03-02T00:00:00"/>
    <s v="   ATM WDL-ATM CASH 7113  SBBJ TIBBI            HANUMANGARH--"/>
    <m/>
    <n v="5500"/>
    <m/>
    <n v="70689.950000000026"/>
    <s v="Cash Withdrwal"/>
    <m/>
    <x v="15"/>
    <m/>
    <s v="2016-2017"/>
    <s v="CHECKED"/>
  </r>
  <r>
    <x v="101"/>
    <d v="2017-03-03T00:00:00"/>
    <s v="   BULK POSTING-SAL03171084417000325980000071023076105943250006117--"/>
    <m/>
    <m/>
    <n v="24084"/>
    <n v="94773.950000000026"/>
    <s v="Salary"/>
    <m/>
    <x v="0"/>
    <m/>
    <s v="2016-2017"/>
    <s v="CHECKED"/>
  </r>
  <r>
    <x v="102"/>
    <d v="2017-03-07T00:00:00"/>
    <s v="   TO TRANSFER-INB PayU Payments Private Lim--"/>
    <s v="6040530558IGAAXNLVQ3               TRANSFER TO 611"/>
    <n v="503.74"/>
    <m/>
    <n v="94270.210000000021"/>
    <s v="unkown"/>
    <m/>
    <x v="0"/>
    <m/>
    <s v="2016-2017"/>
    <s v="5. Pending (check with all sheet one by one)"/>
  </r>
  <r>
    <x v="102"/>
    <d v="2017-03-07T00:00:00"/>
    <s v="   BULK POSTING-SAL03171084417000325980000072023130105975300000817--"/>
    <m/>
    <m/>
    <n v="13352"/>
    <n v="107622.21000000002"/>
    <s v="Salary"/>
    <m/>
    <x v="19"/>
    <m/>
    <s v="2016-2017"/>
    <s v="CHECKED"/>
  </r>
  <r>
    <x v="102"/>
    <d v="2017-03-07T00:00:00"/>
    <s v="   DEBIT-SMS CHARGES FOR QUARTER JAN-MAR 2017            .--"/>
    <m/>
    <n v="17.25"/>
    <m/>
    <n v="107604.96000000002"/>
    <s v="Bank Charges"/>
    <m/>
    <x v="1"/>
    <m/>
    <s v="2016-2017"/>
    <s v="CHECKED"/>
  </r>
  <r>
    <x v="103"/>
    <d v="2017-03-09T00:00:00"/>
    <s v="   TO TRANSFER-INB To Pooja Stationers--"/>
    <s v="ITM0579010               TRANSFER TO 61073700220  "/>
    <n v="50000"/>
    <m/>
    <n v="57604.960000000021"/>
    <s v="Transfer Through Net Banking"/>
    <m/>
    <x v="20"/>
    <m/>
    <s v="2016-2017"/>
    <s v="CHECKED"/>
  </r>
  <r>
    <x v="103"/>
    <d v="2017-03-09T00:00:00"/>
    <s v="   TO TRANSFER-INB NEFT UTR NO: SBBJ717068233574--Indra Devi"/>
    <s v="NEFT INB: IRC7661680                               / Indra Devi"/>
    <n v="5000"/>
    <m/>
    <n v="52604.960000000021"/>
    <s v="Transfer Through Net Banking"/>
    <m/>
    <x v="21"/>
    <m/>
    <s v="2016-2017"/>
    <s v="CHECKED"/>
  </r>
  <r>
    <x v="104"/>
    <d v="2017-03-14T00:00:00"/>
    <s v="   BULK POSTING-SAL03171084417000325980000073023619106043440000617--"/>
    <m/>
    <m/>
    <n v="205"/>
    <n v="52809.960000000021"/>
    <s v="TA Bill Reimbursement (DOIT)"/>
    <m/>
    <x v="22"/>
    <m/>
    <s v="2016-2017"/>
    <s v="CHECKED"/>
  </r>
  <r>
    <x v="104"/>
    <d v="2017-03-14T00:00:00"/>
    <s v="   BULK POSTING-SAL03171084417000325980000073023619106043440000717--"/>
    <m/>
    <m/>
    <n v="210"/>
    <n v="53019.960000000021"/>
    <s v="TA Bill Reimbursement (DOIT)"/>
    <m/>
    <x v="22"/>
    <m/>
    <s v="2016-2017"/>
    <s v="CHECKED"/>
  </r>
  <r>
    <x v="104"/>
    <d v="2017-03-14T00:00:00"/>
    <s v="   BULK POSTING-SAL03171084417000325980000073023619106043440001417--"/>
    <m/>
    <m/>
    <n v="577"/>
    <n v="53596.960000000021"/>
    <s v="TA Bill Reimbursement (DOIT)"/>
    <m/>
    <x v="22"/>
    <m/>
    <s v="2016-2017"/>
    <s v="CHECKED"/>
  </r>
  <r>
    <x v="105"/>
    <d v="2017-03-23T00:00:00"/>
    <s v="   BULK POSTING-TO Salary TRICKLE FEED ENTRY--"/>
    <m/>
    <m/>
    <n v="300"/>
    <n v="53896.960000000021"/>
    <s v="Mobile Bill Reimbursement (DOIT)"/>
    <m/>
    <x v="0"/>
    <m/>
    <s v="2016-2017"/>
    <s v="CHECKED"/>
  </r>
  <r>
    <x v="106"/>
    <d v="2017-03-25T00:00:00"/>
    <s v="   CREDIT INTEREST---"/>
    <m/>
    <m/>
    <n v="638"/>
    <n v="54534.960000000021"/>
    <s v="Credit Interest"/>
    <m/>
    <x v="0"/>
    <m/>
    <s v="2016-2017"/>
    <s v="CHECKED"/>
  </r>
  <r>
    <x v="107"/>
    <d v="2017-03-26T00:00:00"/>
    <s v="   TO TRANSFER-INB BHARTI AIRTEL--"/>
    <s v="131703000069593IGABAHZPP0               TRANSFER T"/>
    <n v="392"/>
    <m/>
    <n v="54142.960000000021"/>
    <s v="Mobile Recharge"/>
    <m/>
    <x v="18"/>
    <m/>
    <s v="2016-2017"/>
    <s v="CHECKED"/>
  </r>
  <r>
    <x v="108"/>
    <d v="2017-04-04T00:00:00"/>
    <s v="   ATM WDL-ATM CASH 762   SBI OPP. ADARSH THEATEMALOUT--"/>
    <m/>
    <n v="5000"/>
    <m/>
    <n v="49142.960000000021"/>
    <s v="Cash Withdrwal"/>
    <m/>
    <x v="3"/>
    <m/>
    <s v="2017-2018"/>
    <s v="CHECKED"/>
  </r>
  <r>
    <x v="109"/>
    <d v="2017-04-07T00:00:00"/>
    <s v="   BULK POSTING-SAL04171084417000325980000001000324106321630009318--"/>
    <m/>
    <m/>
    <n v="22534"/>
    <n v="71676.960000000021"/>
    <s v="Salary"/>
    <m/>
    <x v="0"/>
    <m/>
    <s v="2017-2018"/>
    <s v="CHECKED"/>
  </r>
  <r>
    <x v="110"/>
    <d v="2017-04-22T00:00:00"/>
    <s v="   ATM WDL-ATM CASH 6372  COURT ROAD            MUKTSAR--"/>
    <m/>
    <n v="10000"/>
    <m/>
    <n v="61676.960000000021"/>
    <s v="Cash Withdrwal"/>
    <m/>
    <x v="3"/>
    <m/>
    <s v="2017-2018"/>
    <s v="CHECKED"/>
  </r>
  <r>
    <x v="111"/>
    <d v="2017-04-25T00:00:00"/>
    <s v="   ATM WDL-ATM CASH 6426  SBI OPP. ADARSH THEATEMALOUT--"/>
    <m/>
    <n v="10000"/>
    <m/>
    <n v="51676.960000000021"/>
    <s v="Cash Withdrwal"/>
    <m/>
    <x v="3"/>
    <m/>
    <s v="2017-2018"/>
    <s v="CHECKED"/>
  </r>
  <r>
    <x v="112"/>
    <d v="2017-04-27T00:00:00"/>
    <s v="   BULK POSTING-SAL04171084417000325980000004001709106468480011718--"/>
    <m/>
    <m/>
    <n v="415"/>
    <n v="52091.960000000021"/>
    <s v="Salary"/>
    <m/>
    <x v="12"/>
    <m/>
    <s v="2017-2018"/>
    <s v="CHECKED"/>
  </r>
  <r>
    <x v="112"/>
    <d v="2017-04-27T00:00:00"/>
    <s v="   BULK POSTING-SAL04171084417000325980000004001709106468480011818--"/>
    <m/>
    <m/>
    <n v="415"/>
    <n v="52506.960000000021"/>
    <s v="Salary"/>
    <m/>
    <x v="12"/>
    <m/>
    <s v="2017-2018"/>
    <s v="CHECKED"/>
  </r>
  <r>
    <x v="112"/>
    <d v="2017-04-27T00:00:00"/>
    <s v="   BULK POSTING-SAL04171084417000325980000004001709106468480014718--"/>
    <m/>
    <m/>
    <n v="645"/>
    <n v="53151.960000000021"/>
    <s v="Salary"/>
    <m/>
    <x v="12"/>
    <s v="DA+ PL's DA Arrer"/>
    <s v="2017-2018"/>
    <s v="CHECKED"/>
  </r>
  <r>
    <x v="113"/>
    <d v="2017-04-30T00:00:00"/>
    <s v="   ATM WDL-ATM CASH 3003  SBBJ TIBBI            HANUMANGARH--"/>
    <m/>
    <n v="5000"/>
    <m/>
    <n v="48151.960000000021"/>
    <s v="Cash Withdrwal"/>
    <m/>
    <x v="15"/>
    <m/>
    <s v="2017-2018"/>
    <s v="CHECKED"/>
  </r>
  <r>
    <x v="114"/>
    <d v="2017-05-03T00:00:00"/>
    <s v="   BULK POSTING-SAL05171084417000325980000005002065106518280003918--"/>
    <m/>
    <m/>
    <n v="22696"/>
    <n v="70847.960000000021"/>
    <s v="Salary"/>
    <m/>
    <x v="0"/>
    <m/>
    <s v="2017-2018"/>
    <s v="CHECKED"/>
  </r>
  <r>
    <x v="115"/>
    <d v="2017-05-19T00:00:00"/>
    <s v="   BULK POSTING-Salary0517--"/>
    <m/>
    <m/>
    <n v="3584"/>
    <n v="74431.960000000021"/>
    <s v="TA Bill Reimbursement (DOIT)"/>
    <m/>
    <x v="23"/>
    <m/>
    <s v="2017-2018"/>
    <s v="CHECKED"/>
  </r>
  <r>
    <x v="116"/>
    <d v="2017-05-22T00:00:00"/>
    <s v="   TO TRANSFER-INB One97 Communication Ltd--"/>
    <s v="20170522008232418959IGABIRIJT5               TRANS"/>
    <n v="636"/>
    <m/>
    <n v="73795.960000000021"/>
    <s v="Transfer Through Net Banking"/>
    <m/>
    <x v="24"/>
    <m/>
    <s v="2017-2018"/>
    <s v="CHECKED"/>
  </r>
  <r>
    <x v="117"/>
    <d v="2017-05-31T00:00:00"/>
    <s v="   ATM WDL-ATM CASH 9876  SBBJ TIBBI            HANUMANGARH--"/>
    <m/>
    <n v="4500"/>
    <m/>
    <n v="69295.960000000021"/>
    <s v="Cash Withdrwal"/>
    <m/>
    <x v="15"/>
    <m/>
    <s v="2017-2018"/>
    <s v="CHECKED"/>
  </r>
  <r>
    <x v="118"/>
    <d v="2017-06-01T00:00:00"/>
    <s v="   BULK POSTING-Salary0517--"/>
    <m/>
    <m/>
    <n v="22949"/>
    <n v="92244.960000000021"/>
    <s v="Salary"/>
    <m/>
    <x v="0"/>
    <m/>
    <s v="2017-2018"/>
    <s v="CHECKED"/>
  </r>
  <r>
    <x v="119"/>
    <d v="2017-06-03T00:00:00"/>
    <s v="   BULK POSTING-TO Salary TRICKLE FEED ENTRY--"/>
    <m/>
    <m/>
    <n v="600"/>
    <n v="92844.960000000021"/>
    <s v="Mobile Bill Reimbursement (DOIT)"/>
    <m/>
    <x v="0"/>
    <m/>
    <s v="2017-2018"/>
    <s v="CHECKED"/>
  </r>
  <r>
    <x v="120"/>
    <d v="2017-06-17T00:00:00"/>
    <s v="   ATM WDL-ATM CASH 4050  SBBJ TIBBI            HANUMANGARH--"/>
    <m/>
    <n v="10000"/>
    <m/>
    <n v="82844.960000000021"/>
    <s v="Cash Withdrwal"/>
    <m/>
    <x v="15"/>
    <m/>
    <s v="2017-2018"/>
    <s v="CHECKED"/>
  </r>
  <r>
    <x v="121"/>
    <d v="2017-06-25T00:00:00"/>
    <s v="   CREDIT INTEREST---"/>
    <m/>
    <m/>
    <n v="726"/>
    <n v="83570.960000000021"/>
    <s v="Credit Interest"/>
    <m/>
    <x v="0"/>
    <m/>
    <s v="2017-2018"/>
    <s v="CHECKED"/>
  </r>
  <r>
    <x v="122"/>
    <d v="2017-07-01T00:00:00"/>
    <s v="   BULK POSTING-Salary0617--"/>
    <m/>
    <m/>
    <n v="22949"/>
    <n v="106519.96000000002"/>
    <s v="Salary"/>
    <m/>
    <x v="0"/>
    <m/>
    <s v="2017-2018"/>
    <s v="CHECKED"/>
  </r>
  <r>
    <x v="123"/>
    <d v="2017-07-13T00:00:00"/>
    <s v="   TO TRANSFER-INB One97 Communication Ltd--"/>
    <s v="20170713009135867932IGABQKGQL8               TRANS"/>
    <n v="9172"/>
    <m/>
    <n v="97347.960000000021"/>
    <s v="Transfer Through Net Banking"/>
    <m/>
    <x v="0"/>
    <m/>
    <s v="2017-2018"/>
    <s v="6. pending to check with daily expenses sheet"/>
  </r>
  <r>
    <x v="124"/>
    <d v="2017-07-18T00:00:00"/>
    <s v="   BULK POSTING-TO Salary TRICKLE FEED ENTRY--"/>
    <m/>
    <m/>
    <n v="600"/>
    <n v="97947.960000000021"/>
    <s v="Mobile Bill Reimbursement (DOIT)"/>
    <m/>
    <x v="0"/>
    <m/>
    <s v="2017-2018"/>
    <s v="CHECKED"/>
  </r>
  <r>
    <x v="125"/>
    <d v="2017-07-19T00:00:00"/>
    <s v="   TO TRANSFER-INB Bakya vapsi--"/>
    <s v="IHE7567675               TRANSFER TO 30304829394  "/>
    <n v="700"/>
    <m/>
    <n v="97247.960000000021"/>
    <s v="Transfer Through Net Banking"/>
    <m/>
    <x v="25"/>
    <m/>
    <s v="2017-2018"/>
    <s v="CHECKED"/>
  </r>
  <r>
    <x v="126"/>
    <d v="2017-07-21T00:00:00"/>
    <s v="   ATM WDL-ATM CASH 72021 BO:MALOOT MANDI        MUKTSAR--"/>
    <m/>
    <n v="5000"/>
    <m/>
    <n v="92247.960000000021"/>
    <s v="Cash Withdrwal"/>
    <m/>
    <x v="3"/>
    <m/>
    <s v="2017-2018"/>
    <s v="CHECKED"/>
  </r>
  <r>
    <x v="127"/>
    <d v="2017-07-27T00:00:00"/>
    <s v="   TO TRANSFER-INB BHARTI AIRTEL--"/>
    <s v="051707010888414IGABSKDPO2               TRANSFER T"/>
    <n v="400"/>
    <m/>
    <n v="91847.960000000021"/>
    <s v="Mobile Recharge"/>
    <m/>
    <x v="18"/>
    <m/>
    <s v="2017-2018"/>
    <s v="CHECKED"/>
  </r>
  <r>
    <x v="128"/>
    <d v="2017-08-03T00:00:00"/>
    <s v="   BULK POSTING-Salary0817--"/>
    <m/>
    <m/>
    <n v="22949"/>
    <n v="114796.96000000002"/>
    <s v="Salary"/>
    <m/>
    <x v="0"/>
    <m/>
    <s v="2017-2018"/>
    <s v="CHECKED"/>
  </r>
  <r>
    <x v="129"/>
    <d v="2017-08-14T00:00:00"/>
    <s v="   BULK POSTING-Salary0817--"/>
    <m/>
    <m/>
    <n v="7010"/>
    <n v="121806.96000000002"/>
    <s v="TA Bill Reimbursement (DOIT)"/>
    <m/>
    <x v="23"/>
    <m/>
    <s v="2017-2018"/>
    <s v="CHECKED"/>
  </r>
  <r>
    <x v="129"/>
    <d v="2017-08-14T00:00:00"/>
    <s v="   BULK POSTING-Salary0817--"/>
    <m/>
    <m/>
    <n v="1743"/>
    <n v="123549.96000000002"/>
    <s v="TA Bill Reimbursement (DOIT)"/>
    <m/>
    <x v="22"/>
    <m/>
    <s v="2017-2018"/>
    <s v="CHECKED"/>
  </r>
  <r>
    <x v="129"/>
    <d v="2017-08-14T00:00:00"/>
    <s v="   BULK POSTING-Salary0817--"/>
    <m/>
    <m/>
    <n v="1528"/>
    <n v="125077.96000000002"/>
    <s v="TA Bill Reimbursement (DOIT)"/>
    <m/>
    <x v="26"/>
    <m/>
    <s v="2017-2018"/>
    <s v="CHECKED"/>
  </r>
  <r>
    <x v="130"/>
    <d v="2017-08-18T00:00:00"/>
    <s v="   TO TRANSFER-INB Mantis Technologies Pvt L--"/>
    <s v="7168117776IGABVXJXO9               TRANSFER TO 326"/>
    <n v="1360"/>
    <m/>
    <n v="123717.96000000002"/>
    <s v="Transfer Through Net Banking"/>
    <m/>
    <x v="27"/>
    <m/>
    <s v="2017-2018"/>
    <s v="CHECKED"/>
  </r>
  <r>
    <x v="131"/>
    <d v="2017-08-25T00:00:00"/>
    <s v="   TO TRANSFER-INB Return Amount of Ticket--"/>
    <s v="ITO0734324               TRANSFER TO 20412315947  "/>
    <n v="4"/>
    <m/>
    <n v="123713.96000000002"/>
    <s v="Transfer Through Net Banking"/>
    <m/>
    <x v="28"/>
    <m/>
    <s v="2017-2018"/>
    <s v="CHECKED"/>
  </r>
  <r>
    <x v="131"/>
    <d v="2017-08-25T00:00:00"/>
    <s v="   TO TRANSFER-INB Return of Air Ticket--"/>
    <s v="ITO0734544               TRANSFER TO 20412315947  "/>
    <n v="7300"/>
    <m/>
    <n v="116413.96000000002"/>
    <s v="Transfer Through Net Banking"/>
    <m/>
    <x v="28"/>
    <m/>
    <s v="2017-2018"/>
    <s v="CHECKED"/>
  </r>
  <r>
    <x v="131"/>
    <d v="2017-08-25T00:00:00"/>
    <s v="   TO TRANSFER-INB Honeymoon and Udhar Vapsi--"/>
    <s v="ITO0734684               TRANSFER TO 20412315947  "/>
    <n v="56700"/>
    <m/>
    <n v="59713.960000000021"/>
    <s v="Transfer Through Net Banking"/>
    <m/>
    <x v="28"/>
    <m/>
    <s v="2017-2018"/>
    <s v="CHECKED"/>
  </r>
  <r>
    <x v="132"/>
    <d v="2017-08-30T00:00:00"/>
    <s v="   TO TRANSFER-INB BHARTI AIRTEL--"/>
    <s v="051708012947331IGABXTNMF1               TRANSFER T"/>
    <n v="400"/>
    <m/>
    <n v="59313.960000000021"/>
    <s v="Mobile Recharge"/>
    <m/>
    <x v="18"/>
    <m/>
    <s v="2017-2018"/>
    <s v="CHECKED"/>
  </r>
  <r>
    <x v="133"/>
    <d v="2017-09-06T00:00:00"/>
    <s v="   TO TRANSFER-INB BHARTI AIRTEL--"/>
    <s v="051709013335556IGABYVUFV3               TRANSFER T"/>
    <n v="220"/>
    <m/>
    <n v="59093.960000000021"/>
    <s v="Transfer Through Net Banking"/>
    <m/>
    <x v="29"/>
    <m/>
    <s v="2017-2018"/>
    <s v="CHECKED"/>
  </r>
  <r>
    <x v="133"/>
    <d v="2017-09-06T00:00:00"/>
    <s v="   TO TRANSFER-INB BHARTI AIRTEL--"/>
    <s v="051709013335840IGABYVUUJ9               TRANSFER T"/>
    <n v="228"/>
    <m/>
    <n v="58865.960000000021"/>
    <s v="Transfer Through Net Banking"/>
    <m/>
    <x v="30"/>
    <m/>
    <s v="2017-2018"/>
    <s v="CHECKED"/>
  </r>
  <r>
    <x v="133"/>
    <d v="2017-09-06T00:00:00"/>
    <s v="   TO TRANSFER-INB BHARTI AIRTEL--"/>
    <s v="051709013336024IGABYVVCA4               TRANSFER T"/>
    <n v="300"/>
    <m/>
    <n v="58565.960000000021"/>
    <s v="Mobile Recharge"/>
    <m/>
    <x v="18"/>
    <m/>
    <s v="2017-2018"/>
    <s v="CHECKED"/>
  </r>
  <r>
    <x v="133"/>
    <d v="2017-09-06T00:00:00"/>
    <s v="   BULK POSTING-Salary0917--"/>
    <m/>
    <m/>
    <n v="22949"/>
    <n v="81514.960000000021"/>
    <s v="Salary"/>
    <m/>
    <x v="0"/>
    <m/>
    <s v="2017-2018"/>
    <s v="CHECKED"/>
  </r>
  <r>
    <x v="134"/>
    <d v="2017-09-21T00:00:00"/>
    <s v="   by debit card-SBIPG 010028484803www.flipkart.com      Bangalore--"/>
    <m/>
    <n v="9899"/>
    <m/>
    <n v="71615.960000000021"/>
    <s v="Transfer using Debit Card (ATM)"/>
    <s v="ATM card"/>
    <x v="31"/>
    <m/>
    <s v="2017-2018"/>
    <s v="CHECKED"/>
  </r>
  <r>
    <x v="135"/>
    <d v="2017-09-25T00:00:00"/>
    <s v="   CREDIT INTEREST---"/>
    <m/>
    <m/>
    <n v="871"/>
    <n v="72486.960000000021"/>
    <s v="Credit Interest"/>
    <m/>
    <x v="0"/>
    <m/>
    <s v="2017-2018"/>
    <s v="CHECKED"/>
  </r>
  <r>
    <x v="136"/>
    <d v="2017-10-06T00:00:00"/>
    <s v="   BULK POSTING-Salary1017--"/>
    <m/>
    <m/>
    <n v="22949"/>
    <n v="95435.960000000021"/>
    <s v="Salary"/>
    <m/>
    <x v="0"/>
    <m/>
    <s v="2017-2018"/>
    <s v="CHECKED"/>
  </r>
  <r>
    <x v="137"/>
    <d v="2017-10-12T00:00:00"/>
    <s v="   TO TRANSFER-INB BHARTI AIRTEL--"/>
    <s v="051710015393866IGACEHKMQ3               TRANSFER T"/>
    <n v="55"/>
    <m/>
    <n v="95380.960000000021"/>
    <s v="Mobile Recharge"/>
    <m/>
    <x v="18"/>
    <m/>
    <s v="2017-2018"/>
    <s v="CHECKED"/>
  </r>
  <r>
    <x v="138"/>
    <d v="2017-10-13T00:00:00"/>
    <s v="   BULK POSTING-Salary1017--"/>
    <m/>
    <m/>
    <n v="310"/>
    <n v="95690.960000000021"/>
    <s v="Salary"/>
    <m/>
    <x v="7"/>
    <s v="Salary Arrer Jul to Sep"/>
    <s v="2017-2018"/>
    <s v="CHECKED"/>
  </r>
  <r>
    <x v="138"/>
    <d v="2017-10-13T00:00:00"/>
    <s v="   BULK POSTING-Salary1017--"/>
    <m/>
    <m/>
    <n v="310"/>
    <n v="96000.960000000021"/>
    <s v="Salary"/>
    <m/>
    <x v="7"/>
    <s v="Salary Arrer Jul to Sep"/>
    <s v="2017-2018"/>
    <s v="CHECKED"/>
  </r>
  <r>
    <x v="138"/>
    <d v="2017-10-13T00:00:00"/>
    <s v="   BULK POSTING-Salary1017--"/>
    <m/>
    <m/>
    <n v="310"/>
    <n v="96310.960000000021"/>
    <s v="Salary"/>
    <m/>
    <x v="7"/>
    <s v="Salary Arrer Jul to Sep"/>
    <s v="2017-2018"/>
    <s v="CHECKED"/>
  </r>
  <r>
    <x v="138"/>
    <d v="2017-10-13T00:00:00"/>
    <s v="   BULK POSTING-Salary1017--"/>
    <m/>
    <m/>
    <n v="6774"/>
    <n v="103084.96000000002"/>
    <s v="Salary"/>
    <m/>
    <x v="10"/>
    <m/>
    <s v="2017-2018"/>
    <s v="CHECKED"/>
  </r>
  <r>
    <x v="139"/>
    <d v="2017-10-17T00:00:00"/>
    <s v="   TO TRANSFER-INB One97 Communication Ltd--"/>
    <s v="20171017011590445532IGACFDTUX3               TRANS"/>
    <n v="5298"/>
    <m/>
    <n v="97786.960000000021"/>
    <s v="Transfer Through Net Banking"/>
    <m/>
    <x v="0"/>
    <m/>
    <s v="2017-2018"/>
    <s v="6. pending to check with daily expenses sheet"/>
  </r>
  <r>
    <x v="140"/>
    <d v="2017-10-24T00:00:00"/>
    <s v="   CASH DEPOSIT-CASH DEPOSIT SELF--"/>
    <m/>
    <m/>
    <n v="10000"/>
    <n v="107786.96000000002"/>
    <s v="Cash Deposit"/>
    <m/>
    <x v="0"/>
    <m/>
    <s v="2017-2018"/>
    <s v="CHECKED"/>
  </r>
  <r>
    <x v="141"/>
    <d v="2017-11-06T00:00:00"/>
    <s v="   BULK POSTING-Salary1117--"/>
    <m/>
    <m/>
    <n v="23259"/>
    <n v="131045.96000000002"/>
    <s v="Salary"/>
    <m/>
    <x v="0"/>
    <m/>
    <s v="2017-2018"/>
    <s v="CHECKED"/>
  </r>
  <r>
    <x v="142"/>
    <d v="2017-11-14T00:00:00"/>
    <s v="   BULK POSTING-BY Salary--"/>
    <m/>
    <m/>
    <n v="600"/>
    <n v="131645.96000000002"/>
    <s v="Mobile Bill Reimbursement (DOIT)"/>
    <m/>
    <x v="0"/>
    <m/>
    <s v="2017-2018"/>
    <s v="CHECKED"/>
  </r>
  <r>
    <x v="143"/>
    <d v="2017-11-22T00:00:00"/>
    <s v="   TO TRANSFER-INB CREDIT--"/>
    <s v="IHG0261009               TRANSFER TO 20078643908  "/>
    <n v="1000"/>
    <m/>
    <n v="130645.96000000002"/>
    <s v="Transfer Through Net Banking"/>
    <m/>
    <x v="32"/>
    <m/>
    <s v="2017-2018"/>
    <s v="CHECKED"/>
  </r>
  <r>
    <x v="144"/>
    <d v="2017-12-01T00:00:00"/>
    <s v="   BULK POSTING-Salary1217--"/>
    <m/>
    <m/>
    <n v="23259"/>
    <n v="153904.96000000002"/>
    <s v="Salary"/>
    <m/>
    <x v="0"/>
    <m/>
    <s v="2017-2018"/>
    <s v="CHECKED"/>
  </r>
  <r>
    <x v="145"/>
    <d v="2017-12-02T00:00:00"/>
    <s v="   CASH WITHDRAWAL-CASH WITHDRAWAL SELF--"/>
    <m/>
    <n v="10000"/>
    <m/>
    <n v="143904.96000000002"/>
    <s v="Cash Withdrwal"/>
    <m/>
    <x v="3"/>
    <m/>
    <s v="2017-2018"/>
    <s v="CHECKED"/>
  </r>
  <r>
    <x v="146"/>
    <d v="2017-12-06T00:00:00"/>
    <s v="   TO TRANSFER-INB Unit Trust of India MF    BILL_UTIMF Payments--"/>
    <s v="LSBI5866335937IGACMRRPJ3               TRANSFER TO"/>
    <n v="35000"/>
    <m/>
    <n v="108904.96000000002"/>
    <s v="Transfer Through Net Banking"/>
    <m/>
    <x v="33"/>
    <s v="Mutual Fund Purchased (UTI)"/>
    <s v="2017-2018"/>
    <s v="CHECKED"/>
  </r>
  <r>
    <x v="147"/>
    <d v="2017-12-10T00:00:00"/>
    <s v="   TO TRANSFER-INB TRF to PPF--"/>
    <s v="IF13942792               TRANSFER TO 32500545461  "/>
    <n v="9000"/>
    <m/>
    <n v="99904.960000000021"/>
    <s v="PPF"/>
    <m/>
    <x v="0"/>
    <m/>
    <s v="2017-2018"/>
    <s v="CHECKED"/>
  </r>
  <r>
    <x v="148"/>
    <d v="2017-12-18T00:00:00"/>
    <s v="   TO TRANSFER-UPI/735218570518/00000061207864076@sbin00311--"/>
    <s v="TRANSFER TO 4897659162094"/>
    <n v="368"/>
    <m/>
    <n v="99536.960000000021"/>
    <s v="Received Through UPI App"/>
    <s v="Hike App"/>
    <x v="0"/>
    <m/>
    <s v="2017-2018"/>
    <s v="CHECKED"/>
  </r>
  <r>
    <x v="148"/>
    <d v="2017-12-18T00:00:00"/>
    <s v="   BY TRANSFER-UPI/735218570518/8003027591.hike@yesbank--"/>
    <s v="TRANSFER FROM 4897701162097"/>
    <m/>
    <n v="368"/>
    <n v="99904.960000000021"/>
    <s v="Transfer Through UPI App"/>
    <s v="Hike App"/>
    <x v="34"/>
    <m/>
    <s v="2017-2018"/>
    <s v="CHECKED"/>
  </r>
  <r>
    <x v="148"/>
    <d v="2017-12-18T00:00:00"/>
    <s v="   TO TRANSFER-UPI/735218570557/00000061207864076@sbin00311--"/>
    <s v="TRANSFER TO 4897659162094"/>
    <n v="368"/>
    <m/>
    <n v="99536.960000000021"/>
    <s v="Received Through UPI App"/>
    <s v="Hike App"/>
    <x v="0"/>
    <m/>
    <s v="2017-2018"/>
    <s v="CHECKED"/>
  </r>
  <r>
    <x v="148"/>
    <d v="2017-12-18T00:00:00"/>
    <s v="   BY TRANSFER-UPI/735218570557/8003027591.hike@yesbank--"/>
    <s v="TRANSFER FROM 4897698162098"/>
    <m/>
    <n v="368"/>
    <n v="99904.960000000021"/>
    <s v="Transfer Through UPI App"/>
    <s v="Hike App"/>
    <x v="34"/>
    <m/>
    <s v="2017-2018"/>
    <s v="CHECKED"/>
  </r>
  <r>
    <x v="148"/>
    <d v="2017-12-18T00:00:00"/>
    <s v="   TO TRANSFER-UPI/735218570580/00000061207864076@sbin00311--"/>
    <s v="TRANSFER TO 4897657162096"/>
    <n v="368"/>
    <m/>
    <n v="99536.960000000021"/>
    <s v="Received Through UPI App"/>
    <s v="Hike App"/>
    <x v="0"/>
    <m/>
    <s v="2017-2018"/>
    <s v="CHECKED"/>
  </r>
  <r>
    <x v="148"/>
    <d v="2017-12-18T00:00:00"/>
    <s v="   BY TRANSFER-UPI/735218570580/8003027591.hike@yesbank--"/>
    <s v="TRANSFER FROM 4897700162097"/>
    <m/>
    <n v="368"/>
    <n v="99904.960000000021"/>
    <s v="Transfer Through UPI App"/>
    <s v="Hike App"/>
    <x v="34"/>
    <m/>
    <s v="2017-2018"/>
    <s v="CHECKED"/>
  </r>
  <r>
    <x v="148"/>
    <d v="2017-12-18T00:00:00"/>
    <s v="   TO TRANSFER-UPI/735218570642/00000061207864076@sbin00311--"/>
    <s v="TRANSFER TO 4897657162096"/>
    <n v="368"/>
    <m/>
    <n v="99536.960000000021"/>
    <s v="Received Through UPI App"/>
    <s v="Hike App"/>
    <x v="0"/>
    <m/>
    <s v="2017-2018"/>
    <s v="CHECKED"/>
  </r>
  <r>
    <x v="148"/>
    <d v="2017-12-18T00:00:00"/>
    <s v="   BY TRANSFER-UPI/735218570642/8003027591.hike@yesbank--"/>
    <s v="TRANSFER FROM 4897697162099"/>
    <m/>
    <n v="368"/>
    <n v="99904.960000000021"/>
    <s v="Transfer Through UPI App"/>
    <s v="Hike App"/>
    <x v="34"/>
    <m/>
    <s v="2017-2018"/>
    <s v="CHECKED"/>
  </r>
  <r>
    <x v="148"/>
    <d v="2017-12-18T00:00:00"/>
    <s v="   TO TRANSFER-UPI/735218570664/00000061207864076@sbin00311--"/>
    <s v="TRANSFER TO 4897656162097"/>
    <n v="368"/>
    <m/>
    <n v="99536.960000000021"/>
    <s v="Received Through UPI App"/>
    <s v="Hike App"/>
    <x v="0"/>
    <m/>
    <s v="2017-2018"/>
    <s v="CHECKED"/>
  </r>
  <r>
    <x v="148"/>
    <d v="2017-12-18T00:00:00"/>
    <s v="   BY TRANSFER-UPI/735218570664/8003027591.hike@yesbank--"/>
    <s v="TRANSFER FROM 4897697162099"/>
    <m/>
    <n v="368"/>
    <n v="99904.960000000021"/>
    <s v="Transfer Through UPI App"/>
    <s v="Hike App"/>
    <x v="34"/>
    <m/>
    <s v="2017-2018"/>
    <s v="CHECKED"/>
  </r>
  <r>
    <x v="149"/>
    <d v="2017-12-25T00:00:00"/>
    <s v="   CREDIT INTEREST---"/>
    <m/>
    <m/>
    <n v="952"/>
    <n v="100856.96000000002"/>
    <s v="Credit Interest"/>
    <m/>
    <x v="0"/>
    <m/>
    <s v="2017-2018"/>
    <s v="CHECKED"/>
  </r>
  <r>
    <x v="150"/>
    <d v="2017-12-30T00:00:00"/>
    <s v="   CREDIT INTEREST---"/>
    <m/>
    <m/>
    <n v="39"/>
    <n v="100895.96000000002"/>
    <s v="Credit Interest"/>
    <m/>
    <x v="0"/>
    <m/>
    <s v="2017-2018"/>
    <s v="CHECKED"/>
  </r>
  <r>
    <x v="150"/>
    <d v="2017-12-30T00:00:00"/>
    <s v="   DEBIT INTEREST---"/>
    <m/>
    <n v="39"/>
    <m/>
    <n v="100856.96000000002"/>
    <s v="Debit Interest"/>
    <m/>
    <x v="0"/>
    <m/>
    <s v="2017-2018"/>
    <s v="CHECKED"/>
  </r>
  <r>
    <x v="151"/>
    <d v="2017-12-31T00:00:00"/>
    <s v="   TO TRANSFER-INB Reliance Jio Infocom      BILL_REJIOI Payments--"/>
    <s v="LSBI5927984604IGACQGBJA1               TRANSFER TO"/>
    <n v="459"/>
    <m/>
    <n v="100397.96000000002"/>
    <s v="Mobile Recharge"/>
    <s v="Google Pay App"/>
    <x v="35"/>
    <m/>
    <s v="2017-2018"/>
    <s v="CHECKED"/>
  </r>
  <r>
    <x v="152"/>
    <d v="2018-01-02T00:00:00"/>
    <s v="   TO TRANSFER-UPI/800232816435/BILDSK@ybl--"/>
    <s v="TRANSFER TO 4898733162092"/>
    <n v="1117"/>
    <m/>
    <n v="99280.960000000021"/>
    <s v="Electricity Bill"/>
    <s v="Phone Pe App"/>
    <x v="36"/>
    <m/>
    <s v="2017-2018"/>
    <s v="CHECKED"/>
  </r>
  <r>
    <x v="152"/>
    <d v="2018-01-02T00:00:00"/>
    <s v="   TO TRANSFER-UPI/800208893565/8003027591@ybl--"/>
    <s v="TRANSFER TO 4897663162099"/>
    <n v="68"/>
    <m/>
    <n v="99212.960000000021"/>
    <s v="Transfer Through UPI App"/>
    <s v="Hike App"/>
    <x v="34"/>
    <m/>
    <s v="2017-2018"/>
    <s v="CHECKED"/>
  </r>
  <r>
    <x v="152"/>
    <d v="2018-01-02T00:00:00"/>
    <s v="   BY TRANSFER-UPI/800208893565/8003027591.hike@yesbank--"/>
    <s v="TRANSFER FROM 4897704162094"/>
    <m/>
    <n v="68"/>
    <n v="99280.960000000021"/>
    <s v="Received Through UPI App"/>
    <s v="Hike App"/>
    <x v="0"/>
    <m/>
    <s v="2017-2018"/>
    <s v="CHECKED"/>
  </r>
  <r>
    <x v="153"/>
    <d v="2018-01-03T00:00:00"/>
    <s v="   BULK POSTING-SAL01183184417000325980000054019472102549430004519--"/>
    <m/>
    <m/>
    <n v="23259"/>
    <n v="122539.96000000002"/>
    <s v="Salary"/>
    <m/>
    <x v="0"/>
    <m/>
    <s v="2017-2018"/>
    <s v="CHECKED"/>
  </r>
  <r>
    <x v="154"/>
    <d v="2018-01-30T00:00:00"/>
    <s v="   BULK POSTING-FVC01183184417000325980000057020899102823310001019--"/>
    <m/>
    <m/>
    <n v="250"/>
    <n v="122789.96000000002"/>
    <s v="Other Bill Reimbursement (DOIT)"/>
    <m/>
    <x v="37"/>
    <m/>
    <s v="2017-2018"/>
    <s v="CHECKED"/>
  </r>
  <r>
    <x v="155"/>
    <d v="2018-02-02T00:00:00"/>
    <s v="   TO TRANSFER-INB NEFT UTR NO: SBIN818033389455--Principal SRS Chahal Collage"/>
    <s v="NEFT INB: IRF7281617                               / Principal SRS Chahal Collage"/>
    <n v="4650"/>
    <m/>
    <n v="118139.96000000002"/>
    <s v="Transfer Through Net Banking"/>
    <m/>
    <x v="38"/>
    <m/>
    <s v="2017-2018"/>
    <s v="CHECKED"/>
  </r>
  <r>
    <x v="156"/>
    <d v="2018-02-03T00:00:00"/>
    <s v="   BULK POSTING-SAL02183184417000325980000058021258102914380017219--"/>
    <m/>
    <m/>
    <n v="26767"/>
    <n v="144906.96000000002"/>
    <s v="Salary"/>
    <m/>
    <x v="0"/>
    <m/>
    <s v="2017-2018"/>
    <s v="CHECKED"/>
  </r>
  <r>
    <x v="157"/>
    <d v="2018-02-06T00:00:00"/>
    <s v="   BY TRANSFER-UPI/803702200995/9999417766@upi--"/>
    <s v="TRANSFER FROM 4898954162090"/>
    <m/>
    <n v="100"/>
    <n v="145006.96000000002"/>
    <s v="Received Through UPI App"/>
    <s v="Bhim App"/>
    <x v="39"/>
    <m/>
    <s v="2017-2018"/>
    <s v="CHECKED"/>
  </r>
  <r>
    <x v="157"/>
    <d v="2018-02-06T00:00:00"/>
    <s v="   TO TRANSFER-UPI/803718261134/8003027591@upi--"/>
    <s v="TRANSFER TO 4898821162092"/>
    <n v="74"/>
    <m/>
    <n v="144932.96000000002"/>
    <s v="Transfer Through UPI App"/>
    <m/>
    <x v="0"/>
    <m/>
    <s v="2017-2018"/>
    <s v="6. pending to check with daily expenses sheet"/>
  </r>
  <r>
    <x v="157"/>
    <d v="2018-02-06T00:00:00"/>
    <s v="   BY TRANSFER-UPI/803718261134/8003027591.hike@yesbank--"/>
    <s v="TRANSFER FROM 4897703162095"/>
    <m/>
    <n v="74"/>
    <n v="145006.96000000002"/>
    <s v="Received Through UPI App"/>
    <s v="Hike App"/>
    <x v="0"/>
    <m/>
    <s v="2017-2018"/>
    <s v="CHECKED"/>
  </r>
  <r>
    <x v="158"/>
    <d v="2018-02-07T00:00:00"/>
    <s v="   BY TRANSFER-INB Deposit / Investment--"/>
    <s v="IHG8800084               TRANSFER FROM 61204889731"/>
    <m/>
    <n v="4650"/>
    <n v="149656.96000000002"/>
    <s v="Received Through UPI App"/>
    <m/>
    <x v="40"/>
    <m/>
    <s v="2017-2018"/>
    <s v="CHECKED"/>
  </r>
  <r>
    <x v="159"/>
    <d v="2018-02-15T00:00:00"/>
    <s v="   BULK POSTING-SAL02183184417000325980000060022168103033700002619--"/>
    <m/>
    <m/>
    <n v="10524"/>
    <n v="160180.96000000002"/>
    <s v="Salary"/>
    <m/>
    <x v="7"/>
    <s v="Salary Arrer from Oct to Dec (7th Pay Comm)"/>
    <s v="2017-2018"/>
    <s v="CHECKED"/>
  </r>
  <r>
    <x v="160"/>
    <d v="2018-02-16T00:00:00"/>
    <s v="   by debit card-SBIPG 010041087514airtel46/raj/postpaid Jaipur--"/>
    <m/>
    <n v="296"/>
    <m/>
    <n v="159884.96000000002"/>
    <s v="Mobile Recharge"/>
    <m/>
    <x v="18"/>
    <m/>
    <s v="2017-2018"/>
    <s v="CHECKED"/>
  </r>
  <r>
    <x v="161"/>
    <d v="2018-02-18T00:00:00"/>
    <s v="   ATM WDL-ATM CASH 5352  SBBJ TIBBI            HANUMANGARH--"/>
    <m/>
    <n v="10000"/>
    <m/>
    <n v="149884.96000000002"/>
    <s v="Cash Withdrwal"/>
    <m/>
    <x v="15"/>
    <m/>
    <s v="2017-2018"/>
    <s v="CHECKED"/>
  </r>
  <r>
    <x v="162"/>
    <d v="2018-03-06T00:00:00"/>
    <s v="   BULK POSTING-SAL03183184417000325980000066023714103258890001219--"/>
    <m/>
    <m/>
    <n v="15068"/>
    <n v="164952.96000000002"/>
    <s v="Salary"/>
    <m/>
    <x v="19"/>
    <m/>
    <s v="2017-2018"/>
    <s v="CHECKED"/>
  </r>
  <r>
    <x v="163"/>
    <d v="2018-03-07T00:00:00"/>
    <s v="   BULK POSTING-SAL03183184417000325980000067023784103280600008019--"/>
    <m/>
    <m/>
    <n v="26767"/>
    <n v="191719.96000000002"/>
    <s v="Salary"/>
    <m/>
    <x v="0"/>
    <m/>
    <s v="2017-2018"/>
    <s v="CHECKED"/>
  </r>
  <r>
    <x v="164"/>
    <d v="2018-03-08T00:00:00"/>
    <s v="   BULK POSTING-TO Salary TRICKLE FEED ENTRY--"/>
    <m/>
    <m/>
    <n v="105"/>
    <n v="191824.96000000002"/>
    <s v="Mobile Bill Reimbursement (DOIT)"/>
    <m/>
    <x v="0"/>
    <m/>
    <s v="2017-2018"/>
    <s v="CHECKED"/>
  </r>
  <r>
    <x v="164"/>
    <d v="2018-03-08T00:00:00"/>
    <s v="   TO TRANSFER-INB Life Insurance Corporatio LIC_Ref--"/>
    <s v="LSBI6116089196IGADBKDOM3               TRANSFER TO"/>
    <n v="7102.32"/>
    <m/>
    <n v="184722.64"/>
    <s v="Transfer Through Net Banking"/>
    <m/>
    <x v="41"/>
    <m/>
    <s v="2017-2018"/>
    <s v="CHECKED"/>
  </r>
  <r>
    <x v="165"/>
    <d v="2018-03-11T00:00:00"/>
    <s v="   ATM WDL-ATM CASH 80692 GURUDWARA RD. CD       MALOUT--"/>
    <m/>
    <n v="10000"/>
    <m/>
    <n v="174722.64"/>
    <s v="Cash Withdrwal"/>
    <m/>
    <x v="3"/>
    <m/>
    <s v="2017-2018"/>
    <s v="CHECKED"/>
  </r>
  <r>
    <x v="166"/>
    <d v="2018-03-14T00:00:00"/>
    <s v="   TO TRANSFER-INB Bharti Airtel Limited--"/>
    <s v="6830268461IGADCOQMW9               TRANSFER TO 459"/>
    <n v="309"/>
    <m/>
    <n v="174413.64"/>
    <s v="Mobile Recharge"/>
    <m/>
    <x v="18"/>
    <m/>
    <s v="2017-2018"/>
    <s v="CHECKED"/>
  </r>
  <r>
    <x v="167"/>
    <d v="2018-03-16T00:00:00"/>
    <s v="   TO TRANSFER-INB AMAZON--"/>
    <s v="3MdDRFcWInCKIY2FqDIGADCWAXB5               TRANSFE"/>
    <n v="608"/>
    <m/>
    <n v="173805.64"/>
    <s v="Transfer Through Net Banking"/>
    <m/>
    <x v="42"/>
    <m/>
    <s v="2017-2018"/>
    <s v="CHECKED"/>
  </r>
  <r>
    <x v="168"/>
    <d v="2018-03-25T00:00:00"/>
    <s v="   TO TRANSFER-UPI/808460862667/FXM@ybl--"/>
    <s v="TRANSFER TO 4898289162095"/>
    <n v="324"/>
    <m/>
    <n v="173481.64"/>
    <s v="Mobile Recharge"/>
    <s v="Phone Pe App"/>
    <x v="35"/>
    <m/>
    <s v="2017-2018"/>
    <s v="CHECKED"/>
  </r>
  <r>
    <x v="168"/>
    <d v="2018-03-25T00:00:00"/>
    <s v="   CREDIT INTEREST---"/>
    <m/>
    <m/>
    <n v="1225"/>
    <n v="174706.64"/>
    <s v="Credit Interest"/>
    <m/>
    <x v="0"/>
    <m/>
    <s v="2017-2018"/>
    <s v="CHECKED"/>
  </r>
  <r>
    <x v="169"/>
    <d v="2018-03-26T00:00:00"/>
    <s v="   TO TRANSFER-UPI/808480101058/9464507310@ybl--"/>
    <s v="TRANSFER TO 4898924162096"/>
    <n v="500"/>
    <m/>
    <n v="174206.64"/>
    <s v="Transfer Through UPI App"/>
    <s v="Phone Pe App"/>
    <x v="32"/>
    <m/>
    <s v="2017-2018"/>
    <s v="CHECKED"/>
  </r>
  <r>
    <x v="169"/>
    <d v="2018-03-26T00:00:00"/>
    <s v="   BY TRANSFER-UPI/808420681516/9464507310@ybl--"/>
    <s v="TRANSFER FROM 4899003162095"/>
    <m/>
    <n v="500"/>
    <n v="174706.64"/>
    <s v="Received Through UPI App"/>
    <s v="Phone Pe App"/>
    <x v="32"/>
    <m/>
    <s v="2017-2018"/>
    <s v="CHECKED"/>
  </r>
  <r>
    <x v="169"/>
    <d v="2018-03-26T00:00:00"/>
    <s v="   BY TRANSFER-UPI/808463970183/8003027591@ybl--"/>
    <s v="TRANSFER FROM 4898996162091"/>
    <m/>
    <n v="100"/>
    <n v="174806.64"/>
    <s v="Received Through UPI App"/>
    <s v="Bhim App"/>
    <x v="43"/>
    <m/>
    <s v="2017-2018"/>
    <s v="CHECKED"/>
  </r>
  <r>
    <x v="169"/>
    <d v="2018-03-26T00:00:00"/>
    <s v="   TO TRANSFER-UPI/808463970183/8003027591@upi--"/>
    <s v="TRANSFER TO 4898923162097"/>
    <n v="100"/>
    <m/>
    <n v="174706.64"/>
    <s v="Transfer Through UPI App"/>
    <s v="Phone Pe App"/>
    <x v="43"/>
    <m/>
    <s v="2017-2018"/>
    <s v="CHECKED"/>
  </r>
  <r>
    <x v="169"/>
    <d v="2018-03-26T00:00:00"/>
    <s v="   TO TRANSFER-UPI/808421676852/8003027591@upi--"/>
    <s v="TRANSFER TO 4898920162099"/>
    <n v="100"/>
    <m/>
    <n v="174606.64"/>
    <s v="Transfer Through UPI App"/>
    <s v="Phone Pe App"/>
    <x v="43"/>
    <m/>
    <s v="2017-2018"/>
    <s v="CHECKED"/>
  </r>
  <r>
    <x v="169"/>
    <d v="2018-03-26T00:00:00"/>
    <s v="   BY TRANSFER-UPI/808421676852/8003027591@ybl--"/>
    <s v="TRANSFER FROM 4899004162094"/>
    <m/>
    <n v="100"/>
    <n v="174706.64"/>
    <s v="Received Through UPI App"/>
    <s v="Bhim App"/>
    <x v="43"/>
    <m/>
    <s v="2017-2018"/>
    <s v="CHECKED"/>
  </r>
  <r>
    <x v="169"/>
    <d v="2018-03-26T00:00:00"/>
    <s v="   BY TRANSFER-UPI/808421217938/8003027591@ybl--"/>
    <s v="TRANSFER FROM 4899002162096"/>
    <m/>
    <n v="100"/>
    <n v="174806.64"/>
    <s v="Received Through UPI App"/>
    <s v="Bhim App"/>
    <x v="43"/>
    <m/>
    <s v="2017-2018"/>
    <s v="CHECKED"/>
  </r>
  <r>
    <x v="169"/>
    <d v="2018-03-26T00:00:00"/>
    <s v="   TO TRANSFER-UPI/808442537592/8003027591@upi--"/>
    <s v="TRANSFER TO 4898918162094"/>
    <n v="100"/>
    <m/>
    <n v="174706.64"/>
    <s v="Transfer Through UPI App"/>
    <s v="Phone Pe App"/>
    <x v="43"/>
    <m/>
    <s v="2017-2018"/>
    <s v="CHECKED"/>
  </r>
  <r>
    <x v="169"/>
    <d v="2018-03-26T00:00:00"/>
    <s v="   TO TRANSFER-UPI/808463846721/8003027591@upi--"/>
    <s v="TRANSFER TO 4897685162093"/>
    <n v="100"/>
    <m/>
    <n v="174606.64"/>
    <s v="Transfer Through UPI App"/>
    <s v="Phone Pe App"/>
    <x v="43"/>
    <m/>
    <s v="2017-2018"/>
    <s v="CHECKED"/>
  </r>
  <r>
    <x v="169"/>
    <d v="2018-03-26T00:00:00"/>
    <s v="   TO TRANSFER-UPI/808421217938/8003027591@upi--"/>
    <s v="TRANSFER TO 4897687162091"/>
    <n v="100"/>
    <m/>
    <n v="174506.64"/>
    <s v="Transfer Through UPI App"/>
    <s v="Phone Pe App"/>
    <x v="43"/>
    <m/>
    <s v="2017-2018"/>
    <s v="CHECKED"/>
  </r>
  <r>
    <x v="169"/>
    <d v="2018-03-26T00:00:00"/>
    <s v="   BY TRANSFER-UPI/808442537592/8003027591@ybl--"/>
    <s v="TRANSFER FROM 4899004162094"/>
    <m/>
    <n v="100"/>
    <n v="174606.64"/>
    <s v="Received Through UPI App"/>
    <s v="Bhim App"/>
    <x v="43"/>
    <m/>
    <s v="2017-2018"/>
    <s v="CHECKED"/>
  </r>
  <r>
    <x v="169"/>
    <d v="2018-03-26T00:00:00"/>
    <s v="   BY TRANSFER-UPI/808463846721/8003027591@ybl--"/>
    <s v="TRANSFER FROM 4897729162096"/>
    <m/>
    <n v="100"/>
    <n v="174706.64"/>
    <s v="Received Through UPI App"/>
    <s v="Bhim App"/>
    <x v="43"/>
    <m/>
    <s v="2017-2018"/>
    <s v="CHECKED"/>
  </r>
  <r>
    <x v="169"/>
    <d v="2018-03-26T00:00:00"/>
    <s v="   ATM WDL-ATM CASH 80851 MALOUT                 MUKTSAR--"/>
    <m/>
    <n v="10000"/>
    <m/>
    <n v="164706.64000000001"/>
    <s v="Cash Withdrwal"/>
    <m/>
    <x v="3"/>
    <m/>
    <s v="2017-2018"/>
    <s v="CHECKED"/>
  </r>
  <r>
    <x v="169"/>
    <d v="2018-03-26T00:00:00"/>
    <s v="   ATM WDL-ATM CASH 80851 MALOUT                 MUKTSAR--"/>
    <m/>
    <n v="10000"/>
    <m/>
    <n v="154706.64000000001"/>
    <s v="Cash Withdrwal"/>
    <m/>
    <x v="3"/>
    <m/>
    <s v="2017-2018"/>
    <s v="CHECKED"/>
  </r>
  <r>
    <x v="170"/>
    <d v="2018-04-03T00:00:00"/>
    <s v="   TO TRANSFER-INB Saving in PPF--"/>
    <s v="IF15270524               TRANSFER TO 32500545461  "/>
    <n v="58000"/>
    <m/>
    <n v="96706.640000000014"/>
    <s v="PPF"/>
    <m/>
    <x v="0"/>
    <m/>
    <s v="2018-2019"/>
    <s v="CHECKED"/>
  </r>
  <r>
    <x v="171"/>
    <d v="2018-04-06T00:00:00"/>
    <s v="   TO TRANSFER-UPI/809622515124/8003027591@upi--"/>
    <s v="TRANSFER TO 4898880162091"/>
    <n v="10000"/>
    <m/>
    <n v="86706.640000000014"/>
    <s v="Transfer Through UPI App"/>
    <s v="Phone Pe App"/>
    <x v="43"/>
    <m/>
    <s v="2018-2019"/>
    <s v="CHECKED"/>
  </r>
  <r>
    <x v="171"/>
    <d v="2018-04-06T00:00:00"/>
    <s v="   BY TRANSFER-UPI/809622515124/8003027591@ybl--"/>
    <s v="TRANSFER FROM 4897717162090"/>
    <m/>
    <n v="10000"/>
    <n v="96706.640000000014"/>
    <s v="Received Through UPI App"/>
    <s v="Bhim App"/>
    <x v="43"/>
    <m/>
    <s v="2018-2019"/>
    <s v="CHECKED"/>
  </r>
  <r>
    <x v="172"/>
    <d v="2018-04-16T00:00:00"/>
    <s v="   BULK POSTING-SAL04183184417000325980000001000930103965560011119--"/>
    <m/>
    <m/>
    <n v="26934"/>
    <n v="123640.64000000001"/>
    <s v="Salary"/>
    <m/>
    <x v="0"/>
    <m/>
    <s v="2018-2019"/>
    <s v="CHECKED"/>
  </r>
  <r>
    <x v="173"/>
    <d v="2018-04-17T00:00:00"/>
    <s v="   BY TRANSFER-UPI/810709798893/goog-payment@okaxis--"/>
    <s v="TRANSFER FROM 4897702162096"/>
    <m/>
    <n v="51"/>
    <n v="123691.64000000001"/>
    <s v="Earning From UPI App"/>
    <s v="Google Pay App"/>
    <x v="44"/>
    <m/>
    <s v="2018-2019"/>
    <s v="CHECKED"/>
  </r>
  <r>
    <x v="173"/>
    <d v="2018-04-17T00:00:00"/>
    <s v="   BY TRANSFER-UPI/810709587402/samyakagroindustries@oksbi--"/>
    <s v="TRANSFER FROM 4898949162097"/>
    <m/>
    <n v="51"/>
    <n v="123742.64000000001"/>
    <s v="Received Through UPI App"/>
    <m/>
    <x v="45"/>
    <m/>
    <s v="2018-2019"/>
    <s v="CHECKED"/>
  </r>
  <r>
    <x v="173"/>
    <d v="2018-04-17T00:00:00"/>
    <s v="   TO TRANSFER-UPI/810709589608/samyakagroindustries@oksbi--"/>
    <s v="TRANSFER TO 4897662162090"/>
    <n v="51"/>
    <m/>
    <n v="123691.64000000001"/>
    <s v="Transfer Through UPI App"/>
    <m/>
    <x v="45"/>
    <m/>
    <s v="2018-2019"/>
    <s v="CHECKED"/>
  </r>
  <r>
    <x v="173"/>
    <d v="2018-04-17T00:00:00"/>
    <s v="   BY TRANSFER-UPI/810709815660/goog-payment@okaxis--"/>
    <s v="TRANSFER FROM 4898953162091"/>
    <m/>
    <n v="51"/>
    <n v="123742.64000000001"/>
    <s v="Earning From UPI App"/>
    <s v="Google Pay App"/>
    <x v="44"/>
    <m/>
    <s v="2018-2019"/>
    <s v="CHECKED"/>
  </r>
  <r>
    <x v="174"/>
    <d v="2018-04-18T00:00:00"/>
    <s v="   CREDIT---"/>
    <m/>
    <m/>
    <n v="15839"/>
    <n v="139581.64000000001"/>
    <s v="TA Bill Reimbursement (DOIT)"/>
    <m/>
    <x v="23"/>
    <m/>
    <s v="2018-2019"/>
    <s v="CHECKED"/>
  </r>
  <r>
    <x v="174"/>
    <d v="2018-04-18T00:00:00"/>
    <s v="   BY TRANSFER-AC CLOSED--"/>
    <s v="TRANSFER FROM 33165779276                         "/>
    <m/>
    <n v="4193"/>
    <n v="143774.64000000001"/>
    <s v="Acc Closed"/>
    <m/>
    <x v="46"/>
    <m/>
    <s v="2018-2019"/>
    <s v="CHECKED"/>
  </r>
  <r>
    <x v="175"/>
    <d v="2018-04-23T00:00:00"/>
    <s v="   BY TRANSFER-UPI/811314063543/8847283560@ybl--"/>
    <s v="TRANSFER FROM 4898940162095"/>
    <m/>
    <n v="500"/>
    <n v="144274.64000000001"/>
    <s v="Received Through UPI App"/>
    <s v="Phone Pe App"/>
    <x v="28"/>
    <m/>
    <s v="2018-2019"/>
    <s v="CHECKED"/>
  </r>
  <r>
    <x v="175"/>
    <d v="2018-04-23T00:00:00"/>
    <s v="   BY TRANSFER-UPI/811314714200/8847283560@ybl--"/>
    <s v="TRANSFER FROM 4898939162099"/>
    <m/>
    <n v="100"/>
    <n v="144374.64000000001"/>
    <s v="Received Through UPI App"/>
    <s v="Phone Pe App"/>
    <x v="28"/>
    <m/>
    <s v="2018-2019"/>
    <s v="CHECKED"/>
  </r>
  <r>
    <x v="175"/>
    <d v="2018-04-23T00:00:00"/>
    <s v="   BY TRANSFER-UPI/811307047699/8847283560@ybl--"/>
    <s v="TRANSFER FROM 4898942162094"/>
    <m/>
    <n v="100"/>
    <n v="144474.64000000001"/>
    <s v="Received Through UPI App"/>
    <s v="Phone Pe App"/>
    <x v="28"/>
    <m/>
    <s v="2018-2019"/>
    <s v="CHECKED"/>
  </r>
  <r>
    <x v="175"/>
    <d v="2018-04-23T00:00:00"/>
    <s v="   BY TRANSFER-UPI/811328828292/8847283560@ybl--"/>
    <s v="TRANSFER FROM 4897698162098"/>
    <m/>
    <n v="100"/>
    <n v="144574.64000000001"/>
    <s v="Received Through UPI App"/>
    <s v="Phone Pe App"/>
    <x v="28"/>
    <m/>
    <s v="2018-2019"/>
    <s v="CHECKED"/>
  </r>
  <r>
    <x v="175"/>
    <d v="2018-04-23T00:00:00"/>
    <s v="   BY TRANSFER-UPI/811328565196/8847283560@ybl--"/>
    <s v="TRANSFER FROM 4897698162098"/>
    <m/>
    <n v="100"/>
    <n v="144674.64000000001"/>
    <s v="Received Through UPI App"/>
    <s v="Phone Pe App"/>
    <x v="28"/>
    <m/>
    <s v="2018-2019"/>
    <s v="CHECKED"/>
  </r>
  <r>
    <x v="175"/>
    <d v="2018-04-23T00:00:00"/>
    <s v="   BY TRANSFER-UPI/811308775884/divya88jain88@oksbi--"/>
    <s v="TRANSFER FROM 4898939162099"/>
    <m/>
    <n v="150"/>
    <n v="144824.64000000001"/>
    <s v="Received Through UPI App"/>
    <s v="Google Pay App"/>
    <x v="28"/>
    <m/>
    <s v="2018-2019"/>
    <s v="CHECKED"/>
  </r>
  <r>
    <x v="175"/>
    <d v="2018-04-23T00:00:00"/>
    <s v="   BY TRANSFER-UPI/811308637267/goog-payment@okaxis--"/>
    <s v="TRANSFER FROM 4898944162092"/>
    <m/>
    <n v="11"/>
    <n v="144835.64000000001"/>
    <s v="Earning From UPI App"/>
    <s v="Google Pay App"/>
    <x v="44"/>
    <m/>
    <s v="2018-2019"/>
    <s v="CHECKED"/>
  </r>
  <r>
    <x v="175"/>
    <d v="2018-04-23T00:00:00"/>
    <s v="   BY TRANSFER-UPI/811308776836/divya88jain88@oksbi--"/>
    <s v="TRANSFER FROM 4897697162099"/>
    <m/>
    <n v="500"/>
    <n v="145335.64000000001"/>
    <s v="Received Through UPI App"/>
    <s v="Google Pay App"/>
    <x v="28"/>
    <m/>
    <s v="2018-2019"/>
    <s v="CHECKED"/>
  </r>
  <r>
    <x v="175"/>
    <d v="2018-04-23T00:00:00"/>
    <s v="   TO TRANSFER-UPI/811308778744/divya88jain88@oksbi--"/>
    <s v="TRANSFER TO 4897659162094"/>
    <n v="500"/>
    <m/>
    <n v="144835.64000000001"/>
    <s v="Transfer Through UPI App"/>
    <s v="Google Pay App"/>
    <x v="28"/>
    <m/>
    <s v="2018-2019"/>
    <s v="CHECKED"/>
  </r>
  <r>
    <x v="175"/>
    <d v="2018-04-23T00:00:00"/>
    <s v="   TO TRANSFER-UPI/811308778999/divya88jain88@oksbi--"/>
    <s v="TRANSFER TO 4898796162098"/>
    <n v="150"/>
    <m/>
    <n v="144685.64000000001"/>
    <s v="Transfer Through UPI App"/>
    <s v="Google Pay App"/>
    <x v="28"/>
    <m/>
    <s v="2018-2019"/>
    <s v="CHECKED"/>
  </r>
  <r>
    <x v="176"/>
    <d v="2018-04-25T00:00:00"/>
    <s v="   BULK POSTING-SAL04183184417000325980000002001615104063930007219--"/>
    <m/>
    <m/>
    <n v="517"/>
    <n v="145202.64000000001"/>
    <s v="Salary"/>
    <m/>
    <x v="7"/>
    <m/>
    <s v="2018-2019"/>
    <s v="CHECKED"/>
  </r>
  <r>
    <x v="176"/>
    <d v="2018-04-25T00:00:00"/>
    <s v="   BULK POSTING-SAL04183184417000325980000002001615104063930009319--"/>
    <m/>
    <m/>
    <n v="804"/>
    <n v="146006.64000000001"/>
    <s v="Salary"/>
    <m/>
    <x v="7"/>
    <s v="PL Arrer"/>
    <s v="2018-2019"/>
    <s v="CHECKED"/>
  </r>
  <r>
    <x v="177"/>
    <d v="2018-04-26T00:00:00"/>
    <s v="   BY TRANSFER-UPI/811611215763/jass.2101@oksbi--"/>
    <s v="TRANSFER FROM 4898975162096"/>
    <m/>
    <n v="150"/>
    <n v="146156.64000000001"/>
    <s v="Received Through UPI App"/>
    <s v="Google Pay App"/>
    <x v="47"/>
    <m/>
    <s v="2018-2019"/>
    <s v="CHECKED"/>
  </r>
  <r>
    <x v="177"/>
    <d v="2018-04-26T00:00:00"/>
    <s v="   BY TRANSFER-UPI/811611691784/goog-payment@okaxis--"/>
    <s v="TRANSFER FROM 4898975162096"/>
    <m/>
    <n v="51"/>
    <n v="146207.64000000001"/>
    <s v="Earning From UPI App"/>
    <s v="Google Pay App"/>
    <x v="44"/>
    <m/>
    <s v="2018-2019"/>
    <s v="CHECKED"/>
  </r>
  <r>
    <x v="177"/>
    <d v="2018-04-26T00:00:00"/>
    <s v="   TO TRANSFER-UPI/811611216692/jass.2101@oksbi--"/>
    <s v="TRANSFER TO 4898861162095"/>
    <n v="150"/>
    <m/>
    <n v="146057.64000000001"/>
    <s v="Transfer Through UPI App"/>
    <s v="Google Pay App"/>
    <x v="47"/>
    <m/>
    <s v="2018-2019"/>
    <s v="CHECKED"/>
  </r>
  <r>
    <x v="177"/>
    <d v="2018-04-26T00:00:00"/>
    <s v="   BY TRANSFER-UPI/811611219498/jass.2101@oksbi--"/>
    <s v="TRANSFER FROM 4898974162097"/>
    <m/>
    <n v="500"/>
    <n v="146557.64000000001"/>
    <s v="Received Through UPI App"/>
    <s v="Google Pay App"/>
    <x v="47"/>
    <m/>
    <s v="2018-2019"/>
    <s v="CHECKED"/>
  </r>
  <r>
    <x v="177"/>
    <d v="2018-04-26T00:00:00"/>
    <s v="   TO TRANSFER-UPI/811611219992/jass.2101@oksbi--"/>
    <s v="TRANSFER TO 4898860162095"/>
    <n v="500"/>
    <m/>
    <n v="146057.64000000001"/>
    <s v="Transfer Through UPI App"/>
    <s v="Google Pay App"/>
    <x v="47"/>
    <m/>
    <s v="2018-2019"/>
    <s v="CHECKED"/>
  </r>
  <r>
    <x v="177"/>
    <d v="2018-04-26T00:00:00"/>
    <s v="   TO TRANSFER-UPI/811618400053/samyakagroindustries@oksbi--"/>
    <s v="TRANSFER TO 4898864162092"/>
    <n v="150"/>
    <m/>
    <n v="145907.64000000001"/>
    <s v="Transfer Through UPI App"/>
    <s v="Google Pay App"/>
    <x v="45"/>
    <m/>
    <s v="2018-2019"/>
    <s v="CHECKED"/>
  </r>
  <r>
    <x v="177"/>
    <d v="2018-04-26T00:00:00"/>
    <s v="   TO TRANSFER-UPI/811619430814/billdesk.airtel-postpaid@ic--"/>
    <s v="TRANSFER TO 4898742162091"/>
    <n v="293.58"/>
    <m/>
    <n v="145614.06000000003"/>
    <s v="Mobile Recharge"/>
    <s v="Google Pay App"/>
    <x v="18"/>
    <m/>
    <s v="2018-2019"/>
    <s v="CHECKED"/>
  </r>
  <r>
    <x v="177"/>
    <d v="2018-04-26T00:00:00"/>
    <s v="   BY TRANSFER-UPI/811619917449/goog-payment@okaxis--"/>
    <s v="TRANSFER FROM 4897714162093"/>
    <m/>
    <n v="22"/>
    <n v="145636.06000000003"/>
    <s v="Earning From UPI App"/>
    <s v="Google Pay App"/>
    <x v="48"/>
    <m/>
    <s v="2018-2019"/>
    <s v="CHECKED"/>
  </r>
  <r>
    <x v="178"/>
    <d v="2018-05-01T00:00:00"/>
    <s v="   BY TRANSFER-UPI/812115279848/varinderpurba99@oksbi--"/>
    <s v="TRANSFER FROM 4898955162099"/>
    <m/>
    <n v="1"/>
    <n v="145637.06000000003"/>
    <s v="Received Through UPI App"/>
    <s v="Google Pay App"/>
    <x v="49"/>
    <m/>
    <s v="2018-2019"/>
    <s v="CHECKED"/>
  </r>
  <r>
    <x v="178"/>
    <d v="2018-05-01T00:00:00"/>
    <s v="   BY TRANSFER-UPI/812115824835/goog-payment@okaxis--"/>
    <s v="TRANSFER FROM 4898952162092"/>
    <m/>
    <n v="51"/>
    <n v="145688.06000000003"/>
    <s v="Earning From UPI App"/>
    <s v="Google Pay App"/>
    <x v="44"/>
    <m/>
    <s v="2018-2019"/>
    <s v="CHECKED"/>
  </r>
  <r>
    <x v="178"/>
    <d v="2018-05-01T00:00:00"/>
    <s v="   TO TRANSFER-UPI/812116296785/varinderpurba99@oksbi--"/>
    <s v="TRANSFER TO 4898825162098"/>
    <n v="1"/>
    <m/>
    <n v="145687.06000000003"/>
    <s v="Transfer Through UPI App"/>
    <s v="Google Pay App"/>
    <x v="49"/>
    <m/>
    <s v="2018-2019"/>
    <s v="CHECKED"/>
  </r>
  <r>
    <x v="178"/>
    <d v="2018-05-01T00:00:00"/>
    <s v="   BY TRANSFER-UPI/812116298538/jass.2101@oksbi--"/>
    <s v="TRANSFER FROM 4897705162093"/>
    <m/>
    <n v="500"/>
    <n v="146187.06000000003"/>
    <s v="Received Through UPI App"/>
    <s v="Google Pay App"/>
    <x v="47"/>
    <m/>
    <s v="2018-2019"/>
    <s v="CHECKED"/>
  </r>
  <r>
    <x v="178"/>
    <d v="2018-05-01T00:00:00"/>
    <s v="   TO TRANSFER-UPI/812116299125/jass.2101@oksbi--"/>
    <s v="TRANSFER TO 4897663162099"/>
    <n v="500"/>
    <m/>
    <n v="145687.06000000003"/>
    <s v="Transfer Through UPI App"/>
    <s v="Google Pay App"/>
    <x v="47"/>
    <m/>
    <s v="2018-2019"/>
    <s v="CHECKED"/>
  </r>
  <r>
    <x v="178"/>
    <d v="2018-05-01T00:00:00"/>
    <s v="   TO TRANSFER-UPI/812117334569/divya88jain88@oksbi--"/>
    <s v="TRANSFER TO 4898817162098"/>
    <n v="150"/>
    <m/>
    <n v="145537.06000000003"/>
    <s v="Transfer Through UPI App"/>
    <s v="Google Pay App"/>
    <x v="28"/>
    <m/>
    <s v="2018-2019"/>
    <s v="CHECKED"/>
  </r>
  <r>
    <x v="178"/>
    <d v="2018-05-01T00:00:00"/>
    <s v="   TO TRANSFER-UPI/812117335013/divya88jain88@oksbi--"/>
    <s v="TRANSFER TO 4898820162092"/>
    <n v="500"/>
    <m/>
    <n v="145037.06000000003"/>
    <s v="Transfer Through UPI App"/>
    <s v="Google Pay App"/>
    <x v="28"/>
    <m/>
    <s v="2018-2019"/>
    <s v="CHECKED"/>
  </r>
  <r>
    <x v="178"/>
    <d v="2018-05-01T00:00:00"/>
    <s v="   BY TRANSFER-UPI/812117340249/divya88jain88@oksbi--"/>
    <s v="TRANSFER FROM 4898951162093"/>
    <m/>
    <n v="650"/>
    <n v="145687.06000000003"/>
    <s v="Received Through UPI App"/>
    <s v="Google Pay App"/>
    <x v="28"/>
    <m/>
    <s v="2018-2019"/>
    <s v="CHECKED"/>
  </r>
  <r>
    <x v="178"/>
    <d v="2018-05-01T00:00:00"/>
    <s v="   BY TRANSFER-UPI/812118343221/aks11031997@oksbi--"/>
    <s v="TRANSFER FROM 4898955162099"/>
    <m/>
    <n v="1"/>
    <n v="145688.06000000003"/>
    <s v="Received Through UPI App"/>
    <s v="Google Pay App"/>
    <x v="50"/>
    <m/>
    <s v="2018-2019"/>
    <s v="CHECKED"/>
  </r>
  <r>
    <x v="178"/>
    <d v="2018-05-01T00:00:00"/>
    <s v="   TO TRANSFER-UPI/812118343566/aks11031997@oksbi--"/>
    <s v="TRANSFER TO 4898822162091"/>
    <n v="1"/>
    <m/>
    <n v="145687.06000000003"/>
    <s v="Transfer Through UPI App"/>
    <s v="Google Pay App"/>
    <x v="50"/>
    <m/>
    <s v="2018-2019"/>
    <s v="CHECKED"/>
  </r>
  <r>
    <x v="179"/>
    <d v="2018-05-04T00:00:00"/>
    <s v="   TO TRANSFER-UPI/812408465679/billdesk.jvvnl-jodhpur@icici--"/>
    <s v="TRANSFER TO 4898285162099"/>
    <n v="2864"/>
    <m/>
    <n v="142823.06000000003"/>
    <s v="Electricity Bill"/>
    <s v="Google Pay App"/>
    <x v="36"/>
    <m/>
    <s v="2018-2019"/>
    <s v="CHECKED"/>
  </r>
  <r>
    <x v="179"/>
    <d v="2018-05-04T00:00:00"/>
    <s v="   BY TRANSFER-UPI/812408333151/goog-payment@okaxis--"/>
    <s v="TRANSFER FROM 4898984162095"/>
    <m/>
    <n v="14"/>
    <n v="142837.06000000003"/>
    <s v="Earning From UPI App"/>
    <s v="Google Pay App"/>
    <x v="51"/>
    <m/>
    <s v="2018-2019"/>
    <s v="CHECKED"/>
  </r>
  <r>
    <x v="180"/>
    <d v="2018-05-07T00:00:00"/>
    <s v="   BY TRANSFER-UPI/812716105781/singhturna813@oksbi--"/>
    <s v="TRANSFER FROM 4898943162093"/>
    <m/>
    <n v="150"/>
    <n v="142987.06000000003"/>
    <s v="Received Through UPI App"/>
    <s v="Google Pay App"/>
    <x v="52"/>
    <m/>
    <s v="2018-2019"/>
    <s v="CHECKED"/>
  </r>
  <r>
    <x v="180"/>
    <d v="2018-05-07T00:00:00"/>
    <s v="   BY TRANSFER-UPI/812716370870/goog-payment@okaxis--"/>
    <s v="TRANSFER FROM 4898945162091"/>
    <m/>
    <n v="51"/>
    <n v="143038.06000000003"/>
    <s v="Earning From UPI App"/>
    <s v="Google Pay App"/>
    <x v="44"/>
    <m/>
    <s v="2018-2019"/>
    <s v="CHECKED"/>
  </r>
  <r>
    <x v="180"/>
    <d v="2018-05-07T00:00:00"/>
    <s v="   TO TRANSFER-UPI/812717113919/singhturna813@oksbi--"/>
    <s v="TRANSFER TO 4898796162098"/>
    <n v="150"/>
    <m/>
    <n v="142888.06000000003"/>
    <s v="Transfer Through UPI App"/>
    <s v="Google Pay App"/>
    <x v="52"/>
    <m/>
    <s v="2018-2019"/>
    <s v="CHECKED"/>
  </r>
  <r>
    <x v="180"/>
    <d v="2018-05-07T00:00:00"/>
    <s v="   BY TRANSFER-UPI/812717203635/manojkhichar001@okicici--"/>
    <s v="TRANSFER FROM 4898942162094"/>
    <m/>
    <n v="500"/>
    <n v="143388.06000000003"/>
    <s v="Received Through UPI App"/>
    <s v="Google Pay App"/>
    <x v="53"/>
    <m/>
    <s v="2018-2019"/>
    <s v="CHECKED"/>
  </r>
  <r>
    <x v="180"/>
    <d v="2018-05-07T00:00:00"/>
    <s v="   BY TRANSFER-UPI/812717549506/goog-payment@okaxis--"/>
    <s v="TRANSFER FROM 4897700162097"/>
    <m/>
    <n v="51"/>
    <n v="143439.06000000003"/>
    <s v="Earning From UPI App"/>
    <s v="Google Pay App"/>
    <x v="44"/>
    <m/>
    <s v="2018-2019"/>
    <s v="CHECKED"/>
  </r>
  <r>
    <x v="180"/>
    <d v="2018-05-07T00:00:00"/>
    <s v="   TO TRANSFER-UPI/812717139684/manojkhichar001@okicici--"/>
    <s v="TRANSFER TO 4897656162097"/>
    <n v="500"/>
    <m/>
    <n v="142939.06000000003"/>
    <s v="Transfer Through UPI App"/>
    <s v="Google Pay App"/>
    <x v="53"/>
    <m/>
    <s v="2018-2019"/>
    <s v="CHECKED"/>
  </r>
  <r>
    <x v="180"/>
    <d v="2018-05-07T00:00:00"/>
    <s v="   BY TRANSFER-UPI/812718273886/irjeshgodara@okicici--"/>
    <s v="TRANSFER FROM 4898938162090"/>
    <m/>
    <n v="150"/>
    <n v="143089.06000000003"/>
    <s v="Received Through UPI App"/>
    <s v="Google Pay App"/>
    <x v="54"/>
    <m/>
    <s v="2018-2019"/>
    <s v="CHECKED"/>
  </r>
  <r>
    <x v="180"/>
    <d v="2018-05-07T00:00:00"/>
    <s v="   BY TRANSFER-UPI/812718594045/goog-payment@okaxis--"/>
    <s v="TRANSFER FROM 4898942162094"/>
    <m/>
    <n v="51"/>
    <n v="143140.06000000003"/>
    <s v="Earning From UPI App"/>
    <s v="Google Pay App"/>
    <x v="44"/>
    <m/>
    <s v="2018-2019"/>
    <s v="CHECKED"/>
  </r>
  <r>
    <x v="180"/>
    <d v="2018-05-07T00:00:00"/>
    <s v="   TO TRANSFER-UPI/812718148629/irjeshgodara@okicici--"/>
    <s v="TRANSFER TO 4898800162095"/>
    <n v="150"/>
    <m/>
    <n v="142990.06000000003"/>
    <s v="Transfer Through UPI App"/>
    <s v="Google Pay App"/>
    <x v="54"/>
    <m/>
    <s v="2018-2019"/>
    <s v="CHECKED"/>
  </r>
  <r>
    <x v="181"/>
    <d v="2018-05-09T00:00:00"/>
    <s v="   ATM WDL-ATM CASH 81290 TIBBI        HANUMANGARHANUMANGARH--"/>
    <m/>
    <n v="10000"/>
    <m/>
    <n v="132990.06000000003"/>
    <s v="Cash Withdrwal"/>
    <m/>
    <x v="15"/>
    <m/>
    <s v="2018-2019"/>
    <s v="CHECKED"/>
  </r>
  <r>
    <x v="182"/>
    <d v="2018-05-10T00:00:00"/>
    <s v="   TO TRANSFER-UPI/813068521611/9166644454@ybl--"/>
    <s v="TRANSFER TO 4898860162095"/>
    <n v="500"/>
    <m/>
    <n v="132490.06000000003"/>
    <s v="Transfer Through UPI App"/>
    <s v="Phone Pe App"/>
    <x v="55"/>
    <m/>
    <s v="2018-2019"/>
    <s v="CHECKED"/>
  </r>
  <r>
    <x v="183"/>
    <d v="2018-05-13T00:00:00"/>
    <s v="   ATM WDL-ATM CASH 5297  SIRSA                 SIRSA--"/>
    <m/>
    <n v="5000"/>
    <m/>
    <n v="127490.06000000003"/>
    <s v="Cash Withdrwal"/>
    <m/>
    <x v="56"/>
    <m/>
    <s v="2018-2019"/>
    <s v="CHECKED"/>
  </r>
  <r>
    <x v="183"/>
    <d v="2018-05-13T00:00:00"/>
    <s v="   ATM WDL-ATM CASH 5299  SIRSA                 SIRSA--"/>
    <m/>
    <n v="5000"/>
    <m/>
    <n v="122490.06000000003"/>
    <s v="Cash Withdrwal"/>
    <m/>
    <x v="56"/>
    <m/>
    <s v="2018-2019"/>
    <s v="CHECKED"/>
  </r>
  <r>
    <x v="184"/>
    <d v="2018-05-15T00:00:00"/>
    <s v="   TO TRANSFER-INB AMAZON--"/>
    <s v="3Qjl96WrZF9dzKWNZ2IGADNNIEM4               TRANSFE"/>
    <n v="1243"/>
    <m/>
    <n v="121247.06000000003"/>
    <s v="Transfer Through Net Banking"/>
    <m/>
    <x v="57"/>
    <m/>
    <s v="2018-2019"/>
    <s v="CHECKED"/>
  </r>
  <r>
    <x v="185"/>
    <d v="2018-05-19T00:00:00"/>
    <s v="   BULK POSTING-SAL05183184417000325980000007003967104382630005019--"/>
    <m/>
    <m/>
    <n v="5405"/>
    <n v="126652.06000000003"/>
    <s v="Salary"/>
    <m/>
    <x v="7"/>
    <s v="Salaray Arrer (7th pay 2nd installment)"/>
    <s v="2018-2019"/>
    <s v="CHECKED"/>
  </r>
  <r>
    <x v="186"/>
    <d v="2018-05-29T00:00:00"/>
    <s v="   BULK POSTING-SAL05183184417000325980000013005166104482220003119--"/>
    <m/>
    <m/>
    <n v="26714"/>
    <n v="153366.06000000003"/>
    <s v="Salary"/>
    <m/>
    <x v="0"/>
    <m/>
    <s v="2018-2019"/>
    <s v="CHECKED"/>
  </r>
  <r>
    <x v="187"/>
    <d v="2018-05-31T00:00:00"/>
    <s v="   TO TRANSFER-INB DOITC--"/>
    <s v="11363292IGADQCTXM8               TRANSFER TO 61201"/>
    <n v="376"/>
    <m/>
    <n v="152990.06000000003"/>
    <s v="Transfer Through Net Banking"/>
    <m/>
    <x v="58"/>
    <m/>
    <s v="2018-2019"/>
    <s v="CHECKED"/>
  </r>
  <r>
    <x v="187"/>
    <d v="2018-05-31T00:00:00"/>
    <s v="   TO TRANSFER-INB DOITC--"/>
    <s v="11364109IGADQCUKA3               TRANSFER TO 61201"/>
    <n v="476"/>
    <m/>
    <n v="152514.06000000003"/>
    <s v="Transfer Through Net Banking"/>
    <m/>
    <x v="58"/>
    <m/>
    <s v="2018-2019"/>
    <s v="CHECKED"/>
  </r>
  <r>
    <x v="188"/>
    <d v="2018-06-01T00:00:00"/>
    <s v="   TO TRANSFER-INB DOITC--"/>
    <s v="11475169IGADQGXBO9               TRANSFER TO 61201"/>
    <n v="53"/>
    <m/>
    <n v="152461.06000000003"/>
    <s v="Transfer Through Net Banking"/>
    <m/>
    <x v="59"/>
    <m/>
    <s v="2018-2019"/>
    <s v="CHECKED"/>
  </r>
  <r>
    <x v="188"/>
    <d v="2018-06-01T00:00:00"/>
    <s v="   BY TRANSFER-UPI/815232322093/9782894204@ybl--"/>
    <s v="TRANSFER FROM 4898978162093"/>
    <m/>
    <n v="600"/>
    <n v="153061.06000000003"/>
    <s v="Received Through UPI App"/>
    <s v="Phone Pe App"/>
    <x v="60"/>
    <m/>
    <s v="2018-2019"/>
    <s v="CHECKED"/>
  </r>
  <r>
    <x v="188"/>
    <d v="2018-06-01T00:00:00"/>
    <s v="   BULK POSTING-SAL06183184417000325980000014005310104534720008119--"/>
    <m/>
    <m/>
    <n v="26934"/>
    <n v="179995.06000000003"/>
    <s v="Salary"/>
    <m/>
    <x v="0"/>
    <m/>
    <s v="2018-2019"/>
    <s v="CHECKED"/>
  </r>
  <r>
    <x v="189"/>
    <d v="2018-06-05T00:00:00"/>
    <s v="   TO TRANSFER-UPI/815618821000/divya88jain88@oksbi--"/>
    <s v="TRANSFER TO 4898822162091"/>
    <n v="500"/>
    <m/>
    <n v="179495.06000000003"/>
    <s v="Transfer Through UPI App"/>
    <s v="Google Pay App"/>
    <x v="28"/>
    <m/>
    <s v="2018-2019"/>
    <s v="CHECKED"/>
  </r>
  <r>
    <x v="190"/>
    <d v="2018-06-18T00:00:00"/>
    <s v="   TO TRANSFER-UPI/816913807189/billdesk.airtel-postpaid@ic--"/>
    <s v="TRANSFER TO 4898726162091"/>
    <n v="241.12"/>
    <m/>
    <n v="179253.94000000003"/>
    <s v="Mobile Recharge"/>
    <s v="Google Pay App"/>
    <x v="18"/>
    <m/>
    <s v="2018-2019"/>
    <s v="CHECKED"/>
  </r>
  <r>
    <x v="190"/>
    <d v="2018-06-18T00:00:00"/>
    <s v="   BY TRANSFER-UPI/816913286787/goog-payment@okaxis--"/>
    <s v="TRANSFER FROM 4898938162090"/>
    <m/>
    <n v="25"/>
    <n v="179278.94000000003"/>
    <s v="Earning From UPI App"/>
    <s v="Google Pay App"/>
    <x v="48"/>
    <m/>
    <s v="2018-2019"/>
    <s v="CHECKED"/>
  </r>
  <r>
    <x v="191"/>
    <d v="2018-06-20T00:00:00"/>
    <s v="   TO TRANSFER-UPI/817134497713/EURONET@ybl--"/>
    <s v="TRANSFER TO 4898281162093"/>
    <n v="43"/>
    <m/>
    <n v="179235.94000000003"/>
    <s v="Transfer Through UPI App"/>
    <s v="Phone Pe App"/>
    <x v="61"/>
    <m/>
    <s v="2018-2019"/>
    <s v="CHECKED"/>
  </r>
  <r>
    <x v="192"/>
    <d v="2018-06-25T00:00:00"/>
    <s v="   CREDIT INTEREST---"/>
    <m/>
    <m/>
    <n v="1271"/>
    <n v="180506.94000000003"/>
    <s v="Credit Interest"/>
    <m/>
    <x v="0"/>
    <m/>
    <s v="2018-2019"/>
    <s v="CHECKED"/>
  </r>
  <r>
    <x v="193"/>
    <d v="2018-06-28T00:00:00"/>
    <s v="   BY TRANSFER-UPI/817908652464/goog-payment@okaxis--"/>
    <s v="TRANSFER FROM 4898973162098"/>
    <m/>
    <n v="51"/>
    <n v="180557.94000000003"/>
    <s v="Earning From UPI App"/>
    <s v="Google Pay App"/>
    <x v="44"/>
    <m/>
    <s v="2018-2019"/>
    <s v="CHECKED"/>
  </r>
  <r>
    <x v="193"/>
    <d v="2018-06-28T00:00:00"/>
    <s v="   TO TRANSFER-UPI/817908138269/8003027591@paytm--"/>
    <s v="TRANSFER TO 4898865162091"/>
    <n v="1"/>
    <m/>
    <n v="180556.94000000003"/>
    <s v="Transfer Through UPI App"/>
    <m/>
    <x v="62"/>
    <m/>
    <s v="2018-2019"/>
    <s v="CHECKED"/>
  </r>
  <r>
    <x v="193"/>
    <d v="2018-06-28T00:00:00"/>
    <s v="   BY TRANSFER-UPI/817908138269/8003027591@paytm--"/>
    <s v="TRANSFER FROM 4898966162097"/>
    <m/>
    <n v="1"/>
    <n v="180557.94000000003"/>
    <s v="Received Through UPI App"/>
    <m/>
    <x v="63"/>
    <m/>
    <s v="2018-2019"/>
    <s v="CHECKED"/>
  </r>
  <r>
    <x v="193"/>
    <d v="2018-06-28T00:00:00"/>
    <s v="   BY TRANSFER-UPI/817914992255/rj311322@okaxis--"/>
    <s v="TRANSFER FROM 4898966162097"/>
    <m/>
    <n v="600"/>
    <n v="181157.94000000003"/>
    <s v="Received Through UPI App"/>
    <s v="Google Pay App"/>
    <x v="64"/>
    <m/>
    <s v="2018-2019"/>
    <s v="CHECKED"/>
  </r>
  <r>
    <x v="193"/>
    <d v="2018-06-28T00:00:00"/>
    <s v="   TO TRANSFER-UPI/817914250445/rj311322@okaxis--"/>
    <s v="TRANSFER TO 4897672162098"/>
    <n v="600"/>
    <m/>
    <n v="180557.94000000003"/>
    <s v="Transfer Through UPI App"/>
    <s v="Google Pay App"/>
    <x v="64"/>
    <m/>
    <s v="2018-2019"/>
    <s v="CHECKED"/>
  </r>
  <r>
    <x v="193"/>
    <d v="2018-06-28T00:00:00"/>
    <s v="   BY TRANSFER-UPI/817919615376/goog-payment@okaxis--"/>
    <s v="TRANSFER FROM 4898973162098"/>
    <m/>
    <n v="51"/>
    <n v="180608.94000000003"/>
    <s v="Earning From UPI App"/>
    <s v="Google Pay App"/>
    <x v="44"/>
    <m/>
    <s v="2018-2019"/>
    <s v="CHECKED"/>
  </r>
  <r>
    <x v="194"/>
    <d v="2018-07-02T00:00:00"/>
    <s v="   BULK POSTING-SAL06183184417000325980000022007045104772800010419--"/>
    <m/>
    <m/>
    <n v="26934"/>
    <n v="207542.94000000003"/>
    <s v="Salary"/>
    <m/>
    <x v="0"/>
    <m/>
    <s v="2018-2019"/>
    <s v="CHECKED"/>
  </r>
  <r>
    <x v="195"/>
    <d v="2018-07-04T00:00:00"/>
    <s v="   TO TRANSFER-UPI/818509575715/aks11031997@oksbi--"/>
    <s v="TRANSFER TO 4898844162095"/>
    <n v="200"/>
    <m/>
    <n v="207342.94000000003"/>
    <s v="Transfer Through UPI App"/>
    <s v="Google Pay App"/>
    <x v="50"/>
    <m/>
    <s v="2018-2019"/>
    <s v="CHECKED"/>
  </r>
  <r>
    <x v="195"/>
    <d v="2018-07-04T00:00:00"/>
    <s v="   TO TRANSFER-UPI/818510576626/aks11031997@oksbi--"/>
    <s v="TRANSFER TO 4897668162094"/>
    <n v="9800"/>
    <m/>
    <n v="197542.94000000003"/>
    <s v="Transfer Through UPI App"/>
    <s v="Google Pay App"/>
    <x v="50"/>
    <m/>
    <s v="2018-2019"/>
    <s v="CHECKED"/>
  </r>
  <r>
    <x v="195"/>
    <d v="2018-07-04T00:00:00"/>
    <s v="   BY TRANSFER-UPI/818510519837/kingrahulsn@okicici--"/>
    <s v="TRANSFER FROM 4897711162096"/>
    <m/>
    <n v="150"/>
    <n v="197692.94000000003"/>
    <s v="Received Through UPI App"/>
    <s v="Google Pay App"/>
    <x v="65"/>
    <m/>
    <s v="2018-2019"/>
    <s v="CHECKED"/>
  </r>
  <r>
    <x v="195"/>
    <d v="2018-07-04T00:00:00"/>
    <s v="   TO TRANSFER-UPI/818510579744/kingrahulsn@okicici--"/>
    <s v="TRANSFER TO 4897667162095"/>
    <n v="150"/>
    <m/>
    <n v="197542.94000000003"/>
    <s v="Transfer Through UPI App"/>
    <s v="Google Pay App"/>
    <x v="65"/>
    <m/>
    <s v="2018-2019"/>
    <s v="CHECKED"/>
  </r>
  <r>
    <x v="196"/>
    <d v="2018-07-09T00:00:00"/>
    <s v="   ATM WDL-ATM CASH 81900 TIBBI        HANUMANGARHANUMANGARH--"/>
    <m/>
    <n v="10000"/>
    <m/>
    <n v="187542.94000000003"/>
    <s v="Cash Withdrwal"/>
    <m/>
    <x v="15"/>
    <m/>
    <s v="2018-2019"/>
    <s v="CHECKED"/>
  </r>
  <r>
    <x v="197"/>
    <d v="2018-07-10T00:00:00"/>
    <s v="   BY TRANSFER-UPI/819113732901/aks11031997@oksbi--"/>
    <s v="TRANSFER FROM 4898954162090"/>
    <m/>
    <n v="10000"/>
    <n v="197542.94000000003"/>
    <s v="Received Through UPI App"/>
    <s v="Google Pay App"/>
    <x v="50"/>
    <m/>
    <s v="2018-2019"/>
    <s v="CHECKED"/>
  </r>
  <r>
    <x v="197"/>
    <d v="2018-07-10T00:00:00"/>
    <s v="   TO TRANSFER-UPI/819114742760/billdesk.jvvnl-jodhpur@icici--"/>
    <s v="TRANSFER TO 4898731162094"/>
    <n v="1183"/>
    <m/>
    <n v="196359.94000000003"/>
    <s v="Electricity Bill"/>
    <s v="Google Pay App"/>
    <x v="36"/>
    <m/>
    <s v="2018-2019"/>
    <s v="CHECKED"/>
  </r>
  <r>
    <x v="197"/>
    <d v="2018-07-10T00:00:00"/>
    <s v="   BY TRANSFER-UPI/819114991066/goog-payment@okaxis--"/>
    <s v="TRANSFER FROM 4898955162099"/>
    <m/>
    <n v="19"/>
    <n v="196378.94000000003"/>
    <s v="Earning From UPI App"/>
    <s v="Google Pay App"/>
    <x v="51"/>
    <m/>
    <s v="2018-2019"/>
    <s v="CHECKED"/>
  </r>
  <r>
    <x v="198"/>
    <d v="2018-07-11T00:00:00"/>
    <s v="   TO TRANSFER-UPI/819212351629/singhturna813@oksbi--"/>
    <s v="TRANSFER TO 4898838162093"/>
    <n v="180"/>
    <m/>
    <n v="196198.94000000003"/>
    <s v="Transfer Through UPI App"/>
    <s v="Google Pay App"/>
    <x v="66"/>
    <m/>
    <s v="2018-2019"/>
    <s v="CHECKED"/>
  </r>
  <r>
    <x v="199"/>
    <d v="2018-07-14T00:00:00"/>
    <s v="   TO TRANSFER-UPI/819509353689/billdesk.airtel-postpaid@ic--"/>
    <s v="TRANSFER TO 4898751162090"/>
    <n v="294.26"/>
    <m/>
    <n v="195904.68000000002"/>
    <s v="Mobile Recharge"/>
    <s v="Google Pay App"/>
    <x v="18"/>
    <m/>
    <s v="2018-2019"/>
    <s v="CHECKED"/>
  </r>
  <r>
    <x v="199"/>
    <d v="2018-07-14T00:00:00"/>
    <s v="   BY TRANSFER-UPI/819509696009/goog-payment@okaxis--"/>
    <s v="TRANSFER FROM 4898988162091"/>
    <m/>
    <n v="16"/>
    <n v="195920.68000000002"/>
    <s v="Earning From UPI App"/>
    <s v="Google Pay App"/>
    <x v="48"/>
    <m/>
    <s v="2018-2019"/>
    <s v="CHECKED"/>
  </r>
  <r>
    <x v="200"/>
    <d v="2018-07-31T00:00:00"/>
    <s v="   BULK POSTING-SAL07183184417000325980000025010245105260090005619--"/>
    <m/>
    <m/>
    <n v="5405"/>
    <n v="201325.68000000002"/>
    <s v="Salary"/>
    <m/>
    <x v="7"/>
    <s v="Salary Arrer (7th Pay Comm 3rd Installment)"/>
    <s v="2018-2019"/>
    <s v="CHECKED"/>
  </r>
  <r>
    <x v="200"/>
    <d v="2018-07-31T00:00:00"/>
    <s v="   TO TRANSFER-To PPF--"/>
    <s v="TRANSFER TO 32500545461                           "/>
    <n v="22000"/>
    <m/>
    <n v="179325.68000000002"/>
    <s v="PPF"/>
    <m/>
    <x v="0"/>
    <m/>
    <s v="2018-2019"/>
    <s v="CHECKED"/>
  </r>
  <r>
    <x v="201"/>
    <d v="2018-08-01T00:00:00"/>
    <s v="   BULK POSTING-SAL07183184417000325980000029010640105281160011119--"/>
    <m/>
    <m/>
    <n v="27873"/>
    <n v="207198.68000000002"/>
    <s v="Salary"/>
    <m/>
    <x v="0"/>
    <m/>
    <s v="2018-2019"/>
    <s v="CHECKED"/>
  </r>
  <r>
    <x v="202"/>
    <d v="2018-08-02T00:00:00"/>
    <s v="   BY TRANSFER-UPI/CR/821415255759/RAVI KUM/SBIN/ravikumars--"/>
    <s v="TRANSFER FROM 4897715162092"/>
    <m/>
    <n v="270"/>
    <n v="207468.68000000002"/>
    <s v="Received Through UPI App"/>
    <s v="Google Pay App"/>
    <x v="67"/>
    <m/>
    <s v="2018-2019"/>
    <s v="CHECKED"/>
  </r>
  <r>
    <x v="202"/>
    <d v="2018-08-02T00:00:00"/>
    <s v="   TO TRANSFER-UPI/DR/821415942702/IRJESH K/PUNB/irjeshgoda--"/>
    <s v="TRANSFER TO 4897673162097"/>
    <n v="810"/>
    <m/>
    <n v="206658.68000000002"/>
    <s v="Transfer Through UPI App"/>
    <s v="Google Pay App"/>
    <x v="68"/>
    <m/>
    <s v="2018-2019"/>
    <s v="CHECKED"/>
  </r>
  <r>
    <x v="203"/>
    <d v="2018-08-03T00:00:00"/>
    <s v="   ATM WDL-ATM CASH 1023  SBBJ TIBBI            HANUMANGARH--"/>
    <m/>
    <n v="10000"/>
    <m/>
    <n v="196658.68000000002"/>
    <s v="Cash Withdrwal"/>
    <m/>
    <x v="15"/>
    <m/>
    <s v="2018-2019"/>
    <s v="CHECKED"/>
  </r>
  <r>
    <x v="204"/>
    <d v="2018-08-09T00:00:00"/>
    <s v="   TO TRANSFER-INB Transfer to Mother--"/>
    <s v="ITS3593544               TRANSFER TO 11340815925  "/>
    <n v="100000"/>
    <m/>
    <n v="96658.680000000022"/>
    <s v="Transfer Through Net Banking"/>
    <m/>
    <x v="69"/>
    <m/>
    <s v="2018-2019"/>
    <s v="CHECKED"/>
  </r>
  <r>
    <x v="205"/>
    <d v="2018-08-17T00:00:00"/>
    <s v="   TO TRANSFER-UPI/DR/822909327057/billdesk/ICIC/billdesk.a--"/>
    <s v="TRANSFER TO 4898748162095"/>
    <n v="293.82"/>
    <m/>
    <n v="96364.860000000015"/>
    <s v="Mobile Recharge"/>
    <s v="Google Pay App"/>
    <x v="18"/>
    <m/>
    <s v="2018-2019"/>
    <s v="CHECKED"/>
  </r>
  <r>
    <x v="205"/>
    <d v="2018-08-17T00:00:00"/>
    <s v="   BY TRANSFER-UPI/CR/822909665520/GOOGLEPAY/UTIB/goog-paym--"/>
    <s v="TRANSFER FROM 4897718162099"/>
    <m/>
    <n v="19"/>
    <n v="96383.860000000015"/>
    <s v="Earning From UPI App"/>
    <s v="Google Pay App"/>
    <x v="48"/>
    <m/>
    <s v="2018-2019"/>
    <s v="CHECKED"/>
  </r>
  <r>
    <x v="206"/>
    <d v="2018-08-18T00:00:00"/>
    <s v="   BULK POSTING-18069262734 ITD TAX REFUND AY 18-19 PAN ANBPJ3859N--"/>
    <m/>
    <m/>
    <n v="1280"/>
    <n v="97663.860000000015"/>
    <s v="Retrun from Income Tax Department"/>
    <m/>
    <x v="70"/>
    <m/>
    <s v="2018-2019"/>
    <s v="CHECKED"/>
  </r>
  <r>
    <x v="207"/>
    <d v="2018-08-24T00:00:00"/>
    <s v="   BY TRANSFER-UPI/CR/823613847023/RAVI KUM/SBIN/ravikumars--"/>
    <s v="TRANSFER FROM 4898984162095"/>
    <m/>
    <n v="120"/>
    <n v="97783.860000000015"/>
    <s v="Received Through UPI App"/>
    <s v="Google Pay App"/>
    <x v="71"/>
    <m/>
    <s v="2018-2019"/>
    <s v="CHECKED"/>
  </r>
  <r>
    <x v="208"/>
    <d v="2018-08-28T00:00:00"/>
    <s v="   BY TRANSFER-NEFT*HDFC0000001*N240180617918116*JATIN KUMAR GARG--"/>
    <s v="TRANSFER FROM 3199422044305"/>
    <m/>
    <n v="8000"/>
    <n v="105783.86000000002"/>
    <s v="Received Through Net Banking"/>
    <m/>
    <x v="13"/>
    <m/>
    <s v="2018-2019"/>
    <s v="CHECKED"/>
  </r>
  <r>
    <x v="209"/>
    <d v="2018-08-30T00:00:00"/>
    <s v="   BULK POSTING-SAL08183184417000325980000035013340105578690018819--"/>
    <m/>
    <m/>
    <n v="523"/>
    <n v="106306.86000000002"/>
    <s v="TA Bill Reimbursement (DOIT)"/>
    <m/>
    <x v="72"/>
    <m/>
    <s v="2018-2019"/>
    <s v="CHECKED"/>
  </r>
  <r>
    <x v="209"/>
    <d v="2018-08-30T00:00:00"/>
    <s v="   BULK POSTING-SAL08183184417000325980000035013340105578690018919--"/>
    <m/>
    <m/>
    <n v="527"/>
    <n v="106833.86000000002"/>
    <s v="TA Bill Reimbursement (DOIT)"/>
    <m/>
    <x v="73"/>
    <m/>
    <s v="2018-2019"/>
    <s v="CHECKED"/>
  </r>
  <r>
    <x v="209"/>
    <d v="2018-08-30T00:00:00"/>
    <s v="   BULK POSTING-SAL08183184417000325980000035013340105578690019319--"/>
    <m/>
    <m/>
    <n v="541"/>
    <n v="107374.86000000002"/>
    <s v="TA Bill Reimbursement (DOIT)"/>
    <m/>
    <x v="74"/>
    <m/>
    <s v="2018-2019"/>
    <s v="CHECKED"/>
  </r>
  <r>
    <x v="209"/>
    <d v="2018-08-30T00:00:00"/>
    <s v="   BULK POSTING-SAL08183184417000325980000035013340105578690019819--"/>
    <m/>
    <m/>
    <n v="547"/>
    <n v="107921.86000000002"/>
    <s v="TA Bill Reimbursement (DOIT)"/>
    <m/>
    <x v="75"/>
    <m/>
    <s v="2018-2019"/>
    <s v="CHECKED"/>
  </r>
  <r>
    <x v="209"/>
    <d v="2018-08-30T00:00:00"/>
    <s v="   BULK POSTING-SAL08183184417000325980000035013340105578690020019--"/>
    <m/>
    <m/>
    <n v="551"/>
    <n v="108472.86000000002"/>
    <s v="TA Bill Reimbursement (DOIT)"/>
    <m/>
    <x v="76"/>
    <m/>
    <s v="2018-2019"/>
    <s v="CHECKED"/>
  </r>
  <r>
    <x v="209"/>
    <d v="2018-08-30T00:00:00"/>
    <s v="   BULK POSTING-SAL08183184417000325980000035013340105578690020119--"/>
    <m/>
    <m/>
    <n v="551"/>
    <n v="109023.86000000002"/>
    <s v="TA Bill Reimbursement (DOIT)"/>
    <m/>
    <x v="77"/>
    <m/>
    <s v="2018-2019"/>
    <s v="CHECKED"/>
  </r>
  <r>
    <x v="209"/>
    <d v="2018-08-30T00:00:00"/>
    <s v="   TO TRANSFER-UPI/DR/824215738416/RAVI KUM/SBIN/ravikumars--"/>
    <s v="TRANSFER TO 4898858162099"/>
    <n v="150"/>
    <m/>
    <n v="108873.86000000002"/>
    <s v="Transfer Through UPI App"/>
    <s v="Google Pay App"/>
    <x v="67"/>
    <m/>
    <s v="2018-2019"/>
    <s v="CHECKED"/>
  </r>
  <r>
    <x v="209"/>
    <d v="2018-08-30T00:00:00"/>
    <s v="   BY TRANSFER-UPI/CR/824215733858/RAVI KUM/SBIN/ravikumars--"/>
    <s v="TRANSFER FROM 4898972162099"/>
    <m/>
    <n v="150"/>
    <n v="109023.86000000002"/>
    <s v="Received Through UPI App"/>
    <s v="Google Pay App"/>
    <x v="67"/>
    <m/>
    <s v="2018-2019"/>
    <s v="CHECKED"/>
  </r>
  <r>
    <x v="210"/>
    <d v="2018-08-31T00:00:00"/>
    <s v="   by debit card-SBIPG NT6630740344UTIMF                 MUMBAI--"/>
    <m/>
    <n v="35000"/>
    <m/>
    <n v="74023.860000000015"/>
    <s v="Transfer Through Net Banking"/>
    <m/>
    <x v="33"/>
    <s v="Mutual Fund Purchased (UTI)"/>
    <s v="2018-2019"/>
    <s v="CHECKED"/>
  </r>
  <r>
    <x v="211"/>
    <d v="2018-09-01T00:00:00"/>
    <s v="   BULK POSTING-SAL08183184417000325980000037013341105578710023119--"/>
    <m/>
    <m/>
    <n v="27873"/>
    <n v="101896.86000000002"/>
    <s v="Salary"/>
    <m/>
    <x v="0"/>
    <m/>
    <s v="2018-2019"/>
    <s v="CHECKED"/>
  </r>
  <r>
    <x v="211"/>
    <d v="2018-09-01T00:00:00"/>
    <s v="   TO TRANSFER-UPI/DR/824408448138/DIVYA  J/SBIN/divya88jai--"/>
    <s v="TRANSFER TO 4898896162094"/>
    <n v="500"/>
    <m/>
    <n v="101396.86000000002"/>
    <s v="Transfer Through UPI App"/>
    <s v="Google Pay App"/>
    <x v="28"/>
    <m/>
    <s v="2018-2019"/>
    <s v="CHECKED"/>
  </r>
  <r>
    <x v="211"/>
    <d v="2018-09-01T00:00:00"/>
    <s v="   BY TRANSFER-UPI/CR/824408469073/GOOGLEPAY/UTIB/goog-paym--"/>
    <s v="TRANSFER FROM 4897722162093"/>
    <m/>
    <n v="1"/>
    <n v="101397.86000000002"/>
    <s v="Earning From UPI App"/>
    <s v="Google Pay App"/>
    <x v="78"/>
    <m/>
    <s v="2018-2019"/>
    <s v="CHECKED"/>
  </r>
  <r>
    <x v="211"/>
    <d v="2018-09-01T00:00:00"/>
    <s v="   BY TRANSFER-UPI/CR/824408449293/DIVYA  J/SBIN/divya88jai--"/>
    <s v="TRANSFER FROM 4898995162092"/>
    <m/>
    <n v="500"/>
    <n v="101897.86000000002"/>
    <s v="Received Through UPI App"/>
    <s v="Google Pay App"/>
    <x v="28"/>
    <m/>
    <s v="2018-2019"/>
    <s v="CHECKED"/>
  </r>
  <r>
    <x v="211"/>
    <d v="2018-09-01T00:00:00"/>
    <s v="   TO TRANSFER-Debited account 61207864076 for STDR--"/>
    <s v="TRANSFER TO 37913663301                           "/>
    <n v="33333"/>
    <m/>
    <n v="68564.860000000015"/>
    <s v="Acc Opened"/>
    <m/>
    <x v="79"/>
    <m/>
    <s v="2018-2019"/>
    <s v="CHECKED"/>
  </r>
  <r>
    <x v="211"/>
    <d v="2018-09-01T00:00:00"/>
    <s v="   TO TRANSFER-Debited account 61207864076 for STDR--"/>
    <s v="TRANSFER TO 37913820333                           "/>
    <n v="22222"/>
    <m/>
    <n v="46342.860000000015"/>
    <s v="Acc Opened"/>
    <m/>
    <x v="80"/>
    <m/>
    <s v="2018-2019"/>
    <s v="CHECKED"/>
  </r>
  <r>
    <x v="211"/>
    <d v="2018-09-01T00:00:00"/>
    <s v="   TO TRANSFER-Debited account 61207864076 for TDR--"/>
    <s v="TRANSFER TO 37913822910                           "/>
    <n v="11111"/>
    <m/>
    <n v="35231.860000000015"/>
    <s v="Acc Opened"/>
    <m/>
    <x v="81"/>
    <m/>
    <s v="2018-2019"/>
    <s v="CHECKED"/>
  </r>
  <r>
    <x v="211"/>
    <d v="2018-09-01T00:00:00"/>
    <s v="   TO TRANSFER-Debited account 61207864076 for TDR--"/>
    <s v="TRANSFER TO 37913835395                           "/>
    <n v="11111"/>
    <m/>
    <n v="24120.860000000015"/>
    <s v="Acc Opened"/>
    <m/>
    <x v="82"/>
    <m/>
    <s v="2018-2019"/>
    <s v="CHECKED"/>
  </r>
  <r>
    <x v="212"/>
    <d v="2018-09-03T00:00:00"/>
    <s v="   TO TRANSFER-UPI/DR/824611813509/billdesk/ICIC/billdesk.j--"/>
    <s v="TRANSFER TO 4898278162098"/>
    <n v="2503"/>
    <m/>
    <n v="21617.860000000015"/>
    <s v="Electricity Bill"/>
    <s v="Google Pay App"/>
    <x v="36"/>
    <m/>
    <s v="2018-2019"/>
    <s v="CHECKED"/>
  </r>
  <r>
    <x v="212"/>
    <d v="2018-09-03T00:00:00"/>
    <s v="   BY TRANSFER-UPI/CR/824611418335/GOOGLEPAY/UTIB/goog-paym--"/>
    <s v="TRANSFER FROM 4898943162093"/>
    <m/>
    <n v="50"/>
    <n v="21667.860000000015"/>
    <s v="Earning From UPI App"/>
    <s v="Google Pay App"/>
    <x v="51"/>
    <m/>
    <s v="2018-2019"/>
    <s v="CHECKED"/>
  </r>
  <r>
    <x v="212"/>
    <d v="2018-09-03T00:00:00"/>
    <s v="   BY TRANSFER-UPI/CR/824611418836/GOOGLEPAY/UTIB/goog-paym--"/>
    <s v="TRANSFER FROM 4898938162090"/>
    <m/>
    <n v="20"/>
    <n v="21687.860000000015"/>
    <s v="Earning From UPI App"/>
    <s v="Google Pay App"/>
    <x v="51"/>
    <m/>
    <s v="2018-2019"/>
    <s v="CHECKED"/>
  </r>
  <r>
    <x v="213"/>
    <d v="2018-09-04T00:00:00"/>
    <s v="   TO TRANSFER-UPI/DR/824712118220/IRJESH K/PUNB/irjeshgoda--"/>
    <s v="TRANSFER TO 4898824162099"/>
    <n v="620"/>
    <m/>
    <n v="21067.860000000015"/>
    <s v="Transfer Through UPI App"/>
    <s v="Google Pay App"/>
    <x v="83"/>
    <m/>
    <s v="2018-2019"/>
    <s v="CHECKED"/>
  </r>
  <r>
    <x v="214"/>
    <d v="2018-09-06T00:00:00"/>
    <s v="   BY TRANSFER-UPI/CR/824912666758/DHARAM P/ORBC/dharmpal98--"/>
    <s v="TRANSFER FROM 4898970162090"/>
    <m/>
    <n v="500"/>
    <n v="21567.860000000015"/>
    <s v="Received Through UPI App"/>
    <s v="Google Pay App"/>
    <x v="84"/>
    <m/>
    <s v="2018-2019"/>
    <s v="CHECKED"/>
  </r>
  <r>
    <x v="214"/>
    <d v="2018-09-06T00:00:00"/>
    <s v="   TO TRANSFER-UPI/DR/824912375588/DHARAM P/ORBC/dharmpal98--"/>
    <s v="TRANSFER TO 4898863162093"/>
    <n v="500"/>
    <m/>
    <n v="21067.860000000015"/>
    <s v="Transfer Through UPI App"/>
    <s v="Google Pay App"/>
    <x v="84"/>
    <m/>
    <s v="2018-2019"/>
    <s v="CHECKED"/>
  </r>
  <r>
    <x v="214"/>
    <d v="2018-09-06T00:00:00"/>
    <s v="   BY TRANSFER-UPI/CR/824921116544/SUNIL  S/SBIN/sunils1017--"/>
    <s v="TRANSFER FROM 4897713162094"/>
    <m/>
    <n v="9000"/>
    <n v="30067.860000000015"/>
    <s v="Received Through UPI App"/>
    <s v="Google Pay App"/>
    <x v="85"/>
    <m/>
    <s v="2018-2019"/>
    <s v="CHECKED"/>
  </r>
  <r>
    <x v="215"/>
    <d v="2018-09-07T00:00:00"/>
    <s v="   TO TRANSFER-UPI/DR/825014728768/KAPIL . /SBIN/kapils964@--"/>
    <s v="TRANSFER TO 4897677162093"/>
    <n v="1"/>
    <m/>
    <n v="30066.860000000015"/>
    <s v="Transfer Through UPI App"/>
    <s v="Google Pay App"/>
    <x v="78"/>
    <m/>
    <s v="2018-2019"/>
    <s v="CHECKED"/>
  </r>
  <r>
    <x v="215"/>
    <d v="2018-09-07T00:00:00"/>
    <s v="   BY TRANSFER-UPI/CR/825014530853/GOOGLEPAY/UTIB/goog-paym--"/>
    <s v="TRANSFER FROM 4898978162093"/>
    <m/>
    <n v="10"/>
    <n v="30076.860000000015"/>
    <s v="Earning From UPI App"/>
    <s v="Google Pay App"/>
    <x v="85"/>
    <m/>
    <s v="2018-2019"/>
    <s v="CHECKED"/>
  </r>
  <r>
    <x v="216"/>
    <d v="2018-09-08T00:00:00"/>
    <s v="   ATM WDL-ATM CASH 82511 TIBBI        HANUMANGARHANUMANGARH--"/>
    <m/>
    <n v="10000"/>
    <m/>
    <n v="20076.860000000015"/>
    <s v="Cash Withdrwal"/>
    <m/>
    <x v="15"/>
    <m/>
    <s v="2018-2019"/>
    <s v="CHECKED"/>
  </r>
  <r>
    <x v="217"/>
    <d v="2018-09-11T00:00:00"/>
    <s v="   TO TRANSFER-UPI/DR/825418453083/RAM KUMA/SBIN/mr.ram.sai--"/>
    <s v="TRANSFER TO 4897662162090"/>
    <n v="1000"/>
    <m/>
    <n v="19076.860000000015"/>
    <s v="Transfer Through UPI App"/>
    <s v="Google Pay App"/>
    <x v="86"/>
    <m/>
    <s v="2018-2019"/>
    <s v="CHECKED"/>
  </r>
  <r>
    <x v="217"/>
    <d v="2018-09-11T00:00:00"/>
    <s v="   BY TRANSFER-UPI/CR/825418631914/GOOGLEPAY/UTIB/goog-paym--"/>
    <s v="TRANSFER FROM 4898955162099"/>
    <m/>
    <n v="331"/>
    <n v="19407.860000000015"/>
    <s v="Earning From UPI App"/>
    <s v="Google Pay App"/>
    <x v="60"/>
    <m/>
    <s v="2018-2019"/>
    <s v="CHECKED"/>
  </r>
  <r>
    <x v="218"/>
    <d v="2018-09-12T00:00:00"/>
    <s v="   TO TRANSFER-UPI/DR/825517670984/billdesk/ICIC/billdesk.a--"/>
    <s v="TRANSFER TO 4898281162093"/>
    <n v="293.82"/>
    <m/>
    <n v="19114.040000000015"/>
    <s v="Mobile Recharge"/>
    <s v="Google Pay App"/>
    <x v="18"/>
    <m/>
    <s v="2018-2019"/>
    <s v="CHECKED"/>
  </r>
  <r>
    <x v="218"/>
    <d v="2018-09-12T00:00:00"/>
    <s v="   BY TRANSFER-UPI/CR/825517323650/GOOGLEPAY/UTIB/goog-paym--"/>
    <s v="TRANSFER FROM 4898957162097"/>
    <m/>
    <n v="240"/>
    <n v="19354.040000000015"/>
    <s v="Earning From UPI App"/>
    <s v="Google Pay App"/>
    <x v="48"/>
    <m/>
    <s v="2018-2019"/>
    <s v="CHECKED"/>
  </r>
  <r>
    <x v="219"/>
    <d v="2018-09-13T00:00:00"/>
    <s v="   TO TRANSFER-UPI/DR/825614515290/billdesk/ICIC/billdesk.r--"/>
    <s v="TRANSFER TO 4898284162090"/>
    <n v="399"/>
    <m/>
    <n v="18955.040000000015"/>
    <s v="Transfer Through UPI App"/>
    <s v="Google Pay App"/>
    <x v="87"/>
    <m/>
    <s v="2018-2019"/>
    <s v="CHECKED"/>
  </r>
  <r>
    <x v="219"/>
    <d v="2018-09-13T00:00:00"/>
    <s v="   BY TRANSFER-UPI/CR/825614980874/GOOGLEPAY/UTIB/goog-paym--"/>
    <s v="TRANSFER FROM 4897715162092"/>
    <m/>
    <n v="10"/>
    <n v="18965.040000000015"/>
    <s v="Earning From UPI App"/>
    <s v="Google Pay App"/>
    <x v="88"/>
    <m/>
    <s v="2018-2019"/>
    <s v="CHECKED"/>
  </r>
  <r>
    <x v="219"/>
    <d v="2018-09-13T00:00:00"/>
    <s v="   BY TRANSFER-UPI/CR/825614981320/GOOGLEPAY/UTIB/goog-paym--"/>
    <s v="TRANSFER FROM 4898971162090"/>
    <m/>
    <n v="15"/>
    <n v="18980.040000000015"/>
    <s v="Earning From UPI App"/>
    <s v="Google Pay App"/>
    <x v="88"/>
    <m/>
    <s v="2018-2019"/>
    <s v="CHECKED"/>
  </r>
  <r>
    <x v="219"/>
    <d v="2018-09-13T00:00:00"/>
    <s v="   TO TRANSFER-UPI/DR/825617705427/RAVI KUM/SBIN/ravikumars--"/>
    <s v="TRANSFER TO 4898864162092"/>
    <n v="2000"/>
    <m/>
    <n v="16980.040000000015"/>
    <s v="Transfer Through UPI App"/>
    <s v="Google Pay App"/>
    <x v="67"/>
    <m/>
    <s v="2018-2019"/>
    <s v="CHECKED"/>
  </r>
  <r>
    <x v="219"/>
    <d v="2018-09-13T00:00:00"/>
    <s v="   BY TRANSFER-UPI/CR/825617139408/RAVI KUM/SBIN/ravikumars--"/>
    <s v="TRANSFER FROM 4898970162090"/>
    <m/>
    <n v="2000"/>
    <n v="18980.040000000015"/>
    <s v="Received Through UPI App"/>
    <s v="Google Pay App"/>
    <x v="67"/>
    <m/>
    <s v="2018-2019"/>
    <s v="CHECKED"/>
  </r>
  <r>
    <x v="220"/>
    <d v="2018-09-15T00:00:00"/>
    <s v="   TO TRANSFER-UPI/DR/825812722788/billdesk/ICIC/billdesk.b--"/>
    <s v="TRANSFER TO 4898287162097"/>
    <n v="16"/>
    <m/>
    <n v="18964.040000000015"/>
    <s v="Mobile Recharge"/>
    <s v="Google Pay App"/>
    <x v="89"/>
    <m/>
    <s v="2018-2019"/>
    <s v="CHECKED"/>
  </r>
  <r>
    <x v="220"/>
    <d v="2018-09-15T00:00:00"/>
    <s v="   BY TRANSFER-UPI/CR/825812928897/billdesk/ICIC/billdesk-t--"/>
    <s v="TRANSFER FROM 4897723162092"/>
    <m/>
    <n v="16"/>
    <n v="18980.040000000015"/>
    <s v="Received Through UPI App"/>
    <s v="Google Pay App"/>
    <x v="90"/>
    <m/>
    <s v="2018-2019"/>
    <s v="CHECKED"/>
  </r>
  <r>
    <x v="221"/>
    <d v="2018-09-20T00:00:00"/>
    <s v="   BY TRANSFER-UPI/CR/826322565904/ROHIT KU/SBIN/jainrohit2--"/>
    <s v="TRANSFER FROM 4898971162090"/>
    <m/>
    <n v="1235"/>
    <n v="20215.040000000015"/>
    <s v="Received Through UPI App"/>
    <s v="Google Pay App"/>
    <x v="32"/>
    <m/>
    <s v="2018-2019"/>
    <s v="CHECKED"/>
  </r>
  <r>
    <x v="221"/>
    <d v="2018-09-20T00:00:00"/>
    <s v="   TO TRANSFER-UPI/DR/826322569162/ROHIT KU/SBIN/jainrohit2--"/>
    <s v="TRANSFER TO 4898863162093"/>
    <n v="1235"/>
    <m/>
    <n v="18980.040000000015"/>
    <s v="Transfer Through UPI App"/>
    <s v="Google Pay App"/>
    <x v="32"/>
    <m/>
    <s v="2018-2019"/>
    <s v="CHECKED"/>
  </r>
  <r>
    <x v="222"/>
    <d v="2018-09-21T00:00:00"/>
    <s v="   BY TRANSFER-UPI/CR/826404437171/GOOGLEPAY/UTIB/goog-paym--"/>
    <s v="TRANSFER FROM 4899369162099"/>
    <m/>
    <n v="10"/>
    <n v="18990.040000000015"/>
    <s v="Earning From UPI App"/>
    <s v="Google Pay App"/>
    <x v="88"/>
    <m/>
    <s v="2018-2019"/>
    <s v="CHECKED"/>
  </r>
  <r>
    <x v="223"/>
    <d v="2018-09-23T00:00:00"/>
    <s v="   TO TRANSFER-INB TATA Asset Management Lim BILL_TATASMA Payment--"/>
    <s v="NSBI6711804563IGAEKNJBK0               TRANSFER TO"/>
    <n v="10000"/>
    <m/>
    <n v="8990.0400000000154"/>
    <s v="Transfer Through Net Banking"/>
    <m/>
    <x v="33"/>
    <s v="Mutual Funds (tata)"/>
    <s v="2018-2019"/>
    <s v="CHECKED"/>
  </r>
  <r>
    <x v="224"/>
    <d v="2018-09-25T00:00:00"/>
    <s v="   CREDIT INTEREST---"/>
    <m/>
    <m/>
    <n v="1083"/>
    <n v="10073.040000000015"/>
    <s v="Credit Interest"/>
    <m/>
    <x v="0"/>
    <m/>
    <s v="2018-2019"/>
    <s v="CHECKED"/>
  </r>
  <r>
    <x v="225"/>
    <d v="2018-09-28T00:00:00"/>
    <s v="   TO TRANSFER-UPI/DR/827106364904/RAM KUMA/SBIN/mr.ram.sai--"/>
    <s v="TRANSFER TO 4898879162095"/>
    <n v="3000"/>
    <m/>
    <n v="7073.0400000000154"/>
    <s v="Transfer Through UPI App"/>
    <s v="Google Pay App"/>
    <x v="60"/>
    <m/>
    <s v="2018-2019"/>
    <s v="CHECKED"/>
  </r>
  <r>
    <x v="226"/>
    <d v="2018-10-08T00:00:00"/>
    <s v="   BY TRANSFER-UPI/CR/828021854284/GOOGLEPAY/UTIB/goog-paym--"/>
    <s v="TRANSFER FROM 4899385162099"/>
    <m/>
    <n v="51"/>
    <n v="7124.0400000000154"/>
    <s v="Earning From UPI App"/>
    <s v="Google Pay App"/>
    <x v="44"/>
    <m/>
    <s v="2018-2019"/>
    <s v="CHECKED"/>
  </r>
  <r>
    <x v="226"/>
    <d v="2018-10-08T00:00:00"/>
    <s v="   TO TRANSFER-UPI/DR/828114232186/Ajay Kumar/BARB/ajaykuma--"/>
    <s v="TRANSFER TO 4897659162094"/>
    <n v="1000"/>
    <m/>
    <n v="6124.0400000000154"/>
    <s v="Transfer Through UPI App"/>
    <s v="Google Pay App"/>
    <x v="91"/>
    <m/>
    <s v="2018-2019"/>
    <s v="CHECKED"/>
  </r>
  <r>
    <x v="226"/>
    <d v="2018-10-08T00:00:00"/>
    <s v="   BY TRANSFER-UPI/CR/828114980336/Ajay Kumar/BARB/ajaykuma--"/>
    <s v="TRANSFER FROM 4899326162099"/>
    <m/>
    <n v="1000"/>
    <n v="7124.0400000000154"/>
    <s v="Received Through UPI App"/>
    <s v="Google Pay App"/>
    <x v="91"/>
    <m/>
    <s v="2018-2019"/>
    <s v="CHECKED"/>
  </r>
  <r>
    <x v="226"/>
    <d v="2018-10-08T00:00:00"/>
    <s v="   TO TRANSFER-UPI/DR/828116486070/billdesk/ICIC/billdesk.a--"/>
    <s v="TRANSFER TO 4898726162091"/>
    <n v="450"/>
    <m/>
    <n v="6674.0400000000154"/>
    <s v="Mobile Recharge"/>
    <s v="Google Pay App"/>
    <x v="18"/>
    <m/>
    <s v="2018-2019"/>
    <s v="CHECKED"/>
  </r>
  <r>
    <x v="227"/>
    <d v="2018-10-09T00:00:00"/>
    <s v="   BULK POSTING-SAL10183184417000325980000042016063105942480002919--"/>
    <m/>
    <m/>
    <n v="27873"/>
    <n v="34547.040000000015"/>
    <s v="Salary"/>
    <m/>
    <x v="0"/>
    <m/>
    <s v="2018-2019"/>
    <s v="CHECKED"/>
  </r>
  <r>
    <x v="227"/>
    <d v="2018-10-09T00:00:00"/>
    <s v="   TO TRANSFER-UPI/DR/828210490540/00000032/sbin/0000003250--"/>
    <s v="TRANSFER TO 4898832162099"/>
    <n v="19"/>
    <m/>
    <n v="34528.040000000015"/>
    <s v="Transfer Through UPI App"/>
    <s v="Google Pay App"/>
    <x v="92"/>
    <m/>
    <s v="2018-2019"/>
    <s v="CHECKED"/>
  </r>
  <r>
    <x v="227"/>
    <d v="2018-10-09T00:00:00"/>
    <s v="   BY TRANSFER-UPI/REV/828210490540--"/>
    <s v="TRANSFER FROM 4898832162099"/>
    <m/>
    <n v="19"/>
    <n v="34547.040000000015"/>
    <s v="Received Through UPI App"/>
    <s v="Google Pay App"/>
    <x v="93"/>
    <m/>
    <s v="2018-2019"/>
    <s v="CHECKED"/>
  </r>
  <r>
    <x v="227"/>
    <d v="2018-10-09T00:00:00"/>
    <s v="   TO TRANSFER-UPI/DR/828212690180/32500545/sbin/3250054546--"/>
    <s v="TRANSFER TO 4898834162097"/>
    <n v="19"/>
    <m/>
    <n v="34528.040000000015"/>
    <s v="Transfer Through UPI App"/>
    <s v="Google Pay App"/>
    <x v="92"/>
    <m/>
    <s v="2018-2019"/>
    <s v="CHECKED"/>
  </r>
  <r>
    <x v="227"/>
    <d v="2018-10-09T00:00:00"/>
    <s v="   BY TRANSFER-UPI/REV/828212690180--"/>
    <s v="TRANSFER FROM 4898834162097"/>
    <m/>
    <n v="19"/>
    <n v="34547.040000000015"/>
    <s v="Received Through UPI App"/>
    <s v="Google Pay App"/>
    <x v="93"/>
    <m/>
    <s v="2018-2019"/>
    <s v="CHECKED"/>
  </r>
  <r>
    <x v="227"/>
    <d v="2018-10-09T00:00:00"/>
    <s v="   TO TRANSFER-INB PPF TRANSFER--"/>
    <s v="IF17021505               TRANSFER TO 32500545461  "/>
    <n v="20000"/>
    <m/>
    <n v="14547.040000000015"/>
    <s v="PPF"/>
    <m/>
    <x v="0"/>
    <m/>
    <s v="2018-2019"/>
    <s v="CHECKED"/>
  </r>
  <r>
    <x v="227"/>
    <d v="2018-10-09T00:00:00"/>
    <s v="   BY TRANSFER-UPI/CR/828239280982/ARVIND K/SBIN/7665409187--"/>
    <s v="TRANSFER FROM 4899333162090"/>
    <m/>
    <n v="1000"/>
    <n v="15547.040000000015"/>
    <s v="Received Through UPI App"/>
    <s v="Phone Pe App"/>
    <x v="50"/>
    <m/>
    <s v="2018-2019"/>
    <s v="CHECKED"/>
  </r>
  <r>
    <x v="227"/>
    <d v="2018-10-09T00:00:00"/>
    <s v="   TO TRANSFER-UPI/DR/828252760967/RAVI KUM/SBIN/9782508727--"/>
    <s v="TRANSFER TO 4898835162096"/>
    <n v="1000"/>
    <m/>
    <n v="14547.040000000015"/>
    <s v="Transfer Through UPI App"/>
    <s v="Phone Pe App"/>
    <x v="67"/>
    <m/>
    <s v="2018-2019"/>
    <s v="CHECKED"/>
  </r>
  <r>
    <x v="227"/>
    <d v="2018-10-09T00:00:00"/>
    <s v="   TO TRANSFER-UPI/DR/828226624628/RAM  KUMAR/SBIN/97828942--"/>
    <s v="TRANSFER TO 4898817162098"/>
    <n v="1000"/>
    <m/>
    <n v="13547.040000000015"/>
    <s v="Transfer Through UPI App"/>
    <s v="Phone Pe App"/>
    <x v="60"/>
    <m/>
    <s v="2018-2019"/>
    <s v="CHECKED"/>
  </r>
  <r>
    <x v="227"/>
    <d v="2018-10-09T00:00:00"/>
    <s v="   TO TRANSFER-UPI/DR/828239189415/ARVIND K/ORBC/7665409187--"/>
    <s v="TRANSFER TO 4898818162097"/>
    <n v="1000"/>
    <m/>
    <n v="12547.040000000015"/>
    <s v="Transfer Through UPI App"/>
    <s v="Phone Pe App"/>
    <x v="50"/>
    <m/>
    <s v="2018-2019"/>
    <s v="CHECKED"/>
  </r>
  <r>
    <x v="227"/>
    <d v="2018-10-09T00:00:00"/>
    <s v="   BY TRANSFER-UPI/CR/828256045278/RAVI KUM/SBIN/9782508727--"/>
    <s v="TRANSFER FROM 4898947162099"/>
    <m/>
    <n v="1000"/>
    <n v="13547.040000000015"/>
    <s v="Received Through UPI App"/>
    <s v="Phone Pe App"/>
    <x v="67"/>
    <m/>
    <s v="2018-2019"/>
    <s v="CHECKED"/>
  </r>
  <r>
    <x v="227"/>
    <d v="2018-10-09T00:00:00"/>
    <s v="   BY TRANSFER-UPI/CR/828228955254/RAM  KUMAR/SBIN/97828942--"/>
    <s v="TRANSFER FROM 4899334162099"/>
    <m/>
    <n v="1000"/>
    <n v="14547.040000000015"/>
    <s v="Received Through UPI App"/>
    <s v="Phone Pe App"/>
    <x v="60"/>
    <m/>
    <s v="2018-2019"/>
    <s v="CHECKED"/>
  </r>
  <r>
    <x v="227"/>
    <d v="2018-10-09T00:00:00"/>
    <s v="   TO TRANSFER-UPI/DR/828214964169/RAVI  KANT/SBIN/ravishar--"/>
    <s v="TRANSFER TO 4898833162098"/>
    <n v="1000"/>
    <m/>
    <n v="13547.040000000015"/>
    <s v="Transfer Through UPI App"/>
    <s v="Google Pay App"/>
    <x v="94"/>
    <m/>
    <s v="2018-2019"/>
    <s v="CHECKED"/>
  </r>
  <r>
    <x v="227"/>
    <d v="2018-10-09T00:00:00"/>
    <s v="   BY TRANSFER-UPI/CR/828214965891/RAVI  KANT/SBIN/ravishar--"/>
    <s v="TRANSFER FROM 4899333162090"/>
    <m/>
    <n v="1000"/>
    <n v="14547.040000000015"/>
    <s v="Received Through UPI App"/>
    <s v="Google Pay App"/>
    <x v="94"/>
    <m/>
    <s v="2018-2019"/>
    <s v="CHECKED"/>
  </r>
  <r>
    <x v="228"/>
    <d v="2018-10-10T00:00:00"/>
    <s v="   ATM WDL-ATM CASH 4208  SBBJ TIBBI            HANUMANGARH--"/>
    <m/>
    <n v="6000"/>
    <m/>
    <n v="8547.0400000000154"/>
    <s v="Cash Withdrwal"/>
    <m/>
    <x v="15"/>
    <m/>
    <s v="2018-2019"/>
    <s v="CHECKED"/>
  </r>
  <r>
    <x v="229"/>
    <d v="2018-10-15T00:00:00"/>
    <s v="   TO TRANSFER-UPI/DR/828814546403/GAURI   /UTIB/goruhudda0--"/>
    <s v="TRANSFER TO 4898798162096"/>
    <n v="1000"/>
    <m/>
    <n v="7547.0400000000154"/>
    <s v="Transfer Through UPI App"/>
    <s v="Google Pay App"/>
    <x v="95"/>
    <m/>
    <s v="2018-2019"/>
    <s v="CHECKED"/>
  </r>
  <r>
    <x v="229"/>
    <d v="2018-10-15T00:00:00"/>
    <s v="   BY TRANSFER-UPI/CR/828814878353/Goru Hudda/UTIB/goruhudd--"/>
    <s v="TRANSFER FROM 4899321162094"/>
    <m/>
    <n v="1000"/>
    <n v="8547.0400000000154"/>
    <s v="Received Through UPI App"/>
    <s v="Google Pay App"/>
    <x v="95"/>
    <m/>
    <s v="2018-2019"/>
    <s v="CHECKED"/>
  </r>
  <r>
    <x v="229"/>
    <d v="2018-10-15T00:00:00"/>
    <s v="   BY TRANSFER-UPI/CR/828814984375/GOOGLEPAY/UTIB/goog-paym--"/>
    <s v="TRANSFER FROM 4897699162097"/>
    <m/>
    <n v="151"/>
    <n v="8698.0400000000154"/>
    <s v="Earning From UPI App"/>
    <s v="Google Pay App"/>
    <x v="44"/>
    <m/>
    <s v="2018-2019"/>
    <s v="CHECKED"/>
  </r>
  <r>
    <x v="229"/>
    <d v="2018-10-15T00:00:00"/>
    <s v="   TO TRANSFER-UPI/DR/828845723369/PhonePe/YESB/EURONET@yb/--"/>
    <s v="TRANSFER TO 4898277162099"/>
    <n v="28"/>
    <m/>
    <n v="8670.0400000000154"/>
    <s v="Transfer Through UPI App"/>
    <s v="Phone Pe App"/>
    <x v="96"/>
    <m/>
    <s v="2018-2019"/>
    <s v="CHECKED"/>
  </r>
  <r>
    <x v="229"/>
    <d v="2018-10-15T00:00:00"/>
    <s v="   BY TRANSFER-UPI/CR/828815979879/Goru Hudda/UTIB/goruhudd--"/>
    <s v="TRANSFER FROM 4899321162094"/>
    <m/>
    <n v="58.9"/>
    <n v="8728.9400000000151"/>
    <s v="Received Through UPI App"/>
    <s v="Google Pay App"/>
    <x v="95"/>
    <m/>
    <s v="2018-2019"/>
    <s v="CHECKED"/>
  </r>
  <r>
    <x v="230"/>
    <d v="2018-10-16T00:00:00"/>
    <s v="   BY TRANSFER-UPI/CR/828911143944/ramkumar/ORBC/soniramkum--"/>
    <s v="TRANSFER FROM 4899331162092"/>
    <m/>
    <n v="856"/>
    <n v="9584.9400000000151"/>
    <s v="Received Through UPI App"/>
    <s v="Google Pay App"/>
    <x v="97"/>
    <m/>
    <s v="2018-2019"/>
    <s v="CHECKED"/>
  </r>
  <r>
    <x v="230"/>
    <d v="2018-10-16T00:00:00"/>
    <s v="   TO TRANSFER-UPI/DR/828911760159/RAM KUMA/ORBC/soniramkum--"/>
    <s v="TRANSFER TO 4898829162094"/>
    <n v="856"/>
    <m/>
    <n v="8728.9400000000151"/>
    <s v="Transfer Through UPI App"/>
    <s v="Google Pay App"/>
    <x v="97"/>
    <m/>
    <s v="2018-2019"/>
    <s v="CHECKED"/>
  </r>
  <r>
    <x v="230"/>
    <d v="2018-10-16T00:00:00"/>
    <s v="   BY TRANSFER-UPI/CR/828920159345/GOOGLEPAY/UTIB/goog-paym--"/>
    <s v="TRANSFER FROM 4899337162096"/>
    <m/>
    <n v="16"/>
    <n v="8744.9400000000151"/>
    <s v="Earning From UPI App"/>
    <s v="Google Pay App"/>
    <x v="97"/>
    <m/>
    <s v="2018-2019"/>
    <s v="CHECKED"/>
  </r>
  <r>
    <x v="231"/>
    <d v="2018-10-17T00:00:00"/>
    <s v="   DEPOSIT TRANSFER-INT TRF FRM 37913835395 TO 61207864076--"/>
    <s v="TRANSFER FROM 37913835395                         "/>
    <m/>
    <n v="79"/>
    <n v="8823.9400000000151"/>
    <s v="Interest on fd"/>
    <m/>
    <x v="98"/>
    <m/>
    <s v="2018-2019"/>
    <s v="CHECKED"/>
  </r>
  <r>
    <x v="231"/>
    <d v="2018-10-17T00:00:00"/>
    <s v="   BY TRANSFER---"/>
    <s v="TRANSFER FROM 37913835395                         "/>
    <m/>
    <n v="11111"/>
    <n v="19934.940000000017"/>
    <s v="Acc Closed"/>
    <m/>
    <x v="82"/>
    <m/>
    <s v="2018-2019"/>
    <s v="CHECKED"/>
  </r>
  <r>
    <x v="232"/>
    <d v="2018-10-20T00:00:00"/>
    <s v="   ATM WDL-ATM CASH 2682  SBI OPP. ADARSH THEATEMALOUT--"/>
    <m/>
    <n v="10000"/>
    <m/>
    <n v="9934.9400000000169"/>
    <s v="Cash Withdrwal"/>
    <m/>
    <x v="3"/>
    <m/>
    <s v="2018-2019"/>
    <s v="CHECKED"/>
  </r>
  <r>
    <x v="233"/>
    <d v="2018-10-21T00:00:00"/>
    <s v="   TO TRANSFER-UPI/DR/829419076885/SONU JAIN/CNRB/jainadith--"/>
    <s v="TRANSFER TO 4898928162092"/>
    <n v="1047"/>
    <m/>
    <n v="8887.9400000000169"/>
    <s v="Transfer Through UPI App"/>
    <s v="Google Pay App"/>
    <x v="99"/>
    <m/>
    <s v="2018-2019"/>
    <s v="CHECKED"/>
  </r>
  <r>
    <x v="233"/>
    <d v="2018-10-21T00:00:00"/>
    <s v="   BY TRANSFER-UPI/CR/829419082252/SONU JAIN/CNRB/jainadith--"/>
    <s v="TRANSFER FROM 4897730162092"/>
    <m/>
    <n v="1047"/>
    <n v="9934.9400000000169"/>
    <s v="Received Through UPI App"/>
    <s v="Google Pay App"/>
    <x v="99"/>
    <m/>
    <s v="2018-2019"/>
    <s v="CHECKED"/>
  </r>
  <r>
    <x v="234"/>
    <d v="2018-10-24T00:00:00"/>
    <s v="   TO TRANSFER-UPI/DR/829710136850/billdesk/ICIC/billdesk.j--"/>
    <s v="TRANSFER TO 4898736162099"/>
    <n v="2043"/>
    <m/>
    <n v="7891.9400000000169"/>
    <s v="Electricity Bill"/>
    <s v="Google Pay App"/>
    <x v="36"/>
    <m/>
    <s v="2018-2019"/>
    <s v="CHECKED"/>
  </r>
  <r>
    <x v="234"/>
    <d v="2018-10-24T00:00:00"/>
    <s v="   BY TRANSFER-UPI/CR/829710647652/GOOGLEPAY/UTIB/goog-paym--"/>
    <s v="TRANSFER FROM 4899349162092"/>
    <m/>
    <n v="278"/>
    <n v="8169.9400000000169"/>
    <s v="Earning From UPI App"/>
    <s v="Google Pay App"/>
    <x v="51"/>
    <m/>
    <s v="2018-2019"/>
    <s v="CHECKED"/>
  </r>
  <r>
    <x v="235"/>
    <d v="2018-10-26T00:00:00"/>
    <s v="   TO TRANSFER-UPI/DR/829920193584/billdesk/ICIC/billdesk.d--"/>
    <s v="TRANSFER TO 4898286162098"/>
    <n v="7620"/>
    <m/>
    <n v="549.94000000001688"/>
    <s v="Electricity Bill"/>
    <s v="Google Pay App"/>
    <x v="100"/>
    <m/>
    <s v="2018-2019"/>
    <s v="CHECKED"/>
  </r>
  <r>
    <x v="236"/>
    <d v="2018-10-27T00:00:00"/>
    <s v="   BY TRANSFER-UPI/CR/830008195241/GOOGLEPAY/UTIB/goog-paym--"/>
    <s v="TRANSFER FROM 4899373162093"/>
    <m/>
    <n v="14"/>
    <n v="563.94000000001688"/>
    <s v="Earning From UPI App"/>
    <s v="Google Pay App"/>
    <x v="51"/>
    <m/>
    <s v="2018-2019"/>
    <s v="CHECKED"/>
  </r>
  <r>
    <x v="236"/>
    <d v="2018-10-27T00:00:00"/>
    <s v="   BY TRANSFER-UPI/CR/830018758542/DIVYA  J/SBIN/divya88jai--"/>
    <s v="TRANSFER FROM 4899374162092"/>
    <m/>
    <n v="7620"/>
    <n v="8183.9400000000169"/>
    <s v="Received Through UPI App"/>
    <s v="Google Pay App"/>
    <x v="101"/>
    <m/>
    <s v="2018-2019"/>
    <s v="CHECKED"/>
  </r>
  <r>
    <x v="237"/>
    <d v="2018-10-28T00:00:00"/>
    <s v="   TO TRANSFER-UPI/DR/830112656154/Miss. AA/CBIN/jainaayush--"/>
    <s v="TRANSFER TO 4897685162093"/>
    <n v="547"/>
    <m/>
    <n v="7636.9400000000169"/>
    <s v="Transfer Through UPI App"/>
    <s v="Google Pay App"/>
    <x v="102"/>
    <m/>
    <s v="2018-2019"/>
    <s v="CHECKED"/>
  </r>
  <r>
    <x v="237"/>
    <d v="2018-10-28T00:00:00"/>
    <s v="   BY TRANSFER-UPI/CR/830112658926/Miss. AA/CBIN/jainaayush--"/>
    <s v="TRANSFER FROM 4897727162098"/>
    <m/>
    <n v="547"/>
    <n v="8183.9400000000169"/>
    <s v="Received Through UPI App"/>
    <s v="Google Pay App"/>
    <x v="102"/>
    <m/>
    <s v="2018-2019"/>
    <s v="CHECKED"/>
  </r>
  <r>
    <x v="238"/>
    <d v="2018-10-30T00:00:00"/>
    <s v="   BULK POSTING-SAL10183184417000325980000043017803106167790014319--"/>
    <m/>
    <m/>
    <n v="533"/>
    <n v="8716.9400000000169"/>
    <s v="Salary"/>
    <m/>
    <x v="12"/>
    <s v="DA Salary Arrer Jul to Sep"/>
    <s v="2018-2019"/>
    <s v="CHECKED"/>
  </r>
  <r>
    <x v="238"/>
    <d v="2018-10-30T00:00:00"/>
    <s v="   BULK POSTING-SAL10183184417000325980000043017803106167790014419--"/>
    <m/>
    <m/>
    <n v="533"/>
    <n v="9249.9400000000169"/>
    <s v="Salary"/>
    <m/>
    <x v="12"/>
    <s v="DA Salary Arrer Jul to Sep"/>
    <s v="2018-2019"/>
    <s v="CHECKED"/>
  </r>
  <r>
    <x v="238"/>
    <d v="2018-10-30T00:00:00"/>
    <s v="   BULK POSTING-SAL10183184417000325980000043017803106167790014519--"/>
    <m/>
    <m/>
    <n v="533"/>
    <n v="9782.9400000000169"/>
    <s v="Salary"/>
    <m/>
    <x v="12"/>
    <s v="DA Salary Arrer Jul to Sep"/>
    <s v="2018-2019"/>
    <s v="CHECKED"/>
  </r>
  <r>
    <x v="238"/>
    <d v="2018-10-30T00:00:00"/>
    <s v="   TO TRANSFER-UPI/DR/830310701651/RAM KUMA/SBIN/mr.ram.sai--"/>
    <s v="TRANSFER TO 4898826162097"/>
    <n v="3900"/>
    <m/>
    <n v="5882.9400000000169"/>
    <s v="Transfer Through UPI App"/>
    <s v="Google Pay App"/>
    <x v="103"/>
    <m/>
    <s v="2018-2019"/>
    <s v="CHECKED"/>
  </r>
  <r>
    <x v="239"/>
    <d v="2018-11-01T00:00:00"/>
    <s v="   TO TRANSFER-INB Avenues India Private Lim--"/>
    <s v="107463228075IGAERHEKI3               TRANSFER TO 4"/>
    <n v="15"/>
    <m/>
    <n v="5867.9400000000169"/>
    <s v="Transfer Through Net Banking"/>
    <m/>
    <x v="104"/>
    <m/>
    <s v="2018-2019"/>
    <s v="CHECKED"/>
  </r>
  <r>
    <x v="240"/>
    <d v="2018-11-02T00:00:00"/>
    <s v="   BY TRANSFER-UPI/CR/830611806390/DIVYA  J/SBIN/divya88jai--"/>
    <s v="TRANSFER FROM 4898979162092"/>
    <m/>
    <n v="8400"/>
    <n v="14267.940000000017"/>
    <s v="Received Through UPI App"/>
    <s v="Google Pay App"/>
    <x v="28"/>
    <m/>
    <s v="2018-2019"/>
    <s v="CHECKED"/>
  </r>
  <r>
    <x v="240"/>
    <d v="2018-11-02T00:00:00"/>
    <s v="   BY TRANSFER-UPI/CR/830613306067/DIVYA  J/SBIN/divya88jai--"/>
    <s v="TRANSFER FROM 4898982162097"/>
    <m/>
    <n v="12000"/>
    <n v="26267.940000000017"/>
    <s v="Received Through UPI App"/>
    <s v="Google Pay App"/>
    <x v="28"/>
    <m/>
    <s v="2018-2019"/>
    <s v="CHECKED"/>
  </r>
  <r>
    <x v="240"/>
    <d v="2018-11-02T00:00:00"/>
    <s v="   TO TRANSFER-INB Unit Trust of India MF    BILL_UTIMF Payments--"/>
    <s v="PSBI6854967792IGAERNPZW5               TRANSFER TO"/>
    <n v="23000"/>
    <m/>
    <n v="3267.9400000000169"/>
    <s v="Transfer Through Net Banking"/>
    <m/>
    <x v="33"/>
    <s v="Mutual Fund Purchased (UTI)"/>
    <s v="2018-2019"/>
    <s v="CHECKED"/>
  </r>
  <r>
    <x v="240"/>
    <d v="2018-11-02T00:00:00"/>
    <s v="   BY TRANSFER-UPI/CR/830615868588/GOOGLEPAY/UTIB/goog-paym--"/>
    <s v="TRANSFER FROM 4898982162097"/>
    <m/>
    <n v="27"/>
    <n v="3294.9400000000169"/>
    <s v="Earning From UPI App"/>
    <s v="Google Pay App"/>
    <x v="105"/>
    <m/>
    <s v="2018-2019"/>
    <s v="CHECKED"/>
  </r>
  <r>
    <x v="240"/>
    <d v="2018-11-02T00:00:00"/>
    <s v="   TO TRANSFER-UPI/DR/830616746453/SUSHIL K/ORBC/sushilsinv--"/>
    <s v="TRANSFER TO 4898884162098"/>
    <n v="707"/>
    <m/>
    <n v="2587.9400000000169"/>
    <s v="Transfer Through UPI App"/>
    <s v="Google Pay App"/>
    <x v="106"/>
    <m/>
    <s v="2018-2019"/>
    <s v="CHECKED"/>
  </r>
  <r>
    <x v="240"/>
    <d v="2018-11-02T00:00:00"/>
    <s v="   BY TRANSFER-UPI/CR/830616133109/Sushil S/ORBC/sushilsinv--"/>
    <s v="TRANSFER FROM 4899363162095"/>
    <m/>
    <n v="707"/>
    <n v="3294.9400000000169"/>
    <s v="Received Through UPI App"/>
    <s v="Google Pay App"/>
    <x v="106"/>
    <m/>
    <s v="2018-2019"/>
    <s v="CHECKED"/>
  </r>
  <r>
    <x v="240"/>
    <d v="2018-11-02T00:00:00"/>
    <s v="   BY TRANSFER-UPI/CR/830616349592/GOOGLEPAY/UTIB/goog-paym--"/>
    <s v="TRANSFER FROM 4898978162093"/>
    <m/>
    <n v="13"/>
    <n v="3307.9400000000169"/>
    <s v="Earning From UPI App"/>
    <s v="Google Pay App"/>
    <x v="105"/>
    <m/>
    <s v="2018-2019"/>
    <s v="CHECKED"/>
  </r>
  <r>
    <x v="240"/>
    <d v="2018-11-02T00:00:00"/>
    <s v="   BY TRANSFER-UPI/CR/830616208194/king Rah/ORBC/kingrahuls--"/>
    <s v="TRANSFER FROM 4898981162098"/>
    <m/>
    <n v="304"/>
    <n v="3611.9400000000169"/>
    <s v="Received Through UPI App"/>
    <s v="Google Pay App"/>
    <x v="65"/>
    <m/>
    <s v="2018-2019"/>
    <s v="CHECKED"/>
  </r>
  <r>
    <x v="240"/>
    <d v="2018-11-02T00:00:00"/>
    <s v="   TO TRANSFER-UPI/DR/830616802330/RAHUL SO/ORBC/kingrahuls--"/>
    <s v="TRANSFER TO 4898879162095"/>
    <n v="704"/>
    <m/>
    <n v="2907.9400000000169"/>
    <s v="Transfer Through UPI App"/>
    <s v="Google Pay App"/>
    <x v="65"/>
    <m/>
    <s v="2018-2019"/>
    <s v="CHECKED"/>
  </r>
  <r>
    <x v="240"/>
    <d v="2018-11-02T00:00:00"/>
    <s v="   BY TRANSFER-UPI/CR/830617661661/GOOGLEPAY/UTIB/goog-paym--"/>
    <s v="TRANSFER FROM 4899362162096"/>
    <m/>
    <n v="12"/>
    <n v="2919.9400000000169"/>
    <s v="Earning From UPI App"/>
    <s v="Google Pay App"/>
    <x v="105"/>
    <m/>
    <s v="2018-2019"/>
    <s v="CHECKED"/>
  </r>
  <r>
    <x v="240"/>
    <d v="2018-11-02T00:00:00"/>
    <s v="   TO TRANSFER-INB Avenues India Private Lim--"/>
    <s v="107464053729IGAEROTSS4               TRANSFER TO 4"/>
    <n v="11"/>
    <m/>
    <n v="2908.9400000000169"/>
    <s v="Transfer Through Net Banking"/>
    <m/>
    <x v="104"/>
    <m/>
    <s v="2018-2019"/>
    <s v="CHECKED"/>
  </r>
  <r>
    <x v="241"/>
    <d v="2018-11-03T00:00:00"/>
    <s v="   BY TRANSFER-UPI/CR/830714302348/king Rah/ORBC/kingrahuls--"/>
    <s v="TRANSFER FROM 4898989162090"/>
    <m/>
    <n v="400"/>
    <n v="3308.9400000000169"/>
    <s v="Received Through UPI App"/>
    <s v="Google Pay App"/>
    <x v="65"/>
    <m/>
    <s v="2018-2019"/>
    <s v="CHECKED"/>
  </r>
  <r>
    <x v="241"/>
    <d v="2018-11-03T00:00:00"/>
    <s v="   BULK POSTING-ACHCr SBIN00496000007840 RAJ GOVT SSP--"/>
    <m/>
    <m/>
    <n v="6774"/>
    <n v="10082.940000000017"/>
    <s v="Salary"/>
    <m/>
    <x v="10"/>
    <m/>
    <s v="2018-2019"/>
    <s v="CHECKED"/>
  </r>
  <r>
    <x v="242"/>
    <d v="2018-11-04T00:00:00"/>
    <s v="   BY TRANSFER-UPI/CR/830818974148/GOOGLEPAY/UTIB/goog-paym--"/>
    <s v="TRANSFER FROM 4898997162090"/>
    <m/>
    <n v="10"/>
    <n v="10092.940000000017"/>
    <s v="Earning From UPI App"/>
    <s v="Google Pay App"/>
    <x v="105"/>
    <m/>
    <s v="2018-2019"/>
    <s v="CHECKED"/>
  </r>
  <r>
    <x v="242"/>
    <d v="2018-11-04T00:00:00"/>
    <s v="   BY TRANSFER-UPI/CR/830818104626/GOOGLEPAY/UTIB/goog-paym--"/>
    <s v="TRANSFER FROM 4899383162091"/>
    <m/>
    <n v="20"/>
    <n v="10112.940000000017"/>
    <s v="Earning From UPI App"/>
    <s v="Google Pay App"/>
    <x v="105"/>
    <m/>
    <s v="2018-2019"/>
    <s v="CHECKED"/>
  </r>
  <r>
    <x v="243"/>
    <d v="2018-11-05T00:00:00"/>
    <s v="   BULK POSTING-SAL11183184417000325980000045018378106411770004519--"/>
    <m/>
    <m/>
    <n v="7201"/>
    <n v="17313.940000000017"/>
    <s v="Salary"/>
    <m/>
    <x v="7"/>
    <s v="Salary Arrer (7th Pay Comm 4th Installment)"/>
    <s v="2018-2019"/>
    <s v="CHECKED"/>
  </r>
  <r>
    <x v="244"/>
    <d v="2018-11-07T00:00:00"/>
    <s v="   TO TRANSFER-UPI/DR/831110791867/DIVYA  J/SBIN/divya88jai--"/>
    <s v="TRANSFER TO 4898850162096"/>
    <n v="501"/>
    <m/>
    <n v="16812.940000000017"/>
    <s v="Transfer Through UPI App"/>
    <m/>
    <x v="28"/>
    <m/>
    <s v="2018-2019"/>
    <s v="CHECKED"/>
  </r>
  <r>
    <x v="245"/>
    <d v="2018-11-08T00:00:00"/>
    <s v="   BY TRANSFER-UPI/CR/831207990347/GOOGLEPAY/UTIB/goog-paym--"/>
    <s v="TRANSFER FROM 4899355162094"/>
    <m/>
    <n v="201"/>
    <n v="17013.940000000017"/>
    <s v="Earning From UPI App"/>
    <s v="Google Pay App"/>
    <x v="44"/>
    <m/>
    <s v="2018-2019"/>
    <s v="CHECKED"/>
  </r>
  <r>
    <x v="245"/>
    <d v="2018-11-08T00:00:00"/>
    <s v="   BULK POSTING-SAL11183184417000325980000052020088106458250004919--"/>
    <m/>
    <m/>
    <n v="28406"/>
    <n v="45419.940000000017"/>
    <s v="Salary"/>
    <m/>
    <x v="0"/>
    <m/>
    <s v="2018-2019"/>
    <s v="CHECKED"/>
  </r>
  <r>
    <x v="246"/>
    <d v="2018-11-12T00:00:00"/>
    <s v="   ATM WDL-ATM CASH 7835  SBBJ TIBBI            HANUMANGARH--"/>
    <m/>
    <n v="6000"/>
    <m/>
    <n v="39419.940000000017"/>
    <s v="Cash Withdrwal"/>
    <m/>
    <x v="15"/>
    <m/>
    <s v="2018-2019"/>
    <s v="CHECKED"/>
  </r>
  <r>
    <x v="247"/>
    <d v="2018-11-14T00:00:00"/>
    <s v="   TO TRANSFER-INB Unit Trust of India MF    BILL_UTIMF Payments--"/>
    <s v="PSBI6894682541IGAETLHEU9               TRANSFER TO"/>
    <n v="25000"/>
    <m/>
    <n v="14419.940000000017"/>
    <s v="Transfer Through Net Banking"/>
    <m/>
    <x v="33"/>
    <s v="Mutual Fund Purchased (UTI)"/>
    <s v="2018-2019"/>
    <s v="CHECKED"/>
  </r>
  <r>
    <x v="248"/>
    <d v="2018-11-15T00:00:00"/>
    <s v="   TO TRANSFER-UPI/DR/831915160501/RAM KUMA/SBIN/mr.ram.sai--"/>
    <s v="TRANSFER TO 4898861162095"/>
    <n v="250"/>
    <m/>
    <n v="14169.940000000017"/>
    <s v="Transfer Through UPI App"/>
    <s v="Google Pay App"/>
    <x v="60"/>
    <m/>
    <s v="2018-2019"/>
    <s v="CHECKED"/>
  </r>
  <r>
    <x v="249"/>
    <d v="2018-11-20T00:00:00"/>
    <s v="   TO TRANSFER-UPI/DR/832416413795/DIVYA  J/SBIN/divya88jai--"/>
    <s v="TRANSFER TO 4897663162099"/>
    <n v="999"/>
    <m/>
    <n v="13170.940000000017"/>
    <s v="Transfer Through UPI App"/>
    <s v="Google Pay App"/>
    <x v="28"/>
    <m/>
    <s v="2018-2019"/>
    <s v="CHECKED"/>
  </r>
  <r>
    <x v="250"/>
    <d v="2018-11-26T00:00:00"/>
    <s v="   CREDIT INTEREST---"/>
    <m/>
    <m/>
    <n v="80"/>
    <n v="13250.940000000017"/>
    <s v="Credit Interest"/>
    <m/>
    <x v="107"/>
    <m/>
    <s v="2018-2019"/>
    <s v="CHECKED"/>
  </r>
  <r>
    <x v="250"/>
    <d v="2018-11-26T00:00:00"/>
    <s v="   DEBIT INTEREST---"/>
    <m/>
    <n v="80"/>
    <m/>
    <n v="13170.940000000017"/>
    <s v="Debit Interest"/>
    <m/>
    <x v="107"/>
    <m/>
    <s v="2018-2019"/>
    <s v="CHECKED"/>
  </r>
  <r>
    <x v="251"/>
    <d v="2018-12-01T00:00:00"/>
    <s v="   BY TRANSFER-UPI/CR/833512472882/GOOGLEPAY/UTIB/goog-paym--"/>
    <s v="TRANSFER FROM 4897725162090"/>
    <m/>
    <n v="51"/>
    <n v="13221.940000000017"/>
    <s v="Earning From UPI App"/>
    <s v="Google Pay App"/>
    <x v="44"/>
    <m/>
    <s v="2018-2019"/>
    <s v="CHECKED"/>
  </r>
  <r>
    <x v="251"/>
    <d v="2018-12-01T00:00:00"/>
    <s v="   TO TRANSFER-UPI/DR/833521773518/paytm/ICIC/paytm@icic/Oi--"/>
    <s v="TRANSFER TO 4898288162096"/>
    <n v="870.8"/>
    <m/>
    <n v="12351.140000000018"/>
    <s v="Transfer Through UPI App"/>
    <s v="Google Pay App"/>
    <x v="108"/>
    <m/>
    <s v="2018-2019"/>
    <s v="CHECKED"/>
  </r>
  <r>
    <x v="252"/>
    <d v="2018-12-05T00:00:00"/>
    <s v="   BY TRANSFER-UPI/CR/833920577267/RAMESH  /SBIN/7891643292--"/>
    <s v="TRANSFER FROM 4898957162097"/>
    <m/>
    <n v="800"/>
    <n v="13151.140000000018"/>
    <s v="Received Through UPI App"/>
    <s v="Phone Pe App"/>
    <x v="109"/>
    <m/>
    <s v="2018-2019"/>
    <s v="CHECKED"/>
  </r>
  <r>
    <x v="252"/>
    <d v="2018-12-05T00:00:00"/>
    <s v="   TO TRANSFER-UPI/DR/833910806676/RAMESH  /SBIN/7891643292--"/>
    <s v="TRANSFER TO 4897666162096"/>
    <n v="800"/>
    <m/>
    <n v="12351.140000000018"/>
    <s v="Transfer Through UPI App"/>
    <s v="Phone Pe App"/>
    <x v="109"/>
    <m/>
    <s v="2018-2019"/>
    <s v="CHECKED"/>
  </r>
  <r>
    <x v="252"/>
    <d v="2018-12-05T00:00:00"/>
    <s v="   TO TRANSFER-UPI/DR/833920862082/RAM  KUMAR/SBIN/97828942--"/>
    <s v="TRANSFER TO 4898849162090"/>
    <n v="700"/>
    <m/>
    <n v="11651.140000000018"/>
    <s v="Transfer Through UPI App"/>
    <s v="Phone Pe App"/>
    <x v="60"/>
    <m/>
    <s v="2018-2019"/>
    <s v="CHECKED"/>
  </r>
  <r>
    <x v="252"/>
    <d v="2018-12-05T00:00:00"/>
    <s v="   BY TRANSFER-UPI/CR/833910452554/RAMESH  /SBIN/rameshinsa--"/>
    <s v="TRANSFER FROM 4899343162098"/>
    <m/>
    <n v="800"/>
    <n v="12451.140000000018"/>
    <s v="Received Through UPI App"/>
    <s v="Google Pay App"/>
    <x v="109"/>
    <m/>
    <s v="2018-2019"/>
    <s v="CHECKED"/>
  </r>
  <r>
    <x v="252"/>
    <d v="2018-12-05T00:00:00"/>
    <s v="   TO TRANSFER-UPI/DR/833910452810/RAMESH  /SBIN/rameshinsa--"/>
    <s v="TRANSFER TO 4897668162094"/>
    <n v="800"/>
    <m/>
    <n v="11651.140000000018"/>
    <s v="Transfer Through UPI App"/>
    <s v="Google Pay App"/>
    <x v="109"/>
    <m/>
    <s v="2018-2019"/>
    <s v="CHECKED"/>
  </r>
  <r>
    <x v="252"/>
    <d v="2018-12-05T00:00:00"/>
    <s v="   TO TRANSFER-UPI/DR/833930584881/IRJESH K/PUNB/8502936046--"/>
    <s v="TRANSFER TO 4898844162095"/>
    <n v="1200"/>
    <m/>
    <n v="10451.140000000018"/>
    <s v="Transfer Through UPI App"/>
    <s v="Phone Pe App"/>
    <x v="54"/>
    <m/>
    <s v="2018-2019"/>
    <s v="CHECKED"/>
  </r>
  <r>
    <x v="252"/>
    <d v="2018-12-05T00:00:00"/>
    <s v="   TO TRANSFER-UPI/DR/833940079278/DIVYA  J/SBIN/8847283560--"/>
    <s v="TRANSFER TO 4898855162092"/>
    <n v="2000"/>
    <m/>
    <n v="8451.1400000000176"/>
    <s v="Transfer Through UPI App"/>
    <s v="Phone Pe App"/>
    <x v="28"/>
    <m/>
    <s v="2018-2019"/>
    <s v="CHECKED"/>
  </r>
  <r>
    <x v="252"/>
    <d v="2018-12-05T00:00:00"/>
    <s v="   BY TRANSFER-UPI/CR/833933981253/IRJESH K/PUNB/8502936046--"/>
    <s v="TRANSFER FROM 4899344162097"/>
    <m/>
    <n v="1200"/>
    <n v="9651.1400000000176"/>
    <s v="Received Through UPI App"/>
    <s v="Phone Pe App"/>
    <x v="54"/>
    <m/>
    <s v="2018-2019"/>
    <s v="CHECKED"/>
  </r>
  <r>
    <x v="252"/>
    <d v="2018-12-05T00:00:00"/>
    <s v="   BY TRANSFER-UPI/CR/833922068400/RAM  KUMAR/SBIN/97828942--"/>
    <s v="TRANSFER FROM 4897710162096"/>
    <m/>
    <n v="700"/>
    <n v="10351.140000000018"/>
    <s v="Received Through UPI App"/>
    <s v="Phone Pe App"/>
    <x v="60"/>
    <m/>
    <s v="2018-2019"/>
    <s v="CHECKED"/>
  </r>
  <r>
    <x v="252"/>
    <d v="2018-12-05T00:00:00"/>
    <s v="   TO TRANSFER-UPI/DR/833948962924/ARVIND K/ORBC/7665409187--"/>
    <s v="TRANSFER TO 4898844162095"/>
    <n v="1400"/>
    <m/>
    <n v="8951.1400000000176"/>
    <s v="Transfer Through UPI App"/>
    <s v="Phone Pe App"/>
    <x v="50"/>
    <m/>
    <s v="2018-2019"/>
    <s v="CHECKED"/>
  </r>
  <r>
    <x v="252"/>
    <d v="2018-12-05T00:00:00"/>
    <s v="   BY TRANSFER-UPI/CR/833936632689/ARVIND K/ORBC/7665409187--"/>
    <s v="TRANSFER FROM 4899346162095"/>
    <m/>
    <n v="1400"/>
    <n v="10351.140000000018"/>
    <s v="Received Through UPI App"/>
    <s v="Phone Pe App"/>
    <x v="50"/>
    <m/>
    <s v="2018-2019"/>
    <s v="CHECKED"/>
  </r>
  <r>
    <x v="253"/>
    <d v="2018-12-06T00:00:00"/>
    <s v="   TO TRANSFER-UPI/DR/834015965582/billdesk/ICIC/billdesk.r--"/>
    <s v="TRANSFER TO 4898741162092"/>
    <n v="399"/>
    <m/>
    <n v="9952.1400000000176"/>
    <s v="Transfer Through UPI App"/>
    <s v="Google Pay App"/>
    <x v="87"/>
    <m/>
    <s v="2018-2019"/>
    <s v="CHECKED"/>
  </r>
  <r>
    <x v="253"/>
    <d v="2018-12-06T00:00:00"/>
    <s v="   BY TRANSFER-UPI/CR/834015999055/GOOGLEPAY/UTIB/goog-paym--"/>
    <s v="TRANSFER FROM 4899355162094"/>
    <m/>
    <n v="25"/>
    <n v="9977.1400000000176"/>
    <s v="Earning From UPI App"/>
    <s v="Google Pay App"/>
    <x v="88"/>
    <m/>
    <s v="2018-2019"/>
    <s v="CHECKED"/>
  </r>
  <r>
    <x v="254"/>
    <d v="2018-12-09T00:00:00"/>
    <s v="   TO TRANSFER-UPI/DR/834324534015/PhonePe/YESB/BILLDESKPP/Paymen--"/>
    <s v="TRANSFER TO 4898756162095"/>
    <n v="306.2"/>
    <m/>
    <n v="9670.9400000000169"/>
    <s v="Electricity Bill"/>
    <s v="Phone Pe App"/>
    <x v="110"/>
    <m/>
    <s v="2018-2019"/>
    <s v="CHECKED"/>
  </r>
  <r>
    <x v="255"/>
    <d v="2018-12-10T00:00:00"/>
    <s v="   ATM WDL-ATM CASH 1163  SBBJ TIBBI            HANUMANGARH--"/>
    <m/>
    <n v="5000"/>
    <m/>
    <n v="4670.9400000000169"/>
    <s v="Cash Withdrwal"/>
    <m/>
    <x v="15"/>
    <m/>
    <s v="2018-2019"/>
    <s v="CHECKED"/>
  </r>
  <r>
    <x v="256"/>
    <d v="2018-12-21T00:00:00"/>
    <s v="   TO TRANSFER-UPI/DR/835520173231/billdesk/ICIC/billdesk.j--"/>
    <s v="TRANSFER TO 4898286162098"/>
    <n v="832"/>
    <m/>
    <n v="3838.9400000000169"/>
    <s v="Electricity Bill"/>
    <s v="Google Pay App"/>
    <x v="36"/>
    <m/>
    <s v="2018-2019"/>
    <s v="CHECKED"/>
  </r>
  <r>
    <x v="256"/>
    <d v="2018-12-21T00:00:00"/>
    <s v="   BY TRANSFER-UPI/CR/835520571820/GOOGLEPAY/UTIB/goog-paym--"/>
    <s v="TRANSFER FROM 4898980162098"/>
    <m/>
    <n v="11"/>
    <n v="3849.9400000000169"/>
    <s v="Earning From UPI App"/>
    <s v="Google Pay App"/>
    <x v="51"/>
    <m/>
    <s v="2018-2019"/>
    <s v="CHECKED"/>
  </r>
  <r>
    <x v="257"/>
    <d v="2018-12-23T00:00:00"/>
    <s v="   TO TRANSFER-UPI/DR/835713065762/BHAVANA /SBIN/bhavanajai--"/>
    <s v="TRANSFER TO 4898929162091"/>
    <n v="500"/>
    <m/>
    <n v="3349.9400000000169"/>
    <s v="Transfer Through UPI App"/>
    <s v="Google Pay App"/>
    <x v="111"/>
    <m/>
    <s v="2018-2019"/>
    <s v="CHECKED"/>
  </r>
  <r>
    <x v="257"/>
    <d v="2018-12-23T00:00:00"/>
    <s v="   BY TRANSFER-UPI/CR/835719640239/bhavana /SBIN/bhavanajai--"/>
    <s v="TRANSFER FROM 4899387162097"/>
    <m/>
    <n v="500"/>
    <n v="3849.9400000000169"/>
    <s v="Received Through UPI App"/>
    <s v="Google Pay App"/>
    <x v="111"/>
    <m/>
    <s v="2018-2019"/>
    <s v="CHECKED"/>
  </r>
  <r>
    <x v="257"/>
    <d v="2018-12-23T00:00:00"/>
    <s v="   BY TRANSFER-UPI/CR/835719408356/GOOGLEPAY/UTIB/goog-paym--"/>
    <s v="TRANSFER FROM 4899000162097"/>
    <m/>
    <n v="101"/>
    <n v="3950.9400000000169"/>
    <s v="Earning From UPI App"/>
    <s v="Google Pay App"/>
    <x v="44"/>
    <m/>
    <s v="2018-2019"/>
    <s v="CHECKED"/>
  </r>
  <r>
    <x v="258"/>
    <d v="2018-12-24T00:00:00"/>
    <s v="   BY TRANSFER-UPI/CR/835821404048/BHAVANA /SBIN/9462933307--"/>
    <s v="TRANSFER FROM 4897698162098"/>
    <m/>
    <n v="1"/>
    <n v="3951.9400000000169"/>
    <s v="Received Through UPI App"/>
    <s v="Google Pay App"/>
    <x v="111"/>
    <m/>
    <s v="2018-2019"/>
    <s v="CHECKED"/>
  </r>
  <r>
    <x v="258"/>
    <d v="2018-12-24T00:00:00"/>
    <s v="   TO TRANSFER-UPI/DR/835817141268/billdesk/ICIC/billdesk.i--"/>
    <s v="TRANSFER TO 4898726162091"/>
    <n v="35"/>
    <m/>
    <n v="3916.9400000000169"/>
    <s v="Transfer Through UPI App"/>
    <s v="Google Pay App"/>
    <x v="112"/>
    <m/>
    <s v="2018-2019"/>
    <s v="CHECKED"/>
  </r>
  <r>
    <x v="258"/>
    <d v="2018-12-24T00:00:00"/>
    <s v="   BY TRANSFER-UPI/CR/835823345584/GOOGLEPAY/UTIB/goog-paym--"/>
    <s v="TRANSFER FROM 4899332162091"/>
    <m/>
    <n v="10"/>
    <n v="3926.9400000000169"/>
    <s v="Earning From UPI App"/>
    <s v="Google Pay App"/>
    <x v="88"/>
    <m/>
    <s v="2018-2019"/>
    <s v="CHECKED"/>
  </r>
  <r>
    <x v="259"/>
    <d v="2018-12-25T00:00:00"/>
    <s v="   CREDIT INTEREST---"/>
    <m/>
    <m/>
    <n v="103"/>
    <n v="4029.9400000000169"/>
    <s v="Credit Interest"/>
    <m/>
    <x v="0"/>
    <m/>
    <s v="2018-2019"/>
    <s v="CHECKED"/>
  </r>
  <r>
    <x v="260"/>
    <d v="2018-12-27T00:00:00"/>
    <s v="   BY TRANSFER-UPI/CR/836124564369/ARVIND K/ORBC/7665409187--"/>
    <s v="TRANSFER FROM 4899357162092"/>
    <m/>
    <n v="40"/>
    <n v="4069.9400000000169"/>
    <s v="Received Through UPI App"/>
    <s v="Google Pay App"/>
    <x v="112"/>
    <m/>
    <s v="2018-2019"/>
    <s v="CHECKED"/>
  </r>
  <r>
    <x v="261"/>
    <d v="2018-12-28T00:00:00"/>
    <s v="   TO TRANSFER-UPI/DR/836213283957/SBIePay/SBIN/sbiepay.hp/--"/>
    <s v="TRANSFER TO 4898747162096"/>
    <n v="833.5"/>
    <m/>
    <n v="3236.4400000000169"/>
    <s v="Transfer Through UPI App"/>
    <s v="Google Pay App"/>
    <x v="113"/>
    <m/>
    <s v="2018-2019"/>
    <s v="CHECKED"/>
  </r>
  <r>
    <x v="262"/>
    <d v="2019-01-03T00:00:00"/>
    <s v="   BY TRANSFER-UPI/CR/900313256276/ARVIND K/SBIN/7665409187--"/>
    <s v="TRANSFER FROM 4899354162095"/>
    <m/>
    <n v="10"/>
    <n v="3246.4400000000169"/>
    <s v="Received Through UPI App"/>
    <s v="Google Pay App"/>
    <x v="112"/>
    <m/>
    <s v="2018-2019"/>
    <s v="CHECKED"/>
  </r>
  <r>
    <x v="263"/>
    <d v="2019-01-04T00:00:00"/>
    <s v="   BY TRANSFER-UPI/CR/900413211393/SUNIL  S/SBIN/sunils1017/UPI--"/>
    <s v="TRANSFER FROM 4897721162094"/>
    <m/>
    <n v="40500"/>
    <n v="43746.440000000017"/>
    <s v="Received Through UPI App"/>
    <s v="Google Pay App"/>
    <x v="114"/>
    <m/>
    <s v="2018-2019"/>
    <s v="CHECKED"/>
  </r>
  <r>
    <x v="264"/>
    <d v="2019-01-05T00:00:00"/>
    <s v="   BULK POSTING-SAL01193184417000325980000056024177106969750000220--"/>
    <m/>
    <m/>
    <n v="28406"/>
    <n v="72152.440000000017"/>
    <s v="Salary"/>
    <m/>
    <x v="0"/>
    <m/>
    <s v="2018-2019"/>
    <s v="CHECKED"/>
  </r>
  <r>
    <x v="264"/>
    <d v="2019-01-05T00:00:00"/>
    <s v="   TO TRANSFER-UPI/DR/900518790405/Franklin/YESB/ftmf@yesba/UPI P--"/>
    <s v="TRANSFER TO 4898752162099"/>
    <n v="5000"/>
    <m/>
    <n v="67152.440000000017"/>
    <s v="Transfer Through UPI App"/>
    <s v="Google Pay App"/>
    <x v="33"/>
    <s v="Mutual Fund Purchased (Frankline Templon)"/>
    <s v="2018-2019"/>
    <s v="CHECKED"/>
  </r>
  <r>
    <x v="264"/>
    <d v="2019-01-05T00:00:00"/>
    <s v="   TO TRANSFER-UPI/DR/900518438160/SBI FUND/HDFC/sbifundsma/SBIMF--"/>
    <s v="TRANSFER TO 4898751162090"/>
    <n v="5000"/>
    <m/>
    <n v="62152.440000000017"/>
    <s v="Transfer Through UPI App"/>
    <s v="Google Pay App"/>
    <x v="33"/>
    <s v="Mutual Fund Purchased (SBI Blue Chip)"/>
    <s v="2018-2019"/>
    <s v="CHECKED"/>
  </r>
  <r>
    <x v="264"/>
    <d v="2019-01-05T00:00:00"/>
    <s v="   BY TRANSFER-UPI/REV/900518438160--"/>
    <s v="TRANSFER FROM 4898751162090"/>
    <m/>
    <n v="5000"/>
    <n v="67152.440000000017"/>
    <s v="Received Through UPI App"/>
    <m/>
    <x v="33"/>
    <s v="mutual fund transaction faild the amount received back"/>
    <s v="2018-2019"/>
    <s v="CHECKED"/>
  </r>
  <r>
    <x v="264"/>
    <d v="2019-01-05T00:00:00"/>
    <s v="   by debit card-SBIPG PT7074938017SBIMFECOM             MUMBAI--"/>
    <m/>
    <n v="5000"/>
    <m/>
    <n v="62152.440000000017"/>
    <s v="Transfer using Debit Card (ATM)"/>
    <s v="ATM card"/>
    <x v="33"/>
    <s v="Mutual Fund Purchased (SBI)"/>
    <s v="2018-2019"/>
    <s v="CHECKED"/>
  </r>
  <r>
    <x v="265"/>
    <d v="2019-01-06T00:00:00"/>
    <s v="   TO TRANSFER-INB Deposit / Investment---"/>
    <s v="IF17828113               TRANSFER TO 32500545461  "/>
    <n v="30000"/>
    <m/>
    <n v="32152.440000000017"/>
    <s v="PPF"/>
    <m/>
    <x v="0"/>
    <m/>
    <s v="2018-2019"/>
    <s v="CHECKED"/>
  </r>
  <r>
    <x v="265"/>
    <d v="2019-01-06T00:00:00"/>
    <s v="   by debit card-SBIPG PT7077021617SBIMFECOM             MUMBAI--"/>
    <m/>
    <n v="5000"/>
    <m/>
    <n v="27152.440000000017"/>
    <s v="Transfer using Debit Card (ATM)"/>
    <s v="ATM card"/>
    <x v="33"/>
    <s v="Mutual Fund Purchased (SBI)"/>
    <s v="2018-2019"/>
    <s v="CHECKED"/>
  </r>
  <r>
    <x v="266"/>
    <d v="2019-01-08T00:00:00"/>
    <s v="   BY TRANSFER-1261076977 21BZ2SB HP615667 101422 0301--"/>
    <s v="TRANSFER FROM 4599389105215"/>
    <m/>
    <n v="210.19"/>
    <n v="27362.630000000016"/>
    <s v="Subsidy"/>
    <m/>
    <x v="6"/>
    <m/>
    <s v="2018-2019"/>
    <s v="CHECKED"/>
  </r>
  <r>
    <x v="267"/>
    <d v="2019-01-12T00:00:00"/>
    <s v="   TO TRANSFER-INB RTI Online Payment--"/>
    <s v="NIEITR20190000000019IK00WQMPT7               TRANS"/>
    <n v="10"/>
    <m/>
    <n v="27352.630000000016"/>
    <s v="RTI"/>
    <m/>
    <x v="0"/>
    <m/>
    <s v="2018-2019"/>
    <s v="1. House Expenses me abhi entry nhi ki hai"/>
  </r>
  <r>
    <x v="268"/>
    <d v="2019-01-13T00:00:00"/>
    <s v="   TO TRANSFER-UPI/DR/901308451550/Indiaideas/ICIC/indiaideas/col--"/>
    <s v="TRANSFER TO 4898290162091"/>
    <n v="349"/>
    <m/>
    <n v="27003.630000000016"/>
    <s v="Mobile Recharge"/>
    <s v="Google Pay App"/>
    <x v="35"/>
    <m/>
    <s v="2018-2019"/>
    <s v="CHECKED"/>
  </r>
  <r>
    <x v="269"/>
    <d v="2019-01-14T00:00:00"/>
    <s v="   BY TRANSFER-1269611490 21BZ2SB HP615667 104163 1001--"/>
    <s v="TRANSFER FROM 4599417105216"/>
    <m/>
    <n v="210.19"/>
    <n v="27213.820000000014"/>
    <s v="Subsidy"/>
    <m/>
    <x v="6"/>
    <m/>
    <s v="2018-2019"/>
    <s v="CHECKED"/>
  </r>
  <r>
    <x v="269"/>
    <d v="2019-01-14T00:00:00"/>
    <s v="   TO TRANSFER-INB PPF--"/>
    <s v="IF17923497               TRANSFER TO 32500545461  "/>
    <n v="11000"/>
    <m/>
    <n v="16213.820000000014"/>
    <s v="PPF"/>
    <m/>
    <x v="0"/>
    <m/>
    <s v="2018-2019"/>
    <s v="CHECKED"/>
  </r>
  <r>
    <x v="270"/>
    <d v="2019-01-15T00:00:00"/>
    <s v="   by debit card-OTHPG 868413      TPS*PHONEPE PRIVATE LTMUMBAI--"/>
    <m/>
    <n v="399"/>
    <m/>
    <n v="15814.820000000014"/>
    <s v="Mobile Recharge"/>
    <s v="Phone Pe App"/>
    <x v="18"/>
    <m/>
    <s v="2018-2019"/>
    <s v="CHECKED"/>
  </r>
  <r>
    <x v="271"/>
    <d v="2019-01-18T00:00:00"/>
    <s v="   ATM WDL-ATM CASH 9626  SBBJ TIBBI            HANUMANGARH--"/>
    <m/>
    <n v="6000"/>
    <m/>
    <n v="9814.8200000000143"/>
    <s v="Cash Withdrwal"/>
    <m/>
    <x v="15"/>
    <s v="Given to divya for purchasing cloth on mishu marriage "/>
    <s v="2018-2019"/>
    <s v="CHECKED"/>
  </r>
  <r>
    <x v="272"/>
    <d v="2019-01-19T00:00:00"/>
    <s v="   ATM WDL-ATM CASH 1442  SBI OPP. ADARSH THEATEMALOUT--"/>
    <m/>
    <n v="3000"/>
    <m/>
    <n v="6814.8200000000143"/>
    <s v="Cash Withdrwal"/>
    <m/>
    <x v="3"/>
    <m/>
    <s v="2018-2019"/>
    <s v="CHECKED"/>
  </r>
  <r>
    <x v="273"/>
    <d v="2019-01-30T00:00:00"/>
    <s v="   BULK POSTING-SAL01193184417000325980000062025575107185100000420--"/>
    <m/>
    <m/>
    <n v="519"/>
    <n v="7333.8200000000143"/>
    <s v="TA Bill Reimbursement (DOIT)"/>
    <m/>
    <x v="115"/>
    <m/>
    <s v="2018-2019"/>
    <s v="CHECKED"/>
  </r>
  <r>
    <x v="273"/>
    <d v="2019-01-30T00:00:00"/>
    <s v="   BULK POSTING-SAL01193184417000325980000062025575107185100000920--"/>
    <m/>
    <m/>
    <n v="2675"/>
    <n v="10008.820000000014"/>
    <s v="TA Bill Reimbursement (DOIT)"/>
    <m/>
    <x v="116"/>
    <m/>
    <s v="2018-2019"/>
    <s v="CHECKED"/>
  </r>
  <r>
    <x v="274"/>
    <d v="2019-01-31T00:00:00"/>
    <s v="   BULK POSTING-SAL01193184417000325980000061025414107195530002020--"/>
    <m/>
    <m/>
    <n v="16132"/>
    <n v="26140.820000000014"/>
    <s v="Salary"/>
    <m/>
    <x v="19"/>
    <m/>
    <s v="2018-2019"/>
    <s v="CHECKED"/>
  </r>
  <r>
    <x v="275"/>
    <d v="2019-02-01T00:00:00"/>
    <s v="   TO TRANSFER-INB PPF--"/>
    <s v="IF18092706               TRANSFER TO 32500545461  "/>
    <n v="9000"/>
    <m/>
    <n v="17140.820000000014"/>
    <s v="PPF"/>
    <m/>
    <x v="0"/>
    <m/>
    <s v="2018-2019"/>
    <s v="CHECKED"/>
  </r>
  <r>
    <x v="276"/>
    <d v="2019-02-04T00:00:00"/>
    <s v="   TO TRANSFER-UPI/DR/903517262288/RAHUL SO/ORBC/kingrahuls/Trnf--"/>
    <s v="TRANSFER TO 4898803162093"/>
    <n v="300"/>
    <m/>
    <n v="16840.820000000014"/>
    <s v="Transfer Through UPI App"/>
    <s v="Google Pay App"/>
    <x v="117"/>
    <m/>
    <s v="2018-2019"/>
    <s v="CHECKED"/>
  </r>
  <r>
    <x v="277"/>
    <d v="2019-02-06T00:00:00"/>
    <s v="   BY TRANSFER- For personal use--"/>
    <s v="TRANSFER FROM 61258635965                         "/>
    <m/>
    <n v="105805"/>
    <n v="122645.82"/>
    <s v="Acc Closed"/>
    <m/>
    <x v="4"/>
    <m/>
    <s v="2018-2019"/>
    <s v="CHECKED"/>
  </r>
  <r>
    <x v="278"/>
    <d v="2019-02-07T00:00:00"/>
    <s v="   TO TRANSFER-Debited account 61207864076 for TDR--"/>
    <s v="TRANSFER TO 38242822128                           "/>
    <n v="100000"/>
    <m/>
    <n v="22645.820000000007"/>
    <s v="Acc Opened"/>
    <m/>
    <x v="118"/>
    <m/>
    <s v="2018-2019"/>
    <s v="CHECKED"/>
  </r>
  <r>
    <x v="278"/>
    <d v="2019-02-07T00:00:00"/>
    <s v="   BULK POSTING-SAL02193184417000325980000064026639107286730006420--"/>
    <m/>
    <m/>
    <n v="28406"/>
    <n v="51051.820000000007"/>
    <s v="Salary"/>
    <m/>
    <x v="0"/>
    <m/>
    <s v="2018-2019"/>
    <s v="CHECKED"/>
  </r>
  <r>
    <x v="278"/>
    <d v="2019-02-07T00:00:00"/>
    <s v="   BULK POSTING-SAL02193184417000325980000066026638107286730010520--"/>
    <m/>
    <m/>
    <n v="28406"/>
    <n v="79457.820000000007"/>
    <s v="Salary"/>
    <m/>
    <x v="0"/>
    <m/>
    <s v="2018-2019"/>
    <s v="CHECKED"/>
  </r>
  <r>
    <x v="278"/>
    <d v="2019-02-07T00:00:00"/>
    <s v="   TO TRANSFER-Debited account 61207864076 for TDR--"/>
    <s v="TRANSFER TO 38243589676                           "/>
    <n v="60000"/>
    <m/>
    <n v="19457.820000000007"/>
    <s v="Acc Opened"/>
    <m/>
    <x v="119"/>
    <m/>
    <s v="2018-2019"/>
    <s v="CHECKED"/>
  </r>
  <r>
    <x v="279"/>
    <d v="2019-02-08T00:00:00"/>
    <s v="   by debit card-SBIPG PT7195127797UTIMF                 MUMBAI--"/>
    <m/>
    <n v="5000"/>
    <m/>
    <n v="14457.820000000007"/>
    <s v="Transfer using Debit Card (ATM)"/>
    <s v="ATM card"/>
    <x v="33"/>
    <m/>
    <s v="2018-2019"/>
    <s v="CHECKED"/>
  </r>
  <r>
    <x v="279"/>
    <d v="2019-02-08T00:00:00"/>
    <s v="   TO TRANSFER-INB RTI Online Payment--"/>
    <s v="NIEITR20190000000053IK00XQDNN6               TRANS"/>
    <n v="70"/>
    <m/>
    <n v="14387.820000000007"/>
    <s v="RTI"/>
    <m/>
    <x v="0"/>
    <m/>
    <s v="2018-2019"/>
    <s v="1. House Expenses me abhi entry nhi ki hai"/>
  </r>
  <r>
    <x v="280"/>
    <d v="2019-02-11T00:00:00"/>
    <s v="   TO TRANSFER-UPI/DR/904217315604/RAVI KUM/SBIN/ravikumars/Trnf--"/>
    <s v="TRANSFER TO 4898805162091"/>
    <n v="4000"/>
    <m/>
    <n v="10387.820000000007"/>
    <s v="Transfer Through UPI App"/>
    <s v="Google Pay App"/>
    <x v="120"/>
    <m/>
    <s v="2018-2019"/>
    <s v="CHECKED"/>
  </r>
  <r>
    <x v="281"/>
    <d v="2019-02-13T00:00:00"/>
    <s v="   BY TRANSFER-UPI/CR/904414486935/king Rah/ORBC/kingrahuls/Trnf--"/>
    <s v="TRANSFER FROM 4897707162091"/>
    <m/>
    <n v="300"/>
    <n v="10687.820000000007"/>
    <s v="Received Through UPI App"/>
    <s v="Google Pay App"/>
    <x v="121"/>
    <m/>
    <s v="2018-2019"/>
    <s v="CHECKED"/>
  </r>
  <r>
    <x v="282"/>
    <d v="2019-02-14T00:00:00"/>
    <s v="   BY TRANSFER-UPI/CR/904572088906/RAJU RAM/ORBC/9461648520/Payme--"/>
    <s v="TRANSFER FROM 4899357162092"/>
    <m/>
    <n v="1"/>
    <n v="10688.820000000007"/>
    <s v="Received Through UPI App"/>
    <s v="Phone Pe App"/>
    <x v="0"/>
    <m/>
    <s v="2018-2019"/>
    <s v="CHECKED"/>
  </r>
  <r>
    <x v="282"/>
    <d v="2019-02-14T00:00:00"/>
    <s v="   BY TRANSFER-UPI/CR/904518921290/RAJU RAM/ORBC/rajup461@o/Trnf--"/>
    <s v="TRANSFER FROM 4898971162090"/>
    <m/>
    <n v="1"/>
    <n v="10689.820000000007"/>
    <s v="Received Through UPI App"/>
    <s v="Google Pay App"/>
    <x v="122"/>
    <m/>
    <s v="2018-2019"/>
    <s v="CHECKED"/>
  </r>
  <r>
    <x v="282"/>
    <d v="2019-02-14T00:00:00"/>
    <s v="   BY TRANSFER-UPI/CR/904518232482/GOOGLEPAY/UTIB/goog-payme/UPI--"/>
    <s v="TRANSFER FROM 4899359162090"/>
    <m/>
    <n v="51"/>
    <n v="10740.820000000007"/>
    <s v="Earning From UPI App"/>
    <s v="Google Pay App"/>
    <x v="44"/>
    <m/>
    <s v="2018-2019"/>
    <s v="CHECKED"/>
  </r>
  <r>
    <x v="282"/>
    <d v="2019-02-14T00:00:00"/>
    <s v="   TO TRANSFER-UPI/DR/904518622265/RAJU RAM/ORBC/rajup461@o/Trnf--"/>
    <s v="TRANSFER TO 4898863162093"/>
    <n v="2"/>
    <m/>
    <n v="10738.820000000007"/>
    <s v="Transfer Through UPI App"/>
    <s v="Google Pay App"/>
    <x v="123"/>
    <m/>
    <s v="2018-2019"/>
    <s v="CHECKED"/>
  </r>
  <r>
    <x v="283"/>
    <d v="2019-02-17T00:00:00"/>
    <s v="   by debit card-SBIPG PT7227256859SBIMFECOM             MUMBAI--"/>
    <m/>
    <n v="2500"/>
    <m/>
    <n v="8238.820000000007"/>
    <s v="Transfer using Debit Card (ATM)"/>
    <s v="ATM card"/>
    <x v="0"/>
    <m/>
    <s v="2018-2019"/>
    <s v="CHECKED"/>
  </r>
  <r>
    <x v="284"/>
    <d v="2019-02-19T00:00:00"/>
    <s v="   TO TRANSFER-UPI/DR/905012366330/billdesk/ICIC/billdesk.j/UPI--"/>
    <s v="TRANSFER TO 4898279162097"/>
    <n v="1033"/>
    <m/>
    <n v="7205.820000000007"/>
    <s v="Electricity Bill"/>
    <s v="Google Pay App"/>
    <x v="36"/>
    <m/>
    <s v="2018-2019"/>
    <s v="CHECKED"/>
  </r>
  <r>
    <x v="284"/>
    <d v="2019-02-19T00:00:00"/>
    <s v="   TO TRANSFER-UPI/DR/905013374444/RAVI KUM/SBIN/ravikumars/Pulva--"/>
    <s v="TRANSFER TO 4898822162091"/>
    <n v="800"/>
    <m/>
    <n v="6405.820000000007"/>
    <s v="Transfer Through UPI App"/>
    <s v="Google Pay App"/>
    <x v="124"/>
    <m/>
    <s v="2018-2019"/>
    <s v="CHECKED"/>
  </r>
  <r>
    <x v="284"/>
    <d v="2019-02-19T00:00:00"/>
    <s v="   BY TRANSFER-UPI/CR/905013624139/GOOGLEPAY/UTIB/goog-payme/UPI--"/>
    <s v="TRANSFER FROM 4899340162090"/>
    <m/>
    <n v="5"/>
    <n v="6410.820000000007"/>
    <s v="Earning From UPI App"/>
    <s v="Google Pay App"/>
    <x v="125"/>
    <m/>
    <s v="2018-2019"/>
    <s v="CHECKED"/>
  </r>
  <r>
    <x v="285"/>
    <d v="2019-02-20T00:00:00"/>
    <s v="   TO TRANSFER-UPI/DR/905120884829/BirlaSun/ICIC/bslmf@icic/Adity--"/>
    <s v="TRANSFER TO 4898738162097"/>
    <n v="2500"/>
    <m/>
    <n v="3910.820000000007"/>
    <s v="Transfer Through UPI App"/>
    <s v="Google Pay App"/>
    <x v="33"/>
    <m/>
    <s v="2018-2019"/>
    <s v="CHECKED"/>
  </r>
  <r>
    <x v="286"/>
    <d v="2019-02-21T00:00:00"/>
    <s v="   BY TRANSFER-INB IMPS905212955837/0000000000/XX2691/Account va--"/>
    <s v="MAC000236451459          MAC000236451459          "/>
    <m/>
    <n v="1"/>
    <n v="3911.820000000007"/>
    <s v="unkown"/>
    <m/>
    <x v="126"/>
    <m/>
    <s v="2018-2019"/>
    <s v="CHECKED"/>
  </r>
  <r>
    <x v="286"/>
    <d v="2019-02-21T00:00:00"/>
    <s v="   BULK POSTING-FVC02193184417000204610000196027056107417190006820--"/>
    <m/>
    <m/>
    <n v="1533"/>
    <n v="5444.820000000007"/>
    <s v="Other Bill Reimbursement (DOIT)"/>
    <m/>
    <x v="0"/>
    <m/>
    <s v="2018-2019"/>
    <s v="4. PENDING TO CHECK OTHER BILLS IN OFFICE AND OTHER EXCEL SHEETS"/>
  </r>
  <r>
    <x v="287"/>
    <d v="2019-02-28T00:00:00"/>
    <s v="   DEPOSIT TRANSFER-INT TRF FRM 37913822910 TO 61207864076--"/>
    <s v="TRANSFER FROM 37913822910                         "/>
    <m/>
    <n v="315"/>
    <n v="5759.820000000007"/>
    <s v="Interest on fd"/>
    <m/>
    <x v="81"/>
    <m/>
    <s v="2018-2019"/>
    <s v="CHECKED"/>
  </r>
  <r>
    <x v="287"/>
    <d v="2019-02-28T00:00:00"/>
    <s v="   BY TRANSFER---"/>
    <s v="TRANSFER FROM 37913822910                         "/>
    <m/>
    <n v="11111"/>
    <n v="16870.820000000007"/>
    <s v="Acc Closed"/>
    <m/>
    <x v="81"/>
    <m/>
    <s v="2018-2019"/>
    <s v="CHECKED"/>
  </r>
  <r>
    <x v="288"/>
    <d v="2019-03-02T00:00:00"/>
    <s v="   BULK POSTING-SAL03193184417000325980000077028772107519210016820--"/>
    <m/>
    <m/>
    <n v="28406"/>
    <n v="45276.820000000007"/>
    <s v="Salary"/>
    <m/>
    <x v="0"/>
    <m/>
    <s v="2018-2019"/>
    <s v="CHECKED"/>
  </r>
  <r>
    <x v="289"/>
    <d v="2019-03-04T00:00:00"/>
    <s v="   TO TRANSFER-INB Aditya Birla Sun Life Mut BIRLA_MF Payments--"/>
    <s v="QSBI7285919298IGAFNZUDO0               TRANSFER TO"/>
    <n v="2500"/>
    <m/>
    <n v="42776.820000000007"/>
    <s v="Transfer using Debit Card (ATM)"/>
    <s v="ATM card"/>
    <x v="33"/>
    <m/>
    <s v="2018-2019"/>
    <s v="CHECKED"/>
  </r>
  <r>
    <x v="290"/>
    <d v="2019-03-07T00:00:00"/>
    <s v="   TO TRANSFER-UPI/DR/906609772207/PRAMOD  /SBIN/pkbhadu29@/Baan--"/>
    <s v="TRANSFER TO 4897672162098"/>
    <n v="500"/>
    <m/>
    <n v="42276.820000000007"/>
    <s v="Transfer Through UPI App"/>
    <s v="Google Pay App"/>
    <x v="127"/>
    <m/>
    <s v="2018-2019"/>
    <s v="CHECKED"/>
  </r>
  <r>
    <x v="290"/>
    <d v="2019-03-07T00:00:00"/>
    <s v="   BY TRANSFER-UPI/CR/906610906340/PRAMOD  /SBIN/pkbhadu29@/Lakhw--"/>
    <s v="TRANSFER FROM 4899354162095"/>
    <m/>
    <n v="100"/>
    <n v="42376.820000000007"/>
    <s v="Received Through UPI App"/>
    <s v="Google Pay App"/>
    <x v="128"/>
    <m/>
    <s v="2018-2019"/>
    <s v="CHECKED"/>
  </r>
  <r>
    <x v="291"/>
    <d v="2019-03-09T00:00:00"/>
    <s v="   TO TRANSFER-UPI/DR/906872317308/DIVYA  J/SBIN/8847283560/Retur--"/>
    <s v="TRANSFER TO 4898907162096"/>
    <n v="18000"/>
    <m/>
    <n v="24376.820000000007"/>
    <s v="Transfer Through UPI App"/>
    <s v="Phone Pe App"/>
    <x v="129"/>
    <m/>
    <s v="2018-2019"/>
    <s v="CHECKED"/>
  </r>
  <r>
    <x v="292"/>
    <d v="2019-03-10T00:00:00"/>
    <s v="   by debit card-SBIPG QT7307347504SBIMFECOM             MUMBAI--"/>
    <m/>
    <n v="10000"/>
    <m/>
    <n v="14376.820000000007"/>
    <s v="Transfer using Debit Card (ATM)"/>
    <s v="ATM card"/>
    <x v="0"/>
    <m/>
    <s v="2018-2019"/>
    <s v="CHECKED"/>
  </r>
  <r>
    <x v="292"/>
    <d v="2019-03-10T00:00:00"/>
    <s v="   ATM WDL-ATM CASH 912   SBBJ TIBBI            HANUMANGARH--"/>
    <m/>
    <n v="5000"/>
    <m/>
    <n v="9376.820000000007"/>
    <s v="Cash Withdrwal"/>
    <m/>
    <x v="15"/>
    <m/>
    <s v="2018-2019"/>
    <s v="CHECKED"/>
  </r>
  <r>
    <x v="292"/>
    <d v="2019-03-10T00:00:00"/>
    <s v="   ATM WDL-ATM CASH 914   SBBJ TIBBI            HANUMANGARH--"/>
    <m/>
    <n v="4000"/>
    <m/>
    <n v="5376.820000000007"/>
    <s v="Cash Withdrwal"/>
    <m/>
    <x v="15"/>
    <m/>
    <s v="2018-2019"/>
    <s v="CHECKED"/>
  </r>
  <r>
    <x v="293"/>
    <d v="2019-03-19T00:00:00"/>
    <s v="   TO TRANSFER-UPI/DR/907826018557/MANISH  /SBIN/9462176031/Irjes--"/>
    <s v="TRANSFER TO 4898830162090"/>
    <n v="2400"/>
    <m/>
    <n v="2976.820000000007"/>
    <s v="Transfer Through UPI App"/>
    <m/>
    <x v="130"/>
    <m/>
    <s v="2018-2019"/>
    <s v="CHECKED"/>
  </r>
  <r>
    <x v="294"/>
    <d v="2019-03-20T00:00:00"/>
    <s v="   BY TRANSFER-UPI/CR/907921411539/DIVYA  J/SBIN/8847283560/Payme--"/>
    <s v="TRANSFER FROM 4899343162098"/>
    <m/>
    <n v="1000"/>
    <n v="3976.820000000007"/>
    <s v="Transfer Through UPI App"/>
    <m/>
    <x v="129"/>
    <m/>
    <s v="2018-2019"/>
    <s v="CHECKED"/>
  </r>
  <r>
    <x v="295"/>
    <d v="2019-03-25T00:00:00"/>
    <s v="   CREDIT INTEREST---"/>
    <m/>
    <m/>
    <n v="132"/>
    <n v="4108.820000000007"/>
    <s v="Credit Interest"/>
    <m/>
    <x v="0"/>
    <m/>
    <s v="2018-2019"/>
    <s v="CHECKED"/>
  </r>
  <r>
    <x v="296"/>
    <d v="2019-03-31T00:00:00"/>
    <s v="   BY TRANSFER---"/>
    <s v="TRANSFER FROM 38242822128                         "/>
    <m/>
    <n v="100664"/>
    <n v="104772.82"/>
    <s v="Acc Closed"/>
    <m/>
    <x v="118"/>
    <m/>
    <s v="2018-2019"/>
    <s v="CHECKED"/>
  </r>
  <r>
    <x v="296"/>
    <d v="2019-03-31T00:00:00"/>
    <s v="   BY TRANSFER---"/>
    <s v="TRANSFER FROM 38243589676                         "/>
    <m/>
    <n v="60534"/>
    <n v="165306.82"/>
    <s v="Acc Closed"/>
    <m/>
    <x v="119"/>
    <m/>
    <s v="2018-2019"/>
    <s v="CHECKED"/>
  </r>
  <r>
    <x v="296"/>
    <d v="2019-03-31T00:00:00"/>
    <s v="   BY TRANSFER---"/>
    <s v="TRANSFER FROM 37913820333                         "/>
    <m/>
    <n v="23059"/>
    <n v="188365.82"/>
    <s v="Acc Closed"/>
    <m/>
    <x v="80"/>
    <m/>
    <s v="2018-2019"/>
    <s v="CHECKED"/>
  </r>
  <r>
    <x v="297"/>
    <d v="2019-04-01T00:00:00"/>
    <s v="   ATM WDL-ATM CASH 7140  SBBJ TIBBI            HANUMANGARH--"/>
    <m/>
    <n v="5000"/>
    <m/>
    <n v="183365.82"/>
    <s v="Cash Withdrwal"/>
    <m/>
    <x v="15"/>
    <m/>
    <s v="2019-2020"/>
    <s v="CHECKED"/>
  </r>
  <r>
    <x v="297"/>
    <d v="2019-04-01T00:00:00"/>
    <s v="   ATM WDL-ATM CASH 7141  SBBJ TIBBI            HANUMANGARH--"/>
    <m/>
    <n v="5000"/>
    <m/>
    <n v="178365.82"/>
    <s v="Cash Withdrwal"/>
    <m/>
    <x v="15"/>
    <m/>
    <s v="2019-2020"/>
    <s v="CHECKED"/>
  </r>
  <r>
    <x v="297"/>
    <d v="2019-04-01T00:00:00"/>
    <s v="   ATM WDL-ATM CASH 7142  SBBJ TIBBI            HANUMANGARH--"/>
    <m/>
    <n v="2000"/>
    <m/>
    <n v="176365.82"/>
    <s v="Cash Withdrwal"/>
    <m/>
    <x v="15"/>
    <m/>
    <s v="2019-2020"/>
    <s v="CHECKED"/>
  </r>
  <r>
    <x v="297"/>
    <d v="2019-04-01T00:00:00"/>
    <s v="   ATM WDL-ATM CASH 7138  SBBJ TIBBI            HANUMANGARH--"/>
    <m/>
    <n v="5000"/>
    <m/>
    <n v="171365.82"/>
    <s v="Cash Withdrwal"/>
    <m/>
    <x v="15"/>
    <m/>
    <s v="2019-2020"/>
    <s v="CHECKED"/>
  </r>
  <r>
    <x v="297"/>
    <d v="2019-04-01T00:00:00"/>
    <s v="   ATM WDL-ATM CASH 7139  SBBJ TIBBI            HANUMANGARH--"/>
    <m/>
    <n v="5000"/>
    <m/>
    <n v="166365.82"/>
    <s v="Cash Withdrwal"/>
    <m/>
    <x v="15"/>
    <m/>
    <s v="2019-2020"/>
    <s v="CHECKED"/>
  </r>
  <r>
    <x v="298"/>
    <d v="2019-04-02T00:00:00"/>
    <s v="   TO TRANSFER-INB Vodafone                  VODAFONE Payments--"/>
    <s v="QSBI7392983217IGAFUUIGQ4               TRANSFER TO"/>
    <n v="399"/>
    <m/>
    <n v="165966.82"/>
    <s v="Mobile Recharge"/>
    <m/>
    <x v="18"/>
    <m/>
    <s v="2019-2020"/>
    <s v="CHECKED"/>
  </r>
  <r>
    <x v="298"/>
    <d v="2019-04-02T00:00:00"/>
    <s v="   TO TRANSFER-INB PPF Deposit 2019 2020--"/>
    <s v="IF18996074               TRANSFER TO 32500545461  "/>
    <n v="1100"/>
    <m/>
    <n v="164866.82"/>
    <s v="PPF"/>
    <m/>
    <x v="0"/>
    <m/>
    <s v="2019-2020"/>
    <s v="CHECKED"/>
  </r>
  <r>
    <x v="299"/>
    <d v="2019-04-03T00:00:00"/>
    <s v="   TO TRANSFER-UPI/DR/909314533193/ABDUL KH/ORBC/9828361138/Divya--"/>
    <s v="TRANSFER TO 4898848162091"/>
    <n v="200"/>
    <m/>
    <n v="164666.82"/>
    <s v="Transfer Through UPI App"/>
    <m/>
    <x v="131"/>
    <m/>
    <s v="2019-2020"/>
    <s v="CHECKED"/>
  </r>
  <r>
    <x v="300"/>
    <d v="2019-04-09T00:00:00"/>
    <s v="   TO TRANSFER-UPI/DR/909927368409/JIO/YESB/JIORECHARG/Payment--"/>
    <s v="TRANSFER TO 4898733162092"/>
    <n v="367"/>
    <m/>
    <n v="164299.82"/>
    <s v="Mobile Recharge"/>
    <s v="Phone Pe App"/>
    <x v="43"/>
    <m/>
    <s v="2019-2020"/>
    <s v="CHECKED"/>
  </r>
  <r>
    <x v="300"/>
    <d v="2019-04-09T00:00:00"/>
    <s v="   CASH DEPOSIT-CASH DEPOSIT SELF--"/>
    <m/>
    <m/>
    <n v="22000"/>
    <n v="186299.82"/>
    <s v="Cash Deposit"/>
    <m/>
    <x v="132"/>
    <m/>
    <s v="2019-2020"/>
    <s v="CHECKED"/>
  </r>
  <r>
    <x v="301"/>
    <d v="2019-04-12T00:00:00"/>
    <s v="   BY TRANSFER-NEFT*RBIS0GORJEP*RBI1021999362962*TREASURY OFFICE--"/>
    <s v="TRANSFER FROM 3199423044304"/>
    <m/>
    <n v="29205"/>
    <n v="215504.82"/>
    <s v="Salary"/>
    <m/>
    <x v="0"/>
    <m/>
    <s v="2019-2020"/>
    <s v="CHECKED"/>
  </r>
  <r>
    <x v="302"/>
    <d v="2019-04-20T00:00:00"/>
    <s v="   TO TRANSFER-UPI/DR/911060113441/MANISH  /SBIN/9462176031/Payme--"/>
    <s v="TRANSFER TO 4898909162094"/>
    <n v="1062"/>
    <m/>
    <n v="214442.82"/>
    <s v="Transfer Through UPI App"/>
    <s v="Phone Pe App"/>
    <x v="130"/>
    <m/>
    <s v="2019-2020"/>
    <s v="CHECKED"/>
  </r>
  <r>
    <x v="302"/>
    <d v="2019-04-20T00:00:00"/>
    <s v="   TO TRANSFER-UPI/DR/911032750656/MANISH  /SBIN/9462176031/Payme--"/>
    <s v="TRANSFER TO 4897681162097"/>
    <n v="200"/>
    <m/>
    <n v="214242.82"/>
    <s v="Transfer Through UPI App"/>
    <s v="Phone Pe App"/>
    <x v="130"/>
    <m/>
    <s v="2019-2020"/>
    <s v="CHECKED"/>
  </r>
  <r>
    <x v="303"/>
    <d v="2019-04-27T00:00:00"/>
    <s v="   TO TRANSFER-UPI/DR/911768347885/PhonePe/YESB/BILLDESKPP/Paymen--"/>
    <s v="TRANSFER TO 4898753162098"/>
    <n v="1542"/>
    <m/>
    <n v="212700.82"/>
    <s v="Electricity Bill"/>
    <s v="Phone Pe App"/>
    <x v="36"/>
    <m/>
    <s v="2019-2020"/>
    <s v="CHECKED"/>
  </r>
  <r>
    <x v="304"/>
    <d v="2019-05-01T00:00:00"/>
    <s v="   BY TRANSFER-NEFT*RBIS0GORJEP*RBI1221913927111*TREASURY OFFICE--"/>
    <s v="TRANSFER FROM 3199424044303"/>
    <m/>
    <n v="28985"/>
    <n v="241685.82"/>
    <s v="Salary"/>
    <m/>
    <x v="0"/>
    <m/>
    <s v="2019-2020"/>
    <s v="CHECKED"/>
  </r>
  <r>
    <x v="305"/>
    <d v="2019-05-02T00:00:00"/>
    <s v="   BY TRANSFER---"/>
    <s v="TRANSFER FROM 61334360200                         "/>
    <m/>
    <n v="93202"/>
    <n v="334887.82"/>
    <s v="Acc Closed"/>
    <m/>
    <x v="11"/>
    <m/>
    <s v="2019-2020"/>
    <s v="CHECKED"/>
  </r>
  <r>
    <x v="306"/>
    <d v="2019-05-04T00:00:00"/>
    <s v="   BY TRANSFER-NEFT*RBIS0GORJEP*RBI1241918972980*TREASURY OFFICE--"/>
    <s v="TRANSFER FROM 3199675044306"/>
    <m/>
    <n v="799"/>
    <n v="335686.82"/>
    <s v="Salary"/>
    <m/>
    <x v="12"/>
    <s v="DA Arrer Jan to Feb"/>
    <s v="2019-2020"/>
    <s v="CHECKED"/>
  </r>
  <r>
    <x v="306"/>
    <d v="2019-05-04T00:00:00"/>
    <s v="   BY TRANSFER-NEFT*RBIS0GORJEP*RBI1241918972977*TREASURY OFFICE--"/>
    <s v="TRANSFER FROM 3199422044305"/>
    <m/>
    <n v="799"/>
    <n v="336485.82"/>
    <s v="Salary"/>
    <m/>
    <x v="12"/>
    <s v="DA Arrer Jan to Feb"/>
    <s v="2019-2020"/>
    <s v="CHECKED"/>
  </r>
  <r>
    <x v="307"/>
    <d v="2019-05-13T00:00:00"/>
    <s v="   ATM WDL-ATM CASH 7926  SBBJ TIBBI            HANUMANGARH--"/>
    <m/>
    <n v="5000"/>
    <m/>
    <n v="331485.82"/>
    <s v="Cash Withdrwal"/>
    <m/>
    <x v="15"/>
    <s v="atm se pese bahar nhi aye"/>
    <s v="2019-2020"/>
    <s v="CHECKED"/>
  </r>
  <r>
    <x v="308"/>
    <d v="2019-05-14T00:00:00"/>
    <s v="   ATM WDL-ATM CASH 8216  SBBJ TIBBI            HANUMANGARH--"/>
    <m/>
    <n v="6000"/>
    <m/>
    <n v="325485.82"/>
    <s v="Cash Withdrwal"/>
    <m/>
    <x v="15"/>
    <m/>
    <s v="2019-2020"/>
    <s v="CHECKED"/>
  </r>
  <r>
    <x v="309"/>
    <d v="2019-05-22T00:00:00"/>
    <s v="BY CLEARING / CHEQUE-HDF                            BY CLEARING--307240"/>
    <n v="307240"/>
    <m/>
    <n v="75.12"/>
    <n v="325560.94"/>
    <s v="Cheque Encashment"/>
    <m/>
    <x v="133"/>
    <m/>
    <s v="2019-2020"/>
    <s v="CHECKED"/>
  </r>
  <r>
    <x v="309"/>
    <d v="2019-05-22T00:00:00"/>
    <s v="   BULK POSTING-DT13-May-19 ACS1BW031301004 txn7926 130519 EXC/SBI--"/>
    <m/>
    <m/>
    <n v="5000"/>
    <n v="330560.94"/>
    <s v="unkown"/>
    <m/>
    <x v="0"/>
    <m/>
    <s v="2019-2020"/>
    <s v="5. Pending (check with all sheet one by one)"/>
  </r>
  <r>
    <x v="310"/>
    <d v="2019-05-23T00:00:00"/>
    <s v="   BY TRANSFER-NEFT*RBIS0GORJEP*RBI1441927072508*TREASURY OFFICE--"/>
    <s v="TRANSFER FROM 3199675044306"/>
    <m/>
    <n v="1780"/>
    <n v="332340.94"/>
    <s v="Other Bill Reimbursement (DOIT)"/>
    <m/>
    <x v="0"/>
    <m/>
    <s v="2019-2020"/>
    <s v="4. PENDING TO CHECK OTHER BILLS IN OFFICE AND OTHER EXCEL SHEETS"/>
  </r>
  <r>
    <x v="311"/>
    <d v="2019-05-24T00:00:00"/>
    <s v="   TO TRANSFER-UPI/DR/914448853621/PhonePe/YESB/BILLDESKPP/Paymen--"/>
    <s v="TRANSFER TO 4898286162098"/>
    <n v="10"/>
    <m/>
    <n v="332330.94"/>
    <s v="Mobile Recharge"/>
    <s v="Phone Pe App"/>
    <x v="18"/>
    <m/>
    <s v="2019-2020"/>
    <s v="CHECKED"/>
  </r>
  <r>
    <x v="312"/>
    <d v="2019-05-26T00:00:00"/>
    <s v="   TO TRANSFER-UPI/DR/914620156310/RELIANCE/CITI/jio@citiba/Amoun--"/>
    <s v="TRANSFER TO 4898289162095"/>
    <n v="349"/>
    <m/>
    <n v="331981.94"/>
    <s v="Mobile Recharge"/>
    <m/>
    <x v="35"/>
    <m/>
    <s v="2019-2020"/>
    <s v="CHECKED"/>
  </r>
  <r>
    <x v="313"/>
    <d v="2019-05-27T00:00:00"/>
    <s v="   ATM WDL-ATM CASH 91471 SRIGANGANAGAR ROADHANUMHANUMANGARH--"/>
    <m/>
    <n v="6000"/>
    <m/>
    <n v="325981.94"/>
    <s v="Cash Withdrwal"/>
    <s v="ATM card"/>
    <x v="134"/>
    <m/>
    <s v="2019-2020"/>
    <s v="CHECKED"/>
  </r>
  <r>
    <x v="313"/>
    <d v="2019-05-27T00:00:00"/>
    <s v="   REVERSE ATM WDL---"/>
    <m/>
    <m/>
    <n v="6000"/>
    <n v="331981.94"/>
    <s v="other"/>
    <m/>
    <x v="135"/>
    <m/>
    <s v="2019-2020"/>
    <s v="CHECKED"/>
  </r>
  <r>
    <x v="313"/>
    <d v="2019-05-27T00:00:00"/>
    <s v="   ATM WDL-ATM CASH 5276  SBBJ HANUMANGARH JUNCTHANUMANGARH--"/>
    <m/>
    <n v="6000"/>
    <m/>
    <n v="325981.94"/>
    <s v="Cash Withdrwal"/>
    <m/>
    <x v="134"/>
    <m/>
    <s v="2019-2020"/>
    <s v="CHECKED"/>
  </r>
  <r>
    <x v="314"/>
    <d v="2019-06-03T00:00:00"/>
    <s v="   ATM WDL-ATM CASH 91541 TIBBI        HANUMANGARHANUMANGARH--"/>
    <m/>
    <n v="4000"/>
    <m/>
    <n v="321981.94"/>
    <s v="Cash Withdrwal"/>
    <m/>
    <x v="15"/>
    <m/>
    <s v="2019-2020"/>
    <s v="CHECKED"/>
  </r>
  <r>
    <x v="315"/>
    <d v="2019-06-10T00:00:00"/>
    <s v="   BY TRANSFER-NEFT*RBIS0GORJEP*RBI1621935232440*TREASURY OFFICE--"/>
    <s v="TRANSFER FROM 3199415044304"/>
    <m/>
    <n v="29205"/>
    <n v="351186.94"/>
    <s v="Salary"/>
    <m/>
    <x v="0"/>
    <m/>
    <s v="2019-2020"/>
    <s v="CHECKED"/>
  </r>
  <r>
    <x v="316"/>
    <d v="2019-06-12T00:00:00"/>
    <s v="   TO TRANSFER-UPI/DR/916312249712/13891132/ORBC/1389113200/Payme--"/>
    <s v="TRANSFER TO 5099504162090"/>
    <n v="53365"/>
    <m/>
    <n v="297821.94"/>
    <s v="other"/>
    <m/>
    <x v="136"/>
    <m/>
    <s v="2019-2020"/>
    <s v="CHECKED"/>
  </r>
  <r>
    <x v="316"/>
    <d v="2019-06-12T00:00:00"/>
    <s v="   ATM WDL-ATM CASH 5522  SBBJ TIBBI            HANUMANGARH--"/>
    <m/>
    <n v="4000"/>
    <m/>
    <n v="293821.94"/>
    <s v="Cash Withdrwal"/>
    <m/>
    <x v="15"/>
    <m/>
    <s v="2019-2020"/>
    <s v="CHECKED"/>
  </r>
  <r>
    <x v="317"/>
    <d v="2019-06-14T00:00:00"/>
    <s v="   TO TRANSFER-Debited account 61207864076 for STDR--"/>
    <s v="TRANSFER TO 38525928769                           "/>
    <n v="30000"/>
    <m/>
    <n v="263821.94"/>
    <s v="Acc Opened"/>
    <m/>
    <x v="137"/>
    <m/>
    <s v="2019-2020"/>
    <s v="CHECKED"/>
  </r>
  <r>
    <x v="318"/>
    <d v="2019-06-19T00:00:00"/>
    <s v="   TO TRANSFER-Debited account 61207864076 for STDR--"/>
    <s v="TRANSFER TO 38536718363                           "/>
    <n v="50000"/>
    <m/>
    <n v="213821.94"/>
    <s v="Acc Opened"/>
    <m/>
    <x v="138"/>
    <m/>
    <s v="2019-2020"/>
    <s v="CHECKED"/>
  </r>
  <r>
    <x v="318"/>
    <d v="2019-06-19T00:00:00"/>
    <s v="   TO TRANSFER-Debited account 61207864076 for STDR--"/>
    <s v="TRANSFER TO 38536719264                           "/>
    <n v="60000"/>
    <m/>
    <n v="153821.94"/>
    <s v="Acc Opened"/>
    <m/>
    <x v="139"/>
    <m/>
    <s v="2019-2020"/>
    <s v="CHECKED"/>
  </r>
  <r>
    <x v="318"/>
    <d v="2019-06-19T00:00:00"/>
    <s v="   TO TRANSFER-Debited account 61207864076 for TDR--"/>
    <s v="TRANSFER TO 38536720097                           "/>
    <n v="40000"/>
    <m/>
    <n v="113821.94"/>
    <s v="Acc Opened"/>
    <m/>
    <x v="140"/>
    <m/>
    <s v="2019-2020"/>
    <s v="CHECKED"/>
  </r>
  <r>
    <x v="318"/>
    <d v="2019-06-19T00:00:00"/>
    <s v="   TO TRANSFER-Debited account 61207864076 for STDR--"/>
    <s v="TRANSFER TO 38536790655                           "/>
    <n v="50000"/>
    <m/>
    <n v="63821.94"/>
    <s v="Acc Opened"/>
    <m/>
    <x v="141"/>
    <m/>
    <s v="2019-2020"/>
    <s v="CHECKED"/>
  </r>
  <r>
    <x v="319"/>
    <d v="2019-06-24T00:00:00"/>
    <s v="   BY TRANSFER-NEFT*RBIS0GORJEP*RBI1751942419772*TREASURY OFFICE--"/>
    <s v="TRANSFER FROM 3199419044300"/>
    <m/>
    <n v="1630"/>
    <n v="65451.94"/>
    <s v="Other Bill Reimbursement (DOIT)"/>
    <m/>
    <x v="142"/>
    <m/>
    <s v="2019-2020"/>
    <s v="4. PENDING TO CHECK OTHER BILLS IN OFFICE AND OTHER EXCEL SHEETS"/>
  </r>
  <r>
    <x v="320"/>
    <d v="2019-06-25T00:00:00"/>
    <s v="   CREDIT INTEREST---"/>
    <m/>
    <m/>
    <n v="2064"/>
    <n v="67515.94"/>
    <s v="Credit Interest"/>
    <m/>
    <x v="0"/>
    <m/>
    <s v="2019-2020"/>
    <s v="CHECKED"/>
  </r>
  <r>
    <x v="321"/>
    <d v="2019-06-26T00:00:00"/>
    <s v="   TO TRANSFER-UPI/DR/917709164672/billdesk/ICIC/billdesk.j/UPI--"/>
    <s v="TRANSFER TO 5097702162090"/>
    <n v="1498"/>
    <m/>
    <n v="66017.94"/>
    <s v="Electricity Bill"/>
    <s v="Google Pay App"/>
    <x v="36"/>
    <m/>
    <s v="2019-2020"/>
    <s v="CHECKED"/>
  </r>
  <r>
    <x v="321"/>
    <d v="2019-06-26T00:00:00"/>
    <s v="   ATM WDL-ATM CASH 9340  SBBJ TIBBI            HANUMANGARH--"/>
    <m/>
    <n v="8000"/>
    <m/>
    <n v="58017.94"/>
    <s v="Cash Withdrwal"/>
    <m/>
    <x v="15"/>
    <m/>
    <s v="2019-2020"/>
    <s v="CHECKED"/>
  </r>
  <r>
    <x v="322"/>
    <d v="2019-07-02T00:00:00"/>
    <s v="   TO TRANSFER-Debited account 61207864076 for STDR--"/>
    <s v="TRANSFER TO 38569636673                           "/>
    <n v="37000"/>
    <m/>
    <n v="21017.940000000002"/>
    <s v="Acc Opened"/>
    <m/>
    <x v="143"/>
    <m/>
    <s v="2019-2020"/>
    <s v="CHECKED"/>
  </r>
  <r>
    <x v="322"/>
    <d v="2019-07-02T00:00:00"/>
    <s v="   BY TRANSFER-NEFT*RBIS0GORJEP*RBI1831955957948*TREASURY OFFICE--"/>
    <s v="TRANSFER FROM 3199414044305"/>
    <m/>
    <n v="29205"/>
    <n v="50222.94"/>
    <s v="Salary"/>
    <m/>
    <x v="0"/>
    <m/>
    <s v="2019-2020"/>
    <s v="CHECKED"/>
  </r>
  <r>
    <x v="322"/>
    <d v="2019-07-02T00:00:00"/>
    <s v="   TO TRANSFER-UPI/DR/918312619147/billdesk/ICIC/billdesk.r/UPI--"/>
    <s v="TRANSFER TO 5097611162094"/>
    <n v="399"/>
    <m/>
    <n v="49823.94"/>
    <s v="Mobile Recharge"/>
    <s v="Google Pay App"/>
    <x v="18"/>
    <m/>
    <s v="2019-2020"/>
    <s v="CHECKED"/>
  </r>
  <r>
    <x v="323"/>
    <d v="2019-07-15T00:00:00"/>
    <s v="   by debit card-SBIPG 919610034319mfbirlasunlife TPSL   Mumbai--"/>
    <m/>
    <n v="20000"/>
    <m/>
    <n v="29823.940000000002"/>
    <s v="Transfer using Debit Card (ATM)"/>
    <s v="ATM card"/>
    <x v="33"/>
    <m/>
    <s v="2019-2020"/>
    <s v="CHECKED"/>
  </r>
  <r>
    <x v="324"/>
    <d v="2019-08-06T00:00:00"/>
    <s v="   BY TRANSFER-NEFT*RBIS0GORJEP*RBI2181984084902*TREASURY OFFICE--"/>
    <s v="TRANSFER FROM 3199677044304"/>
    <m/>
    <n v="30184"/>
    <n v="60007.94"/>
    <s v="Salary"/>
    <m/>
    <x v="0"/>
    <m/>
    <s v="2019-2020"/>
    <s v="CHECKED"/>
  </r>
  <r>
    <x v="325"/>
    <d v="2019-08-17T00:00:00"/>
    <s v="   by debit card-OTHPG 752644      RSP*ADITYA BIRLA SUN LBANGALORE--"/>
    <m/>
    <n v="5000"/>
    <m/>
    <n v="55007.94"/>
    <s v="Transfer using Debit Card (ATM)"/>
    <s v="ATM card"/>
    <x v="33"/>
    <m/>
    <s v="2019-2020"/>
    <s v="CHECKED"/>
  </r>
  <r>
    <x v="325"/>
    <d v="2019-08-17T00:00:00"/>
    <s v="   by debit card-SBIPG QT7880430742FTMUTALFUND           MUMBAI--"/>
    <m/>
    <n v="5000"/>
    <m/>
    <n v="50007.94"/>
    <s v="Transfer using Debit Card (ATM)"/>
    <s v="ATM card"/>
    <x v="33"/>
    <m/>
    <s v="2019-2020"/>
    <s v="CHECKED"/>
  </r>
  <r>
    <x v="325"/>
    <d v="2019-08-17T00:00:00"/>
    <s v="   TO TRANSFER-INB SBI FUNDS MANAGEMENT PVT--"/>
    <s v="C975926IGAGUVXAB4               TRANSFER TO 109966"/>
    <n v="15000"/>
    <m/>
    <n v="35007.94"/>
    <s v="Transfer using Debit Card (ATM)"/>
    <s v="ATM card"/>
    <x v="33"/>
    <m/>
    <s v="2019-2020"/>
    <s v="CHECKED"/>
  </r>
  <r>
    <x v="325"/>
    <d v="2019-08-17T00:00:00"/>
    <s v="   TO TRANSFER-INB SBI FUNDS MANAGEMENT PVT--"/>
    <s v="C975945IGAGUVYCO7               TRANSFER TO 109966"/>
    <n v="12500"/>
    <m/>
    <n v="22507.940000000002"/>
    <s v="Transfer using Debit Card (ATM)"/>
    <s v="ATM card"/>
    <x v="33"/>
    <m/>
    <s v="2019-2020"/>
    <s v="CHECKED"/>
  </r>
  <r>
    <x v="325"/>
    <d v="2019-08-17T00:00:00"/>
    <s v="   TO TRANSFER-INB SBI FUNDS MANAGEMENT PVT--"/>
    <s v="C975983IGAGUWAGM0               TRANSFER TO 109966"/>
    <n v="10000"/>
    <m/>
    <n v="12507.940000000002"/>
    <s v="Transfer using Debit Card (ATM)"/>
    <s v="ATM card"/>
    <x v="33"/>
    <m/>
    <s v="2019-2020"/>
    <s v="CHECKED"/>
  </r>
  <r>
    <x v="326"/>
    <d v="2019-08-19T00:00:00"/>
    <s v="   TO TRANSFER-UPI/DR/923021341557/RELIANCE/CITI/jio@citiba/Amoun--"/>
    <s v="TRANSFER TO 5098060162098"/>
    <n v="349"/>
    <m/>
    <n v="12158.940000000002"/>
    <s v="Mobile Recharge"/>
    <s v="Google Pay App"/>
    <x v="35"/>
    <m/>
    <s v="2019-2020"/>
    <s v="CHECKED"/>
  </r>
  <r>
    <x v="327"/>
    <d v="2019-08-22T00:00:00"/>
    <s v="   TO TRANSFER-UPI/DR/923472384455/PhonePe/YESB/BILLDESKPP/Paymen--"/>
    <s v="TRANSFER TO 5097786162092"/>
    <n v="1165"/>
    <m/>
    <n v="10993.940000000002"/>
    <s v="Electricity Bill"/>
    <s v="Phone Pe App"/>
    <x v="36"/>
    <m/>
    <s v="2019-2020"/>
    <s v="CHECKED"/>
  </r>
  <r>
    <x v="328"/>
    <d v="2019-08-27T00:00:00"/>
    <s v="   FI Txn @ CSP outlet-000000923915255705 Withdrawal @Merc I1360096--"/>
    <s v="TRANSFER FROM 51112251289                         "/>
    <m/>
    <n v="1"/>
    <n v="10994.940000000002"/>
    <s v="unkown"/>
    <m/>
    <x v="0"/>
    <m/>
    <s v="2019-2020"/>
    <s v="5. Pending (check with all sheet one by one)"/>
  </r>
  <r>
    <x v="328"/>
    <d v="2019-08-27T00:00:00"/>
    <s v="   FI Txn @ CSP outlet-000000923915355608 Withdrawal @Merc I1360242--"/>
    <s v="TRANSFER TO 51112251289                           "/>
    <n v="1"/>
    <m/>
    <n v="10993.940000000002"/>
    <s v="unkown"/>
    <m/>
    <x v="0"/>
    <m/>
    <s v="2019-2020"/>
    <s v="CHECKED"/>
  </r>
  <r>
    <x v="329"/>
    <d v="2019-08-31T00:00:00"/>
    <s v="   TO TRANSFER-UPI/DR/924315269279/AMAZON/UTIB/amazon@apl/You are--"/>
    <s v="TRANSFER TO 5097982162099"/>
    <n v="1684"/>
    <m/>
    <n v="9309.9400000000023"/>
    <s v="Transfer Through Net Banking"/>
    <m/>
    <x v="0"/>
    <m/>
    <s v="2019-2020"/>
    <s v="1. House Expenses me abhi entry nhi ki hai"/>
  </r>
  <r>
    <x v="330"/>
    <d v="2019-09-01T00:00:00"/>
    <s v="   BY TRANSFER---"/>
    <s v="TRANSFER FROM 37913663301                         "/>
    <m/>
    <n v="35488"/>
    <n v="44797.94"/>
    <s v="Acc Closed"/>
    <m/>
    <x v="79"/>
    <m/>
    <s v="2019-2020"/>
    <s v="CHECKED"/>
  </r>
  <r>
    <x v="331"/>
    <d v="2019-09-02T00:00:00"/>
    <s v="   BY TRANSFER-NEFT*RBIS0GORJEP*RBI2451904126702*TREASURY OFFICE--"/>
    <s v="TRANSFER FROM 3199412044307"/>
    <m/>
    <n v="30184"/>
    <n v="74981.94"/>
    <s v="Salary"/>
    <m/>
    <x v="0"/>
    <m/>
    <s v="2019-2020"/>
    <s v="CHECKED"/>
  </r>
  <r>
    <x v="331"/>
    <d v="2019-09-02T00:00:00"/>
    <s v="   TO TRANSFER-Debited account 61207864076 for STDR--"/>
    <s v="TRANSFER TO 38733988879                           "/>
    <n v="25000"/>
    <m/>
    <n v="49981.94"/>
    <s v="Acc Opened"/>
    <m/>
    <x v="144"/>
    <m/>
    <s v="2019-2020"/>
    <s v="CHECKED"/>
  </r>
  <r>
    <x v="331"/>
    <d v="2019-09-02T00:00:00"/>
    <s v="   TO TRANSFER-Debited account 61207864076 for STDR--"/>
    <s v="TRANSFER TO 38733993265                           "/>
    <n v="25000"/>
    <m/>
    <n v="24981.940000000002"/>
    <s v="Acc Opened"/>
    <m/>
    <x v="145"/>
    <m/>
    <s v="2019-2020"/>
    <s v="CHECKED"/>
  </r>
  <r>
    <x v="332"/>
    <d v="2019-09-13T00:00:00"/>
    <s v="   BY TRANSFER-UPI/924315269279/REVERSAL--"/>
    <s v="TRANSFER FROM 4897693162093"/>
    <m/>
    <n v="340"/>
    <n v="25321.940000000002"/>
    <s v="Received Through Net Banking"/>
    <m/>
    <x v="0"/>
    <m/>
    <s v="2019-2020"/>
    <s v="5. Pending (check with all sheet one by one)"/>
  </r>
  <r>
    <x v="333"/>
    <d v="2019-09-19T00:00:00"/>
    <s v="   BY TRANSFER-UPI/924315269279/REVERSAL--"/>
    <s v="TRANSFER FROM 4897692162094"/>
    <m/>
    <n v="225"/>
    <n v="25546.940000000002"/>
    <s v="Received Through Net Banking"/>
    <m/>
    <x v="0"/>
    <m/>
    <s v="2019-2020"/>
    <s v="5. Pending (check with all sheet one by one)"/>
  </r>
  <r>
    <x v="334"/>
    <d v="2019-09-20T00:00:00"/>
    <s v="   BY TRANSFER-UPI/924315269279/REVERSAL--"/>
    <s v="TRANSFER FROM 4897693162093"/>
    <m/>
    <n v="440"/>
    <n v="25986.940000000002"/>
    <s v="Received Through Net Banking"/>
    <m/>
    <x v="0"/>
    <m/>
    <s v="2019-2020"/>
    <s v="5. Pending (check with all sheet one by one)"/>
  </r>
  <r>
    <x v="335"/>
    <d v="2019-09-24T00:00:00"/>
    <s v="   TO TRANSFER-UPI/DR/926710587723/RELIANCE/CITI/jio@citiba/Amoun--"/>
    <s v="TRANSFER TO 5097599162094"/>
    <n v="399"/>
    <m/>
    <n v="25587.940000000002"/>
    <s v="Mobile Recharge"/>
    <s v="Phone Pe App"/>
    <x v="18"/>
    <m/>
    <s v="2019-2020"/>
    <s v="CHECKED"/>
  </r>
  <r>
    <x v="335"/>
    <d v="2019-09-24T00:00:00"/>
    <s v="   BY TRANSFER-UPI/CR/926720068459/GOOGLEPAY/UTIB/goog-payme/Goog--"/>
    <s v="TRANSFER FROM 5098897162097"/>
    <m/>
    <n v="19"/>
    <n v="25606.940000000002"/>
    <s v="Earning From UPI App"/>
    <s v="Google Pay App"/>
    <x v="125"/>
    <m/>
    <s v="2019-2020"/>
    <s v="CHECKED"/>
  </r>
  <r>
    <x v="336"/>
    <d v="2019-09-25T00:00:00"/>
    <s v="   CREDIT INTEREST---"/>
    <m/>
    <m/>
    <n v="301"/>
    <n v="25907.940000000002"/>
    <s v="Credit Interest"/>
    <m/>
    <x v="0"/>
    <m/>
    <s v="2019-2020"/>
    <s v="CHECKED"/>
  </r>
  <r>
    <x v="337"/>
    <d v="2019-09-30T00:00:00"/>
    <s v="   by debit card-SBIPG RT8036313562AMAZON                MUMBAI--"/>
    <m/>
    <n v="3429.9"/>
    <m/>
    <n v="22478.04"/>
    <s v="Transfer using Debit Card (ATM)"/>
    <s v="ATM card"/>
    <x v="0"/>
    <m/>
    <s v="2019-2020"/>
    <s v="CHECKED"/>
  </r>
  <r>
    <x v="338"/>
    <d v="2019-10-01T00:00:00"/>
    <s v="   BY TRANSFER-NEFT*RBIS0GORJEP*RBI2751940573115*TREASURY OFFICE--"/>
    <s v="TRANSFER FROM 3199415044304"/>
    <m/>
    <n v="30184"/>
    <n v="52662.04"/>
    <s v="Salary"/>
    <m/>
    <x v="0"/>
    <m/>
    <s v="2019-2020"/>
    <s v="CHECKED"/>
  </r>
  <r>
    <x v="339"/>
    <d v="2019-10-04T00:00:00"/>
    <s v="   BULK POSTING-19106585495 ITD TAX REFUND AY 19-20 PAN ANBPJ3859N--"/>
    <m/>
    <m/>
    <n v="1560"/>
    <n v="54222.04"/>
    <s v="Retrun from Income Tax Department"/>
    <m/>
    <x v="146"/>
    <m/>
    <s v="2019-2020"/>
    <s v="CHECKED"/>
  </r>
  <r>
    <x v="340"/>
    <d v="2019-10-10T00:00:00"/>
    <s v="   BY TRANSFER- SBIPG 191010197470AMAZON                MUMBAI--"/>
    <s v="TRANSFER FROM 2399465042921"/>
    <m/>
    <n v="280.8"/>
    <n v="54502.840000000004"/>
    <s v="Received Through Net Banking"/>
    <m/>
    <x v="0"/>
    <m/>
    <s v="2019-2020"/>
    <s v="5. Pending (check with all sheet one by one)"/>
  </r>
  <r>
    <x v="341"/>
    <d v="2019-10-11T00:00:00"/>
    <s v="   BY TRANSFER-1552335302 HP615667 188182 0910 21BZ2SB--"/>
    <s v="TRANSFER FROM 4599391105211"/>
    <m/>
    <n v="75.09"/>
    <n v="54577.93"/>
    <s v="Subsidy"/>
    <m/>
    <x v="6"/>
    <m/>
    <s v="2019-2020"/>
    <s v="CHECKED"/>
  </r>
  <r>
    <x v="342"/>
    <d v="2019-10-18T00:00:00"/>
    <s v="   CREDIT- RAJ COMP INFO SER--"/>
    <m/>
    <m/>
    <n v="1469.83"/>
    <n v="56047.76"/>
    <s v="Mobile Bill Reimbursement (DOIT)"/>
    <m/>
    <x v="0"/>
    <m/>
    <s v="2019-2020"/>
    <s v="CHECKED"/>
  </r>
  <r>
    <x v="343"/>
    <d v="2019-10-23T00:00:00"/>
    <s v="   TO TRANSFER-UPI/DR/929607110247/billdesk/ICIC/billdesk.j/UPI--"/>
    <s v="TRANSFER TO 5097726162093"/>
    <n v="1629"/>
    <m/>
    <n v="54418.76"/>
    <s v="Electricity Bill"/>
    <s v="Google Pay App"/>
    <x v="36"/>
    <m/>
    <s v="2019-2020"/>
    <s v="CHECKED"/>
  </r>
  <r>
    <x v="343"/>
    <d v="2019-10-23T00:00:00"/>
    <s v="   TO TRANSFER-UPI/DR/929608114057/DIVYA  J/SBIN/divya88jai/trans--"/>
    <s v="TRANSFER TO 5099507162097"/>
    <n v="100"/>
    <m/>
    <n v="54318.76"/>
    <s v="Transfer Through UPI App"/>
    <s v="Google Pay App"/>
    <x v="129"/>
    <m/>
    <s v="2019-2020"/>
    <s v="CHECKED"/>
  </r>
  <r>
    <x v="343"/>
    <d v="2019-10-23T00:00:00"/>
    <s v="   BY TRANSFER-UPI/CR/929608123816/DIVYA  J/SBIN/divya88jai/tansf--"/>
    <s v="TRANSFER FROM 4898965162098"/>
    <m/>
    <n v="100"/>
    <n v="54418.76"/>
    <s v="Received Through UPI App"/>
    <m/>
    <x v="147"/>
    <m/>
    <s v="2019-2020"/>
    <s v="CHECKED"/>
  </r>
  <r>
    <x v="343"/>
    <d v="2019-10-23T00:00:00"/>
    <s v="   BY TRANSFER-NEFT*RBIS0GORJEP*RBI2961959825404*TREASURY OFFICE--"/>
    <s v="TRANSFER FROM 3199415044304"/>
    <m/>
    <n v="517"/>
    <n v="54935.76"/>
    <s v="TA Bill Reimbursement (DOIT)"/>
    <m/>
    <x v="148"/>
    <m/>
    <s v="2019-2020"/>
    <s v="CHECKED"/>
  </r>
  <r>
    <x v="343"/>
    <d v="2019-10-23T00:00:00"/>
    <s v="   TO TRANSFER-INB CSC e-Governance Services--"/>
    <s v="9250462451IGAHHGGMF5               TRANSFER TO 459"/>
    <n v="12"/>
    <m/>
    <n v="54923.76"/>
    <s v="Transfer Through Net Banking"/>
    <m/>
    <x v="149"/>
    <m/>
    <s v="2019-2020"/>
    <s v="CHECKED"/>
  </r>
  <r>
    <x v="343"/>
    <d v="2019-10-23T00:00:00"/>
    <s v="   TO TRANSFER-UPI/DR/929614362964/VIKASH  /SBIN/vk313102@o/trans--"/>
    <s v="TRANSFER TO 5099490162091"/>
    <n v="500"/>
    <m/>
    <n v="54423.76"/>
    <s v="Transfer Through UPI App"/>
    <s v="Google Pay App"/>
    <x v="150"/>
    <m/>
    <s v="2019-2020"/>
    <s v="CHECKED"/>
  </r>
  <r>
    <x v="343"/>
    <d v="2019-10-23T00:00:00"/>
    <s v="   BY TRANSFER-UPI/CR/929614371238/VIKASH  /SBIN/vk313102@o/UPI--"/>
    <s v="TRANSFER FROM 5098983162090"/>
    <m/>
    <n v="500"/>
    <n v="54923.76"/>
    <s v="Received Through UPI App"/>
    <m/>
    <x v="147"/>
    <m/>
    <s v="2019-2020"/>
    <s v="CHECKED"/>
  </r>
  <r>
    <x v="343"/>
    <d v="2019-10-23T00:00:00"/>
    <s v="   TO TRANSFER-UPI/DR/929618193579/DIVYA  J/SBIN/divya88jai/trans--"/>
    <s v="TRANSFER TO 5099536162093"/>
    <n v="500"/>
    <m/>
    <n v="54423.76"/>
    <s v="Transfer Through UPI App"/>
    <s v="Google Pay App"/>
    <x v="129"/>
    <m/>
    <s v="2019-2020"/>
    <s v="CHECKED"/>
  </r>
  <r>
    <x v="343"/>
    <d v="2019-10-23T00:00:00"/>
    <s v="   BY TRANSFER-UPI/CR/929619398520/ROHIT KU/SBIN/jainrohit2/trans--"/>
    <s v="TRANSFER FROM 4898961162092"/>
    <m/>
    <n v="500"/>
    <n v="54923.76"/>
    <s v="Received Through UPI App"/>
    <m/>
    <x v="151"/>
    <m/>
    <s v="2019-2020"/>
    <s v="CHECKED"/>
  </r>
  <r>
    <x v="343"/>
    <d v="2019-10-23T00:00:00"/>
    <s v="   TO TRANSFER-UPI/DR/929619596546/RAM KUMA/SBIN/mr.ram.sai/trans--"/>
    <s v="TRANSFER TO 5099481162093"/>
    <n v="500"/>
    <m/>
    <n v="54423.76"/>
    <s v="Transfer Through UPI App"/>
    <s v="Google Pay App"/>
    <x v="152"/>
    <m/>
    <s v="2019-2020"/>
    <s v="CHECKED"/>
  </r>
  <r>
    <x v="343"/>
    <d v="2019-10-23T00:00:00"/>
    <s v="   BY TRANSFER-UPI/CR/929620763459/RAM KUMA/SBIN/mr.ram.sai/UPI--"/>
    <s v="TRANSFER FROM 5098996162095"/>
    <m/>
    <n v="500"/>
    <n v="54923.76"/>
    <s v="Received Through UPI App"/>
    <m/>
    <x v="153"/>
    <m/>
    <s v="2019-2020"/>
    <s v="CHECKED"/>
  </r>
  <r>
    <x v="344"/>
    <d v="2019-10-24T00:00:00"/>
    <s v="   TO TRANSFER-UPI/DR/929717974856/DIVYA  J/SBIN/divya88jai/UPI--"/>
    <s v="TRANSFER TO 4898861162095"/>
    <n v="500"/>
    <m/>
    <n v="54423.76"/>
    <s v="Transfer Through UPI App"/>
    <s v="Google Pay App"/>
    <x v="129"/>
    <m/>
    <s v="2019-2020"/>
    <s v="CHECKED"/>
  </r>
  <r>
    <x v="344"/>
    <d v="2019-10-24T00:00:00"/>
    <s v="   TO TRANSFER-UPI/DR/929717990478/DIVYA  J/SBIN/divya88jai/trans--"/>
    <s v="TRANSFER TO 5099588162092"/>
    <n v="500"/>
    <m/>
    <n v="53923.76"/>
    <s v="Transfer Through UPI App"/>
    <s v="Google Pay App"/>
    <x v="129"/>
    <m/>
    <s v="2019-2020"/>
    <s v="CHECKED"/>
  </r>
  <r>
    <x v="344"/>
    <d v="2019-10-24T00:00:00"/>
    <s v="   BY TRANSFER-UPI/CR/929718172064/DIVYA  J/SBIN/divya88jai/retur--"/>
    <s v="TRANSFER FROM 4898975162096"/>
    <m/>
    <n v="500"/>
    <n v="54423.76"/>
    <s v="Received Through UPI App"/>
    <m/>
    <x v="147"/>
    <m/>
    <s v="2019-2020"/>
    <s v="CHECKED"/>
  </r>
  <r>
    <x v="344"/>
    <d v="2019-10-24T00:00:00"/>
    <s v="   BY TRANSFER-UPI/CR/929718173813/DIVYA  J/SBIN/divya88jai/retur--"/>
    <s v="TRANSFER FROM 5099056162097"/>
    <m/>
    <n v="500"/>
    <n v="54923.76"/>
    <s v="Received Through UPI App"/>
    <m/>
    <x v="147"/>
    <m/>
    <s v="2019-2020"/>
    <s v="CHECKED"/>
  </r>
  <r>
    <x v="344"/>
    <d v="2019-10-24T00:00:00"/>
    <s v="   BY TRANSFER-UPI/CR/929718177983/DIVYA  J/SBIN/divya88jai/retur--"/>
    <s v="TRANSFER FROM 4898974162097"/>
    <m/>
    <n v="500"/>
    <n v="55423.76"/>
    <s v="Received Through UPI App"/>
    <m/>
    <x v="147"/>
    <m/>
    <s v="2019-2020"/>
    <s v="CHECKED"/>
  </r>
  <r>
    <x v="344"/>
    <d v="2019-10-24T00:00:00"/>
    <s v="   TO TRANSFER-UPI/DR/929719535476/ROHIT KU/SBIN/jainrohit2/retur--"/>
    <s v="TRANSFER TO 5099605162096"/>
    <n v="500"/>
    <m/>
    <n v="54923.76"/>
    <s v="Transfer Through UPI App"/>
    <s v="Google Pay App"/>
    <x v="154"/>
    <m/>
    <s v="2019-2020"/>
    <s v="CHECKED"/>
  </r>
  <r>
    <x v="345"/>
    <d v="2019-10-25T00:00:00"/>
    <s v="   TO TRANSFER-UPI/DR/929811699203/RAVI KUM/SBIN/ravikumars/trans--"/>
    <s v="TRANSFER TO 5099665162096"/>
    <n v="500"/>
    <m/>
    <n v="54423.76"/>
    <s v="Transfer Through UPI App"/>
    <s v="Google Pay App"/>
    <x v="120"/>
    <m/>
    <s v="2019-2020"/>
    <s v="CHECKED"/>
  </r>
  <r>
    <x v="345"/>
    <d v="2019-10-25T00:00:00"/>
    <s v="   BY TRANSFER-UPI/CR/929811446244/RAVI KUM/SBIN/ravikumars/Retur--"/>
    <s v="TRANSFER FROM 5099159162091"/>
    <m/>
    <n v="500"/>
    <n v="54923.76"/>
    <s v="Received Through UPI App"/>
    <m/>
    <x v="155"/>
    <m/>
    <s v="2019-2020"/>
    <s v="CHECKED"/>
  </r>
  <r>
    <x v="345"/>
    <d v="2019-10-25T00:00:00"/>
    <s v="   TO TRANSFER-UPI/DR/929814431803/IRJESH K/PUNB/irjeshgoda/tranf--"/>
    <s v="TRANSFER TO 5099683162094"/>
    <n v="786"/>
    <m/>
    <n v="54137.760000000002"/>
    <s v="Transfer Through UPI App"/>
    <s v="Google Pay App"/>
    <x v="156"/>
    <m/>
    <s v="2019-2020"/>
    <s v="CHECKED"/>
  </r>
  <r>
    <x v="345"/>
    <d v="2019-10-25T00:00:00"/>
    <s v="   BY TRANSFER-UPI/CR/929814185166/IRJESH K/PUNB/irjeshgoda/Retur--"/>
    <s v="TRANSFER FROM 5099137162097"/>
    <m/>
    <n v="786"/>
    <n v="54923.76"/>
    <s v="Received Through UPI App"/>
    <m/>
    <x v="157"/>
    <m/>
    <s v="2019-2020"/>
    <s v="CHECKED"/>
  </r>
  <r>
    <x v="345"/>
    <d v="2019-10-25T00:00:00"/>
    <s v="   TO TRANSFER-UPI/DR/929814460616/VIKASH  /SBIN/vk313102@o/trans--"/>
    <s v="TRANSFER TO 5099647162097"/>
    <n v="952"/>
    <m/>
    <n v="53971.76"/>
    <s v="Transfer Through UPI App"/>
    <s v="Google Pay App"/>
    <x v="150"/>
    <m/>
    <s v="2019-2020"/>
    <s v="CHECKED"/>
  </r>
  <r>
    <x v="345"/>
    <d v="2019-10-25T00:00:00"/>
    <s v="   BY TRANSFER-UPI/CR/929815497869/VIKASH  /SBIN/vk313102@o/Loan--"/>
    <s v="TRANSFER FROM 5099133162091"/>
    <m/>
    <n v="952"/>
    <n v="54923.76"/>
    <s v="Received Through UPI App"/>
    <m/>
    <x v="158"/>
    <m/>
    <s v="2019-2020"/>
    <s v="CHECKED"/>
  </r>
  <r>
    <x v="346"/>
    <d v="2019-10-27T00:00:00"/>
    <s v="   TO TRANSFER-UPI/DR/930016385733/Mr DHEER/CBIN/dheerajupv/trans--"/>
    <s v="TRANSFER TO 5099792162099"/>
    <n v="780"/>
    <m/>
    <n v="54143.76"/>
    <s v="Transfer Through UPI App"/>
    <s v="Google Pay App"/>
    <x v="159"/>
    <m/>
    <s v="2019-2020"/>
    <s v="CHECKED"/>
  </r>
  <r>
    <x v="346"/>
    <d v="2019-10-27T00:00:00"/>
    <s v="   BY TRANSFER-UPI/CR/930016558084/Mr DHEER/CBIN/dheerajupv/Diwal--"/>
    <s v="TRANSFER FROM 5099299162090"/>
    <m/>
    <n v="780"/>
    <n v="54923.76"/>
    <s v="Received Through UPI App"/>
    <m/>
    <x v="160"/>
    <m/>
    <s v="2019-2020"/>
    <s v="CHECKED"/>
  </r>
  <r>
    <x v="346"/>
    <d v="2019-10-27T00:00:00"/>
    <s v="   BY TRANSFER-UPI/CR/930016478847/Mr DHEER/CBIN/dheerajupv/Colle--"/>
    <s v="TRANSFER FROM 5099287162094"/>
    <m/>
    <n v="500"/>
    <n v="55423.76"/>
    <s v="Received Through UPI App"/>
    <m/>
    <x v="160"/>
    <m/>
    <s v="2019-2020"/>
    <s v="CHECKED"/>
  </r>
  <r>
    <x v="346"/>
    <d v="2019-10-27T00:00:00"/>
    <s v="   TO TRANSFER-UPI/DR/930016527124/Mr DHEER/CBIN/dheerajupv/UPI--"/>
    <s v="TRANSFER TO 4898923162097"/>
    <n v="500"/>
    <m/>
    <n v="54923.76"/>
    <s v="Transfer Through UPI App"/>
    <s v="Google Pay App"/>
    <x v="159"/>
    <m/>
    <s v="2019-2020"/>
    <s v="CHECKED"/>
  </r>
  <r>
    <x v="346"/>
    <d v="2019-10-27T00:00:00"/>
    <s v="   TO TRANSFER-UPI/DR/930016744128/Mr DHEER/CBIN/dheerajupv/phone--"/>
    <s v="TRANSFER TO 5099812162090"/>
    <n v="1000"/>
    <m/>
    <n v="53923.76"/>
    <s v="Transfer Through UPI App"/>
    <s v="Phone Pe App"/>
    <x v="159"/>
    <m/>
    <s v="2019-2020"/>
    <s v="CHECKED"/>
  </r>
  <r>
    <x v="346"/>
    <d v="2019-10-27T00:00:00"/>
    <s v="   TO TRANSFER-UPI/DR/930016915772/ROHIT KU/SBIN/9464507310/trans--"/>
    <s v="TRANSFER TO 4898918162094"/>
    <n v="1000"/>
    <m/>
    <n v="52923.76"/>
    <s v="Transfer Through UPI App"/>
    <s v="Google Pay App"/>
    <x v="154"/>
    <m/>
    <s v="2019-2020"/>
    <s v="CHECKED"/>
  </r>
  <r>
    <x v="346"/>
    <d v="2019-10-27T00:00:00"/>
    <s v="   TO TRANSFER-UPI/DR/930064775976/DIVYA  J/SBIN/8847283560/Payme--"/>
    <s v="TRANSFER TO 5099791162090"/>
    <n v="1100"/>
    <m/>
    <n v="51823.76"/>
    <s v="Transfer Through UPI App"/>
    <s v="Phone Pe App"/>
    <x v="129"/>
    <m/>
    <s v="2019-2020"/>
    <s v="CHECKED"/>
  </r>
  <r>
    <x v="346"/>
    <d v="2019-10-27T00:00:00"/>
    <s v="   BY TRANSFER-UPI/CR/930016612615/ROHIT KU/SBIN/jainrohit2/Retur--"/>
    <s v="TRANSFER FROM 4899383162091"/>
    <m/>
    <n v="500"/>
    <n v="52323.76"/>
    <s v="Received Through UPI App"/>
    <m/>
    <x v="151"/>
    <m/>
    <s v="2019-2020"/>
    <s v="CHECKED"/>
  </r>
  <r>
    <x v="346"/>
    <d v="2019-10-27T00:00:00"/>
    <s v="   BY TRANSFER-UPI/CR/930032301538/ROHIT KU/SBIN/9464507310/Payme--"/>
    <s v="TRANSFER FROM 5099318162093"/>
    <m/>
    <n v="500"/>
    <n v="52823.76"/>
    <s v="Received Through UPI App"/>
    <m/>
    <x v="151"/>
    <m/>
    <s v="2019-2020"/>
    <s v="CHECKED"/>
  </r>
  <r>
    <x v="346"/>
    <d v="2019-10-27T00:00:00"/>
    <s v="   BY TRANSFER-UPI/CR/930016729937/DIVYA  J/SBIN/divya88jai/retur--"/>
    <s v="TRANSFER FROM 4899384162090"/>
    <m/>
    <n v="1100"/>
    <n v="53923.76"/>
    <s v="Received Through UPI App"/>
    <m/>
    <x v="147"/>
    <m/>
    <s v="2019-2020"/>
    <s v="CHECKED"/>
  </r>
  <r>
    <x v="346"/>
    <d v="2019-10-27T00:00:00"/>
    <s v="   TO TRANSFER-UPI/DR/930017943044/billdesk/ICIC/billdesk.v/UPI--"/>
    <s v="TRANSFER TO 4898756162095"/>
    <n v="100"/>
    <m/>
    <n v="53823.76"/>
    <s v="Mobile Recharge"/>
    <s v="Google Pay App"/>
    <x v="161"/>
    <m/>
    <s v="2019-2020"/>
    <s v="CHECKED"/>
  </r>
  <r>
    <x v="346"/>
    <d v="2019-10-27T00:00:00"/>
    <s v="   TO TRANSFER-UPI/DR/930051880434/MOHIT KU/SBIN/8003027591/req f--"/>
    <s v="TRANSFER TO 5099792162099"/>
    <n v="500"/>
    <m/>
    <n v="53323.76"/>
    <s v="Transfer Through UPI App"/>
    <s v="Google Pay App"/>
    <x v="162"/>
    <m/>
    <s v="2019-2020"/>
    <s v="CHECKED"/>
  </r>
  <r>
    <x v="346"/>
    <d v="2019-10-27T00:00:00"/>
    <s v="   BY TRANSFER-UPI/CR/930051880434/MOHIT KU/SBIN/mohit87jai/req f--"/>
    <s v="TRANSFER FROM 5099287162094"/>
    <m/>
    <n v="500"/>
    <n v="53823.76"/>
    <s v="Received Through UPI App"/>
    <s v="Phone Pe App"/>
    <x v="0"/>
    <m/>
    <s v="2019-2020"/>
    <s v="CHECKED"/>
  </r>
  <r>
    <x v="347"/>
    <d v="2019-10-28T00:00:00"/>
    <s v="   BY TRANSFER-NEFT*RBIS0GORJEP*RBI3011965792769*TREASURY OFFICE--"/>
    <s v="TRANSFER FROM 3199418044301"/>
    <m/>
    <n v="6774"/>
    <n v="60597.760000000002"/>
    <s v="Salary"/>
    <m/>
    <x v="10"/>
    <m/>
    <s v="2019-2020"/>
    <s v="CHECKED"/>
  </r>
  <r>
    <x v="348"/>
    <d v="2019-10-29T00:00:00"/>
    <s v="   BY TRANSFER-UPI/CR/930213868465/GOOGLEPAY/UTIB/goog-payme/UPI--"/>
    <s v="TRANSFER FROM 5098883162093"/>
    <m/>
    <n v="180"/>
    <n v="60777.760000000002"/>
    <s v="Earning From UPI App"/>
    <s v="Google Pay App"/>
    <x v="125"/>
    <m/>
    <s v="2019-2020"/>
    <s v="CHECKED"/>
  </r>
  <r>
    <x v="348"/>
    <d v="2019-10-29T00:00:00"/>
    <s v="   TO TRANSFER-UPI/DR/930222542251/billdesk/ICIC/billdesk.v/UPI--"/>
    <s v="TRANSFER TO 4898732162093"/>
    <n v="100"/>
    <m/>
    <n v="60677.760000000002"/>
    <s v="Mobile Recharge"/>
    <s v="Google Pay App"/>
    <x v="161"/>
    <m/>
    <s v="2019-2020"/>
    <s v="CHECKED"/>
  </r>
  <r>
    <x v="349"/>
    <d v="2019-10-30T00:00:00"/>
    <s v="   TO TRANSFER-UPI/DR/930312840739/DEVENDER/ORBC/gill8489@o/trans--"/>
    <s v="TRANSFER TO 5099544162093"/>
    <n v="752"/>
    <m/>
    <n v="59925.760000000002"/>
    <s v="Transfer Through UPI App"/>
    <s v="Google Pay App"/>
    <x v="163"/>
    <m/>
    <s v="2019-2020"/>
    <s v="CHECKED"/>
  </r>
  <r>
    <x v="349"/>
    <d v="2019-10-30T00:00:00"/>
    <s v="   BY TRANSFER-UPI/CR/930312914253/GOOGLEPAY/UTIB/goog-payme/UPI--"/>
    <s v="TRANSFER FROM 5099004162098"/>
    <m/>
    <n v="6"/>
    <n v="59931.76"/>
    <s v="Earning From UPI App"/>
    <s v="Google Pay App"/>
    <x v="125"/>
    <m/>
    <s v="2019-2020"/>
    <s v="CHECKED"/>
  </r>
  <r>
    <x v="349"/>
    <d v="2019-10-30T00:00:00"/>
    <s v="   BY TRANSFER-UPI/CR/930312396793/DEVENDER/ORBC/gill8489@o/UPI--"/>
    <s v="TRANSFER FROM 5098954162094"/>
    <m/>
    <n v="752"/>
    <n v="60683.76"/>
    <s v="Received Through UPI App"/>
    <m/>
    <x v="164"/>
    <m/>
    <s v="2019-2020"/>
    <s v="CHECKED"/>
  </r>
  <r>
    <x v="350"/>
    <d v="2019-10-31T00:00:00"/>
    <s v="   TO TRANSFER-UPI/DR/930413011574/SABANA  /SBIN/aqureshi87/Aarif--"/>
    <s v="TRANSFER TO 5099579162093"/>
    <n v="1000"/>
    <m/>
    <n v="59683.76"/>
    <s v="Transfer Through UPI App"/>
    <s v="Google Pay App"/>
    <x v="165"/>
    <m/>
    <s v="2019-2020"/>
    <s v="CHECKED"/>
  </r>
  <r>
    <x v="351"/>
    <d v="2019-11-01T00:00:00"/>
    <s v="   BY TRANSFER-NEFT*RBIS0GORJEP*RBI3061971836871*TREASURY OFFICE--"/>
    <s v="TRANSFER FROM 3199676044305"/>
    <m/>
    <n v="30184"/>
    <n v="89867.760000000009"/>
    <s v="Salary"/>
    <m/>
    <x v="0"/>
    <m/>
    <s v="2019-2020"/>
    <s v="CHECKED"/>
  </r>
  <r>
    <x v="351"/>
    <d v="2019-11-01T00:00:00"/>
    <s v="   BY TRANSFER-INB IMPS930516867517/0000000000/XX5001/FFuLiO7nc9--"/>
    <s v="MAC000368099851          MAC000368099851          "/>
    <m/>
    <n v="1"/>
    <n v="89868.760000000009"/>
    <s v="unkown"/>
    <m/>
    <x v="126"/>
    <m/>
    <s v="2019-2020"/>
    <s v="CHECKED"/>
  </r>
  <r>
    <x v="352"/>
    <d v="2019-11-02T00:00:00"/>
    <s v="   ATM WDL-ATM CASH 3179  SBBJ TIBBI            HANUMANGARH--"/>
    <m/>
    <n v="10000"/>
    <m/>
    <n v="79868.760000000009"/>
    <s v="Cash Withdrwal"/>
    <m/>
    <x v="15"/>
    <m/>
    <s v="2019-2020"/>
    <s v="CHECKED"/>
  </r>
  <r>
    <x v="352"/>
    <d v="2019-11-02T00:00:00"/>
    <s v="   ATM WDL-ATM CASH 3180  SBBJ TIBBI            HANUMANGARH--"/>
    <m/>
    <n v="10000"/>
    <m/>
    <n v="69868.760000000009"/>
    <s v="Cash Withdrwal"/>
    <m/>
    <x v="15"/>
    <m/>
    <s v="2019-2020"/>
    <s v="CHECKED"/>
  </r>
  <r>
    <x v="353"/>
    <d v="2019-11-06T00:00:00"/>
    <s v="   BY TRANSFER-UPI/CR/931008742392/Mr DHEER/CBIN/dheerajupv/UPI--"/>
    <s v="TRANSFER FROM 5099010162090"/>
    <m/>
    <n v="500"/>
    <n v="70368.760000000009"/>
    <s v="Received Through UPI App"/>
    <m/>
    <x v="160"/>
    <m/>
    <s v="2019-2020"/>
    <s v="CHECKED"/>
  </r>
  <r>
    <x v="353"/>
    <d v="2019-11-06T00:00:00"/>
    <s v="   BY TRANSFER-UPI/CR/931017056238/RAVI KUM/SBIN/9782508727/Ok--"/>
    <s v="TRANSFER FROM 5098980162092"/>
    <m/>
    <n v="1000"/>
    <n v="71368.760000000009"/>
    <s v="Received Through UPI App"/>
    <m/>
    <x v="155"/>
    <m/>
    <s v="2019-2020"/>
    <s v="CHECKED"/>
  </r>
  <r>
    <x v="354"/>
    <d v="2019-11-11T00:00:00"/>
    <s v="   BY TRANSFER-UPI/CR/931520174689/Mr DHEER/CBIN/dheerajupv/UPI--"/>
    <s v="TRANSFER FROM 4898940162095"/>
    <m/>
    <n v="500"/>
    <n v="71868.760000000009"/>
    <s v="Received Through UPI App"/>
    <m/>
    <x v="160"/>
    <m/>
    <s v="2019-2020"/>
    <s v="CHECKED"/>
  </r>
  <r>
    <x v="355"/>
    <d v="2019-11-13T00:00:00"/>
    <s v="   by debit card-OTHPG 379845      RELIANCEJIO           MUMBAI--"/>
    <m/>
    <n v="394"/>
    <m/>
    <n v="71474.760000000009"/>
    <s v="Mobile Recharge"/>
    <s v="ATM card"/>
    <x v="35"/>
    <m/>
    <s v="2019-2020"/>
    <s v="CHECKED"/>
  </r>
  <r>
    <x v="356"/>
    <d v="2019-11-15T00:00:00"/>
    <s v="   by debit card-SBIPG 931970073849enpsnsdlSBIePay       Mumbai--"/>
    <m/>
    <n v="500"/>
    <m/>
    <n v="70974.760000000009"/>
    <s v="Transfer using Debit Card (ATM)"/>
    <s v="ATM card"/>
    <x v="166"/>
    <m/>
    <s v="2019-2020"/>
    <s v="CHECKED"/>
  </r>
  <r>
    <x v="357"/>
    <d v="2019-12-02T00:00:00"/>
    <s v="   by debit card-SBIPG 933670034365enpsnsdlSBIePay       Mumbai--"/>
    <m/>
    <n v="1000"/>
    <m/>
    <n v="69974.760000000009"/>
    <s v="Transfer using Debit Card (ATM)"/>
    <s v="ATM card"/>
    <x v="167"/>
    <m/>
    <s v="2019-2020"/>
    <s v="CHECKED"/>
  </r>
  <r>
    <x v="358"/>
    <d v="2019-12-03T00:00:00"/>
    <s v="   BY TRANSFER-NEFT*RBIS0GORJEP*RBI3371998883815*TREASURY OFFICE--"/>
    <s v="TRANSFER FROM 3199682044307"/>
    <m/>
    <n v="30184"/>
    <n v="100158.76000000001"/>
    <s v="Salary"/>
    <m/>
    <x v="0"/>
    <m/>
    <s v="2019-2020"/>
    <s v="CHECKED"/>
  </r>
  <r>
    <x v="359"/>
    <d v="2019-12-12T00:00:00"/>
    <s v="   by debit card-SBIPG 934680004680enpsnsdlSBIePay       Mumbai--"/>
    <m/>
    <n v="500"/>
    <m/>
    <n v="99658.760000000009"/>
    <s v="Transfer using Debit Card (ATM)"/>
    <s v="ATM card"/>
    <x v="166"/>
    <m/>
    <s v="2019-2020"/>
    <s v="CHECKED"/>
  </r>
  <r>
    <x v="360"/>
    <d v="2019-12-15T00:00:00"/>
    <s v="   ATM WDL-ATM CASH 36911 SBBJ TIBBI            HANUMANGARH--"/>
    <m/>
    <n v="10000"/>
    <m/>
    <n v="89658.760000000009"/>
    <s v="Cash Withdrwal"/>
    <m/>
    <x v="15"/>
    <m/>
    <s v="2019-2020"/>
    <s v="CHECKED"/>
  </r>
  <r>
    <x v="361"/>
    <d v="2019-12-16T00:00:00"/>
    <s v="   DEPOSIT TRANSFER-INT TRF FRM 38536720097 TO 61207864076--"/>
    <s v="TRANSFER FROM 38536720097                         "/>
    <m/>
    <n v="1253"/>
    <n v="90911.760000000009"/>
    <s v="Interest on fd"/>
    <m/>
    <x v="140"/>
    <m/>
    <s v="2019-2020"/>
    <s v="CHECKED"/>
  </r>
  <r>
    <x v="361"/>
    <d v="2019-12-16T00:00:00"/>
    <s v="   BY TRANSFER---"/>
    <s v="TRANSFER FROM 38536720097                         "/>
    <m/>
    <n v="40000"/>
    <n v="130911.76000000001"/>
    <s v="Acc Closed"/>
    <m/>
    <x v="140"/>
    <m/>
    <s v="2019-2020"/>
    <s v="CHECKED"/>
  </r>
  <r>
    <x v="362"/>
    <d v="2019-12-18T00:00:00"/>
    <s v="   TO TRANSFER-UPI/DR/935236751696/RELIANCE/CITI/jio@citiba/Note--"/>
    <s v="TRANSFER TO 5097694162096"/>
    <n v="555"/>
    <m/>
    <n v="130356.76000000001"/>
    <s v="Mobile Recharge"/>
    <s v="Phone Pe App"/>
    <x v="161"/>
    <m/>
    <s v="2019-2020"/>
    <s v="CHECKED"/>
  </r>
  <r>
    <x v="363"/>
    <d v="2019-12-23T00:00:00"/>
    <s v="   TO TRANSFER-UPI/DR/935719916965/DIVYA  J/SBIN/divya88jai/UPI--"/>
    <s v="TRANSFER TO 5099388162090"/>
    <n v="100"/>
    <m/>
    <n v="130256.76000000001"/>
    <s v="Transfer Through UPI App"/>
    <s v="Google Pay App"/>
    <x v="129"/>
    <m/>
    <s v="2019-2020"/>
    <s v="CHECKED"/>
  </r>
  <r>
    <x v="364"/>
    <d v="2019-12-24T00:00:00"/>
    <s v="   BY TRANSFER-UPI/CR/935817436935/DIVYA  J/SBIN/divya88jai/retur--"/>
    <s v="TRANSFER FROM 5098910162095"/>
    <m/>
    <n v="100"/>
    <n v="130356.76000000001"/>
    <s v="Received Through UPI App"/>
    <m/>
    <x v="147"/>
    <m/>
    <s v="2019-2020"/>
    <s v="CHECKED"/>
  </r>
  <r>
    <x v="364"/>
    <d v="2019-12-24T00:00:00"/>
    <s v="   TO TRANSFER-UPI/DR/935820537992/billdesk/ICIC/billdesk.j/UPI--"/>
    <s v="TRANSFER TO 5097630162090"/>
    <n v="1359"/>
    <m/>
    <n v="128997.76000000001"/>
    <s v="Electricity Bill"/>
    <s v="Google Pay App"/>
    <x v="36"/>
    <m/>
    <s v="2019-2020"/>
    <s v="CHECKED"/>
  </r>
  <r>
    <x v="365"/>
    <d v="2019-12-25T00:00:00"/>
    <s v="   CREDIT INTEREST---"/>
    <m/>
    <m/>
    <n v="596"/>
    <n v="129593.76000000001"/>
    <s v="Credit Interest"/>
    <m/>
    <x v="0"/>
    <m/>
    <s v="2019-2020"/>
    <s v="CHECKED"/>
  </r>
  <r>
    <x v="366"/>
    <d v="2019-12-29T00:00:00"/>
    <s v="   TO TRANSFER-UPI/DR/936318571255/RELIANCE/CITI/jio@citiba/Amoun--"/>
    <s v="TRANSFER TO 5098101162095"/>
    <n v="2020"/>
    <m/>
    <n v="127573.76000000001"/>
    <s v="Mobile Recharge"/>
    <s v="Google Pay App"/>
    <x v="18"/>
    <m/>
    <s v="2019-2020"/>
    <s v="CHECKED"/>
  </r>
  <r>
    <x v="367"/>
    <d v="2019-12-30T00:00:00"/>
    <s v="   TO TRANSFER-UPI/DR/936417346942/VODAFONE/HSBC/vmslprepai/Merch--"/>
    <s v="TRANSFER TO 5097535162099"/>
    <n v="49"/>
    <m/>
    <n v="127524.76000000001"/>
    <s v="Mobile Recharge"/>
    <s v="Google Pay App"/>
    <x v="161"/>
    <s v="ara"/>
    <s v="2019-2020"/>
    <s v="CHECKED"/>
  </r>
  <r>
    <x v="368"/>
    <d v="2019-12-31T00:00:00"/>
    <s v="   TO TRANSFER-UPI/DR/936511043060/SBI FUND/HDFC/sbifundsma/SBIMF--"/>
    <s v="TRANSFER TO 5097615162090"/>
    <n v="1000"/>
    <m/>
    <n v="126524.76000000001"/>
    <s v="Transfer Through UPI App"/>
    <s v="Google Pay App"/>
    <x v="33"/>
    <m/>
    <s v="2019-2020"/>
    <s v="CHECKED"/>
  </r>
  <r>
    <x v="368"/>
    <d v="2019-12-31T00:00:00"/>
    <s v="   BY TRANSFER-UPI/REV/936511043060--"/>
    <s v="TRANSFER FROM 5097615162090"/>
    <m/>
    <n v="1000"/>
    <n v="127524.76000000001"/>
    <s v="Received Through Net Banking"/>
    <m/>
    <x v="0"/>
    <m/>
    <s v="2019-2020"/>
    <s v="5. Pending (check with all sheet one by one)"/>
  </r>
  <r>
    <x v="368"/>
    <d v="2019-12-31T00:00:00"/>
    <s v="   TO TRANSFER-UPI/DR/936522373409/VODAFONE/HSBC/vmslprepai/Merch--"/>
    <s v="TRANSFER TO 5097633162098"/>
    <n v="100"/>
    <m/>
    <n v="127424.76000000001"/>
    <s v="Mobile Recharge"/>
    <s v="Google Pay App"/>
    <x v="161"/>
    <m/>
    <s v="2019-2020"/>
    <s v="CHECKED"/>
  </r>
  <r>
    <x v="369"/>
    <d v="2020-01-01T00:00:00"/>
    <s v="   BY TRANSFER-INB IMPS000118233284/2222222222/XX2984/REFUND FRO--"/>
    <s v="MAA000418442126          MAA000418442126          "/>
    <m/>
    <n v="1399"/>
    <n v="128823.76000000001"/>
    <s v="Received Through Net Banking"/>
    <m/>
    <x v="0"/>
    <m/>
    <s v="2019-2020"/>
    <s v="5. Pending (check with all sheet one by one)"/>
  </r>
  <r>
    <x v="370"/>
    <d v="2020-01-03T00:00:00"/>
    <s v="   BY TRANSFER-NEFT*RBIS0GORJEP*RBI0032028697071*TREASURY OFFICE--"/>
    <s v="TRANSFER FROM 3199680044308"/>
    <m/>
    <n v="30184"/>
    <n v="159007.76"/>
    <s v="Salary"/>
    <m/>
    <x v="0"/>
    <m/>
    <s v="2019-2020"/>
    <s v="CHECKED"/>
  </r>
  <r>
    <x v="370"/>
    <d v="2020-01-03T00:00:00"/>
    <s v="   TO TRANSFER-UPI/DR/000321590975/Aditya B/UTIB/abslamc.rz/Adity--"/>
    <s v="TRANSFER TO 5097902162093"/>
    <n v="500"/>
    <m/>
    <n v="158507.76"/>
    <s v="Transfer Through UPI App"/>
    <s v="Google Pay App"/>
    <x v="33"/>
    <m/>
    <s v="2019-2020"/>
    <s v="CHECKED"/>
  </r>
  <r>
    <x v="371"/>
    <d v="2020-01-04T00:00:00"/>
    <s v="   BY TRANSFER-UPI/CR/000405453093/GOOGLEPAY/UTIB/goog-payme/UPI--"/>
    <s v="TRANSFER FROM 5099220162091"/>
    <m/>
    <n v="105"/>
    <n v="158612.76"/>
    <s v="Earning From UPI App"/>
    <s v="Google Pay App"/>
    <x v="125"/>
    <m/>
    <s v="2019-2020"/>
    <s v="CHECKED"/>
  </r>
  <r>
    <x v="371"/>
    <d v="2020-01-04T00:00:00"/>
    <s v="   BY TRANSFER-1641855388 HP615667 219415 0101 21BZ2SB--"/>
    <s v="TRANSFER FROM 4599416105217"/>
    <m/>
    <n v="167.38"/>
    <n v="158780.14000000001"/>
    <s v="Subsidy"/>
    <m/>
    <x v="6"/>
    <m/>
    <s v="2019-2020"/>
    <s v="CHECKED"/>
  </r>
  <r>
    <x v="372"/>
    <d v="2020-01-15T00:00:00"/>
    <s v="   ATM WDL-ATM CASH 46856 SBI OPP. ADARSH THEATEMALOUT--"/>
    <m/>
    <n v="5000"/>
    <m/>
    <n v="153780.14000000001"/>
    <s v="Cash Withdrwal"/>
    <m/>
    <x v="3"/>
    <m/>
    <s v="2019-2020"/>
    <s v="CHECKED"/>
  </r>
  <r>
    <x v="373"/>
    <d v="2020-01-20T00:00:00"/>
    <s v="   TO TRANSFER-INB Billpay ~ UTI Mutual Fund ~ Autopay--"/>
    <s v="IB61129985               TRANSFER TO 3199627162098"/>
    <n v="500"/>
    <m/>
    <n v="153280.14000000001"/>
    <s v="Transfer Through Net Banking"/>
    <m/>
    <x v="33"/>
    <m/>
    <s v="2019-2020"/>
    <s v="CHECKED"/>
  </r>
  <r>
    <x v="373"/>
    <d v="2020-01-20T00:00:00"/>
    <s v="   TO TRANSFER-INB Billpay ~ UTI Mutual Fund ~ Autopay--"/>
    <s v="IB61129533               TRANSFER TO 3199628162097"/>
    <n v="500"/>
    <m/>
    <n v="152780.14000000001"/>
    <s v="Transfer Through Net Banking"/>
    <m/>
    <x v="33"/>
    <m/>
    <s v="2019-2020"/>
    <s v="CHECKED"/>
  </r>
  <r>
    <x v="373"/>
    <d v="2020-01-20T00:00:00"/>
    <s v="   TO TRANSFER-INB Billpay ~ Birla Sun Life Mutual Fund ~ Autopay--"/>
    <s v="IB61164611               TRANSFER TO 3199628162097"/>
    <n v="500"/>
    <m/>
    <n v="152280.14000000001"/>
    <s v="Transfer Through Net Banking"/>
    <m/>
    <x v="33"/>
    <m/>
    <s v="2019-2020"/>
    <s v="CHECKED"/>
  </r>
  <r>
    <x v="374"/>
    <d v="2020-01-27T00:00:00"/>
    <s v="   TO TRANSFER-INB Billpay ~ Birla Sun Life Mutual Fund ~ Autopay--"/>
    <s v="IB61333341               TRANSFER TO 3199627162098"/>
    <n v="500"/>
    <m/>
    <n v="151780.14000000001"/>
    <s v="Transfer Through Net Banking"/>
    <m/>
    <x v="33"/>
    <m/>
    <s v="2019-2020"/>
    <s v="CHECKED"/>
  </r>
  <r>
    <x v="375"/>
    <d v="2020-01-28T00:00:00"/>
    <s v="   BY TRANSFER-1670195114 HP615667 230081 2501 21BZ2SB--"/>
    <s v="TRANSFER FROM 4599378105218"/>
    <m/>
    <n v="167.38"/>
    <n v="151947.52000000002"/>
    <s v="Subsidy"/>
    <m/>
    <x v="6"/>
    <m/>
    <s v="2019-2020"/>
    <s v="CHECKED"/>
  </r>
  <r>
    <x v="376"/>
    <d v="2020-02-01T00:00:00"/>
    <s v="   BY TRANSFER-NEFT*RBIS0GORJEP*RBI0322065164981*TREASURY OFFICE--"/>
    <s v="TRANSFER FROM 3199969044303"/>
    <m/>
    <n v="30184"/>
    <n v="182131.52000000002"/>
    <s v="Salary"/>
    <m/>
    <x v="0"/>
    <m/>
    <s v="2019-2020"/>
    <s v="CHECKED"/>
  </r>
  <r>
    <x v="376"/>
    <d v="2020-02-01T00:00:00"/>
    <s v="   BY TRANSFER-1674386921 HP615667 230284 2801 21BZ2SB--"/>
    <s v="TRANSFER FROM 4599415105218"/>
    <m/>
    <n v="167.38"/>
    <n v="182298.90000000002"/>
    <s v="Subsidy"/>
    <m/>
    <x v="6"/>
    <m/>
    <s v="2019-2020"/>
    <s v="CHECKED"/>
  </r>
  <r>
    <x v="377"/>
    <d v="2020-02-03T00:00:00"/>
    <s v="   TO TRANSFER-INB Billpay ~ Birla Sun Life Mutual Fund ~ Autopay--"/>
    <s v="IB61482801               TRANSFER TO 3199628162097"/>
    <n v="500"/>
    <m/>
    <n v="181798.90000000002"/>
    <s v="Transfer Through Net Banking"/>
    <m/>
    <x v="33"/>
    <m/>
    <s v="2019-2020"/>
    <s v="CHECKED"/>
  </r>
  <r>
    <x v="378"/>
    <d v="2020-02-10T00:00:00"/>
    <s v="   TO TRANSFER-INB Billpay ~ Birla Sun Life Mutual Fund ~ Autopay--"/>
    <s v="IB61770713               TRANSFER TO 3199628162097"/>
    <n v="500"/>
    <m/>
    <n v="181298.90000000002"/>
    <s v="Transfer Through Net Banking"/>
    <m/>
    <x v="33"/>
    <m/>
    <s v="2019-2020"/>
    <s v="CHECKED"/>
  </r>
  <r>
    <x v="379"/>
    <d v="2020-02-17T00:00:00"/>
    <s v="   TO TRANSFER-INB Billpay ~ Birla Sun Life Mutual Fund ~ Autopay--"/>
    <s v="IB61984503               TRANSFER TO 3199628162097"/>
    <n v="500"/>
    <m/>
    <n v="180798.90000000002"/>
    <s v="Transfer Through Net Banking"/>
    <m/>
    <x v="33"/>
    <m/>
    <s v="2019-2020"/>
    <s v="CHECKED"/>
  </r>
  <r>
    <x v="380"/>
    <d v="2020-02-18T00:00:00"/>
    <s v="   BY TRANSFER-NEFT*RBIS0GORJEP*RBI0502086857578*TREASURY OFFICE--"/>
    <s v="TRANSFER FROM 3199424044303"/>
    <m/>
    <n v="17080"/>
    <n v="197878.90000000002"/>
    <s v="Salary"/>
    <m/>
    <x v="19"/>
    <m/>
    <s v="2019-2020"/>
    <s v="CHECKED"/>
  </r>
  <r>
    <x v="381"/>
    <d v="2020-02-20T00:00:00"/>
    <s v="   TO TRANSFER-INB Billpay ~ SBI Mutual Fund ~ Autopay--"/>
    <s v="IB62051241               TRANSFER TO 3199637162096"/>
    <n v="500"/>
    <m/>
    <n v="197378.90000000002"/>
    <s v="Transfer Through Net Banking"/>
    <m/>
    <x v="33"/>
    <m/>
    <s v="2019-2020"/>
    <s v="CHECKED"/>
  </r>
  <r>
    <x v="381"/>
    <d v="2020-02-20T00:00:00"/>
    <s v="   TO TRANSFER-INB Billpay ~ SBI Mutual Fund ~ Autopay--"/>
    <s v="IB62051764               TRANSFER TO 3199636162097"/>
    <n v="500"/>
    <m/>
    <n v="196878.90000000002"/>
    <s v="Transfer Through Net Banking"/>
    <m/>
    <x v="33"/>
    <m/>
    <s v="2019-2020"/>
    <s v="CHECKED"/>
  </r>
  <r>
    <x v="381"/>
    <d v="2020-02-20T00:00:00"/>
    <s v="   TO TRANSFER-INB Billpay ~ UTI Mutual Fund ~ Autopay--"/>
    <s v="IB62075696               TRANSFER TO 3199637162096"/>
    <n v="500"/>
    <m/>
    <n v="196378.90000000002"/>
    <s v="Transfer Through Net Banking"/>
    <m/>
    <x v="33"/>
    <m/>
    <s v="2019-2020"/>
    <s v="CHECKED"/>
  </r>
  <r>
    <x v="381"/>
    <d v="2020-02-20T00:00:00"/>
    <s v="   TO TRANSFER-INB Billpay ~ UTI Mutual Fund ~ Autopay--"/>
    <s v="IB62075934               TRANSFER TO 3199637162096"/>
    <n v="500"/>
    <m/>
    <n v="195878.90000000002"/>
    <s v="Transfer Through Net Banking"/>
    <m/>
    <x v="33"/>
    <m/>
    <s v="2019-2020"/>
    <s v="CHECKED"/>
  </r>
  <r>
    <x v="382"/>
    <d v="2020-02-24T00:00:00"/>
    <s v="   TO TRANSFER-INB Billpay ~ Birla Sun Life Mutual Fund ~ Autopay--"/>
    <s v="IB62156523               TRANSFER TO 3199628162097"/>
    <n v="500"/>
    <m/>
    <n v="195378.90000000002"/>
    <s v="Transfer Through Net Banking"/>
    <m/>
    <x v="33"/>
    <m/>
    <s v="2019-2020"/>
    <s v="CHECKED"/>
  </r>
  <r>
    <x v="383"/>
    <d v="2020-02-26T00:00:00"/>
    <s v="   TO TRANSFER-INB Billpay ~ SBI Mutual Fund ~ Autopay--"/>
    <s v="IB62230709               TRANSFER TO 3199634162099"/>
    <n v="500"/>
    <m/>
    <n v="194878.90000000002"/>
    <s v="Transfer Through Net Banking"/>
    <m/>
    <x v="33"/>
    <m/>
    <s v="2019-2020"/>
    <s v="CHECKED"/>
  </r>
  <r>
    <x v="384"/>
    <d v="2020-02-28T00:00:00"/>
    <s v="   ATM WDL-ATM CASH 1728  SBBJ TIBBI            HANUMANGARH--"/>
    <m/>
    <n v="20000"/>
    <m/>
    <n v="174878.90000000002"/>
    <s v="Cash Withdrwal"/>
    <m/>
    <x v="15"/>
    <m/>
    <s v="2019-2020"/>
    <s v="CHECKED"/>
  </r>
  <r>
    <x v="385"/>
    <d v="2020-03-02T00:00:00"/>
    <s v="   TO TRANSFER-INB Billpay ~ Birla Sun Life Mutual Fund ~ Autopay--"/>
    <s v="IB62315279               TRANSFER TO 3199627162098"/>
    <n v="500"/>
    <m/>
    <n v="174378.90000000002"/>
    <s v="Transfer Through Net Banking"/>
    <m/>
    <x v="33"/>
    <m/>
    <s v="2019-2020"/>
    <s v="CHECKED"/>
  </r>
  <r>
    <x v="386"/>
    <d v="2020-03-03T00:00:00"/>
    <s v="   TO TRANSFER-UPI/DR/006376103037/PhonePe/YESB/BILLDESKPP/Paymen--"/>
    <s v="TRANSFER TO 5097613162092"/>
    <n v="1280"/>
    <m/>
    <n v="173098.90000000002"/>
    <s v="Electricity Bill"/>
    <s v="Phone Pe App"/>
    <x v="36"/>
    <m/>
    <s v="2019-2020"/>
    <s v="CHECKED"/>
  </r>
  <r>
    <x v="387"/>
    <d v="2020-03-04T00:00:00"/>
    <s v="   BY TRANSFER-NEFT*RBIS0GORJEP*RBI0652009774327*TREASURY OFFICE--"/>
    <s v="TRANSFER FROM 3199959044304"/>
    <m/>
    <n v="30184"/>
    <n v="203282.90000000002"/>
    <s v="Salary"/>
    <m/>
    <x v="0"/>
    <m/>
    <s v="2019-2020"/>
    <s v="CHECKED"/>
  </r>
  <r>
    <x v="388"/>
    <d v="2020-03-05T00:00:00"/>
    <s v="   TO TRANSFER-INB National Pension System T--"/>
    <s v="3969243223621IGAIFVWNN5               TRANSFER TO "/>
    <n v="1000.71"/>
    <m/>
    <n v="202282.19000000003"/>
    <s v="Transfer using Debit Card (ATM)"/>
    <s v="ATM card"/>
    <x v="166"/>
    <m/>
    <s v="2019-2020"/>
    <s v="CHECKED"/>
  </r>
  <r>
    <x v="388"/>
    <d v="2020-03-05T00:00:00"/>
    <s v="   by debit card-SBIPG RT8587602818UTIMF                 MUMBAI--"/>
    <m/>
    <n v="1545"/>
    <m/>
    <n v="200737.19000000003"/>
    <s v="Transfer using Debit Card (ATM)"/>
    <s v="ATM card"/>
    <x v="33"/>
    <m/>
    <s v="2019-2020"/>
    <s v="CHECKED"/>
  </r>
  <r>
    <x v="388"/>
    <d v="2020-03-05T00:00:00"/>
    <s v="   by debit card-SBIPG RT8587621637UTIMF                 MUMBAI--"/>
    <m/>
    <n v="1000"/>
    <m/>
    <n v="199737.19000000003"/>
    <s v="Transfer using Debit Card (ATM)"/>
    <s v="ATM card"/>
    <x v="33"/>
    <m/>
    <s v="2019-2020"/>
    <s v="CHECKED"/>
  </r>
  <r>
    <x v="389"/>
    <d v="2020-03-06T00:00:00"/>
    <s v="   TO TRANSFER-INB Aditya Birla Sun Life Mut BIRLA_MF Payments--"/>
    <s v="RSBI8592500286IGAIGECXP9               TRANSFER TO"/>
    <n v="1000"/>
    <m/>
    <n v="198737.19000000003"/>
    <s v="Transfer Through Net Banking"/>
    <m/>
    <x v="33"/>
    <m/>
    <s v="2019-2020"/>
    <s v="CHECKED"/>
  </r>
  <r>
    <x v="389"/>
    <d v="2020-03-06T00:00:00"/>
    <s v="   TO TRANSFER-INB SBI FUNDS MANAGEMENT PVT--"/>
    <s v="C1637875IGAIGEFDJ8               TRANSFER TO 10996"/>
    <n v="1500"/>
    <m/>
    <n v="197237.19000000003"/>
    <s v="Transfer Through Net Banking"/>
    <m/>
    <x v="33"/>
    <m/>
    <s v="2019-2020"/>
    <s v="CHECKED"/>
  </r>
  <r>
    <x v="389"/>
    <d v="2020-03-06T00:00:00"/>
    <s v="   TO TRANSFER-INB SBI FUNDS MANAGEMENT PVT--"/>
    <s v="C1637922IGAIGEFLT0               TRANSFER TO 10996"/>
    <n v="1500"/>
    <m/>
    <n v="195737.19000000003"/>
    <s v="Transfer Through Net Banking"/>
    <m/>
    <x v="33"/>
    <m/>
    <s v="2019-2020"/>
    <s v="CHECKED"/>
  </r>
  <r>
    <x v="389"/>
    <d v="2020-03-06T00:00:00"/>
    <s v="   TO TRANSFER-INB SBI FUNDS MANAGEMENT PVT--"/>
    <s v="C1637952IGAIGEFUS9               TRANSFER TO 10996"/>
    <n v="1500"/>
    <m/>
    <n v="194237.19000000003"/>
    <s v="Transfer Through Net Banking"/>
    <m/>
    <x v="33"/>
    <m/>
    <s v="2019-2020"/>
    <s v="CHECKED"/>
  </r>
  <r>
    <x v="389"/>
    <d v="2020-03-06T00:00:00"/>
    <s v="   by debit card-SBIPG RT8592639743FTMUTALFUND           MUMBAI--"/>
    <m/>
    <n v="2000"/>
    <m/>
    <n v="192237.19000000003"/>
    <s v="Transfer using Debit Card (ATM)"/>
    <s v="ATM card"/>
    <x v="33"/>
    <m/>
    <s v="2019-2020"/>
    <s v="CHECKED"/>
  </r>
  <r>
    <x v="389"/>
    <d v="2020-03-06T00:00:00"/>
    <s v="   by debit card-SBIPG RT8592651976UTIMF                 MUMBAI--"/>
    <m/>
    <n v="1500"/>
    <m/>
    <n v="190737.19000000003"/>
    <s v="Transfer using Debit Card (ATM)"/>
    <s v="ATM card"/>
    <x v="33"/>
    <m/>
    <s v="2019-2020"/>
    <s v="CHECKED"/>
  </r>
  <r>
    <x v="389"/>
    <d v="2020-03-06T00:00:00"/>
    <s v="   by debit card-SBIPG RT8592677388UTIMF                 MUMBAI--"/>
    <m/>
    <n v="1500"/>
    <m/>
    <n v="189237.19000000003"/>
    <s v="Transfer using Debit Card (ATM)"/>
    <s v="ATM card"/>
    <x v="33"/>
    <m/>
    <s v="2019-2020"/>
    <s v="CHECKED"/>
  </r>
  <r>
    <x v="390"/>
    <d v="2020-03-09T00:00:00"/>
    <s v="   TO TRANSFER-INB Billpay ~ Birla Sun Life Mutual Fund ~ Autopay--"/>
    <s v="IB62596807               TRANSFER TO 3199628162097"/>
    <n v="500"/>
    <m/>
    <n v="188737.19000000003"/>
    <s v="Transfer Through Net Banking"/>
    <m/>
    <x v="33"/>
    <m/>
    <s v="2019-2020"/>
    <s v="CHECKED"/>
  </r>
  <r>
    <x v="390"/>
    <d v="2020-03-09T00:00:00"/>
    <s v="   TO TRANSFER-INB National Pension System T--"/>
    <s v="1858777147416IGAIGUNSY0               TRANSFER TO "/>
    <n v="2000.71"/>
    <m/>
    <n v="186736.48000000004"/>
    <s v="Transfer Through Net Banking"/>
    <m/>
    <x v="166"/>
    <m/>
    <s v="2019-2020"/>
    <s v="CHECKED"/>
  </r>
  <r>
    <x v="390"/>
    <d v="2020-03-09T00:00:00"/>
    <s v="   by debit card-OTHPG 845378      ABSLAMC               Mumbai--"/>
    <m/>
    <n v="5000"/>
    <m/>
    <n v="181736.48000000004"/>
    <s v="Transfer using Debit Card (ATM)"/>
    <s v="ATM card"/>
    <x v="33"/>
    <m/>
    <s v="2019-2020"/>
    <s v="CHECKED"/>
  </r>
  <r>
    <x v="390"/>
    <d v="2020-03-09T00:00:00"/>
    <s v="   by debit card-OTHPG 845844      ABSLAMC               Mumbai--"/>
    <m/>
    <n v="5000"/>
    <m/>
    <n v="176736.48000000004"/>
    <s v="Transfer using Debit Card (ATM)"/>
    <s v="ATM card"/>
    <x v="33"/>
    <m/>
    <s v="2019-2020"/>
    <s v="CHECKED"/>
  </r>
  <r>
    <x v="390"/>
    <d v="2020-03-09T00:00:00"/>
    <s v="   by debit card-SBIPG ST8602467554UTIMF                 MUMBAI--"/>
    <m/>
    <n v="7500"/>
    <m/>
    <n v="169236.48000000004"/>
    <s v="Transfer using Debit Card (ATM)"/>
    <s v="ATM card"/>
    <x v="33"/>
    <m/>
    <s v="2019-2020"/>
    <s v="CHECKED"/>
  </r>
  <r>
    <x v="390"/>
    <d v="2020-03-09T00:00:00"/>
    <s v="   by debit card-SBIPG ST8602488851UTIMF                 MUMBAI--"/>
    <m/>
    <n v="8500"/>
    <m/>
    <n v="160736.48000000004"/>
    <s v="Transfer using Debit Card (ATM)"/>
    <s v="ATM card"/>
    <x v="33"/>
    <m/>
    <s v="2019-2020"/>
    <s v="CHECKED"/>
  </r>
  <r>
    <x v="390"/>
    <d v="2020-03-09T00:00:00"/>
    <s v="   by debit card-SBIPG ST8602512536UTIMF                 MUMBAI--"/>
    <m/>
    <n v="5000"/>
    <m/>
    <n v="155736.48000000004"/>
    <s v="Transfer using Debit Card (ATM)"/>
    <s v="ATM card"/>
    <x v="33"/>
    <m/>
    <s v="2019-2020"/>
    <s v="CHECKED"/>
  </r>
  <r>
    <x v="390"/>
    <d v="2020-03-09T00:00:00"/>
    <s v="   TO TRANSFER-INB SBI FUNDS MANAGEMENT PVT--"/>
    <s v="C1651835IGAIGURSP6               TRANSFER TO 10996"/>
    <n v="7500"/>
    <m/>
    <n v="148236.48000000004"/>
    <s v="Transfer Through Net Banking"/>
    <m/>
    <x v="33"/>
    <m/>
    <s v="2019-2020"/>
    <s v="CHECKED"/>
  </r>
  <r>
    <x v="390"/>
    <d v="2020-03-09T00:00:00"/>
    <s v="   TO TRANSFER-INB SBI FUNDS MANAGEMENT PVT--"/>
    <s v="C1651888IGAIGUSGK7               TRANSFER TO 10996"/>
    <n v="8500"/>
    <m/>
    <n v="139736.48000000004"/>
    <s v="Transfer Through Net Banking"/>
    <m/>
    <x v="33"/>
    <m/>
    <s v="2019-2020"/>
    <s v="CHECKED"/>
  </r>
  <r>
    <x v="390"/>
    <d v="2020-03-09T00:00:00"/>
    <s v="   TO TRANSFER-INB SBI FUNDS MANAGEMENT PVT--"/>
    <s v="C1651976IGAIGUSWU7               TRANSFER TO 10996"/>
    <n v="8000"/>
    <m/>
    <n v="131736.48000000004"/>
    <s v="Transfer Through Net Banking"/>
    <m/>
    <x v="33"/>
    <m/>
    <s v="2019-2020"/>
    <s v="CHECKED"/>
  </r>
  <r>
    <x v="390"/>
    <d v="2020-03-09T00:00:00"/>
    <s v="   by debit card-SBIPG ST8602544692FTMUTALFUND           MUMBAI--"/>
    <m/>
    <n v="5000"/>
    <m/>
    <n v="126736.48000000004"/>
    <s v="Transfer using Debit Card (ATM)"/>
    <s v="ATM card"/>
    <x v="33"/>
    <m/>
    <s v="2019-2020"/>
    <s v="CHECKED"/>
  </r>
  <r>
    <x v="390"/>
    <d v="2020-03-09T00:00:00"/>
    <s v="   by debit card-SBIPG ST8602634830TATAMF                MUMBAI--"/>
    <m/>
    <n v="5000"/>
    <m/>
    <n v="121736.48000000004"/>
    <s v="Transfer using Debit Card (ATM)"/>
    <s v="ATM card"/>
    <x v="0"/>
    <m/>
    <s v="2019-2020"/>
    <s v="CHECKED"/>
  </r>
  <r>
    <x v="391"/>
    <d v="2020-03-10T00:00:00"/>
    <s v="   BY TRANSFER-1712377320 HP615667 244361 0403 21BZ2SB--"/>
    <s v="TRANSFER FROM 4599401105213"/>
    <m/>
    <n v="241"/>
    <n v="121977.48000000004"/>
    <s v="Subsidy"/>
    <m/>
    <x v="6"/>
    <m/>
    <s v="2019-2020"/>
    <s v="CHECKED"/>
  </r>
  <r>
    <x v="391"/>
    <d v="2020-03-10T00:00:00"/>
    <s v="   TO TRANSFER-INB Godaddy India Domains and--"/>
    <s v="CCAHC2OYE410IGAIHACXM9               TRANSFER TO 4"/>
    <n v="1530.46"/>
    <m/>
    <n v="120447.02000000003"/>
    <s v="Transfer Through Net Banking"/>
    <m/>
    <x v="168"/>
    <m/>
    <s v="2019-2020"/>
    <s v="CHECKED"/>
  </r>
  <r>
    <x v="391"/>
    <d v="2020-03-10T00:00:00"/>
    <s v="   by debit card-OTHPG 546972      RELIANCEJIO           MUMBAI--"/>
    <m/>
    <n v="329"/>
    <m/>
    <n v="120118.02000000003"/>
    <s v="Mobile Recharge"/>
    <s v="ATM card"/>
    <x v="35"/>
    <m/>
    <s v="2019-2020"/>
    <s v="CHECKED"/>
  </r>
  <r>
    <x v="392"/>
    <d v="2020-03-12T00:00:00"/>
    <s v="   BY TRANSFER-1715487369 HP615667 244758 0503 21BZ2SB--"/>
    <s v="TRANSFER FROM 4599422105219"/>
    <m/>
    <n v="241"/>
    <n v="120359.02000000003"/>
    <s v="Subsidy"/>
    <m/>
    <x v="6"/>
    <m/>
    <s v="2019-2020"/>
    <s v="CHECKED"/>
  </r>
  <r>
    <x v="392"/>
    <d v="2020-03-12T00:00:00"/>
    <s v="   by debit card-OTHPG 135433      RAZ*ZERODHA BROKING LIBangalore--"/>
    <m/>
    <n v="200"/>
    <m/>
    <n v="120159.02000000003"/>
    <s v="Transfer using Debit Card (ATM)"/>
    <s v="ATM card"/>
    <x v="0"/>
    <m/>
    <s v="2019-2020"/>
    <s v="CHECKED"/>
  </r>
  <r>
    <x v="392"/>
    <d v="2020-03-12T00:00:00"/>
    <s v="   BY TRANSFER-INB IMPS007211406689/9986982020/XX3413/--"/>
    <s v="MAA000465734284          MAA000465734284          "/>
    <m/>
    <n v="1"/>
    <n v="120160.02000000003"/>
    <s v="unkown"/>
    <m/>
    <x v="126"/>
    <m/>
    <s v="2019-2020"/>
    <s v="CHECKED"/>
  </r>
  <r>
    <x v="392"/>
    <d v="2020-03-12T00:00:00"/>
    <s v="   by debit card-OTHPG 364023      XBCMFNPS              MUMBAI--"/>
    <m/>
    <n v="2000"/>
    <m/>
    <n v="118160.02000000003"/>
    <s v="Transfer using Debit Card (ATM)"/>
    <s v="ATM card"/>
    <x v="166"/>
    <m/>
    <s v="2019-2020"/>
    <s v="CHECKED"/>
  </r>
  <r>
    <x v="392"/>
    <d v="2020-03-12T00:00:00"/>
    <s v="   by debit card-SBIPG ST8612002365UTIMF                 MUMBAI--"/>
    <m/>
    <n v="5000"/>
    <m/>
    <n v="113160.02000000003"/>
    <s v="Transfer using Debit Card (ATM)"/>
    <s v="ATM card"/>
    <x v="33"/>
    <m/>
    <s v="2019-2020"/>
    <s v="CHECKED"/>
  </r>
  <r>
    <x v="392"/>
    <d v="2020-03-12T00:00:00"/>
    <s v="   by debit card-SBIPG ST8612017584UTIMF                 MUMBAI--"/>
    <m/>
    <n v="5000"/>
    <m/>
    <n v="108160.02000000003"/>
    <s v="Transfer using Debit Card (ATM)"/>
    <s v="ATM card"/>
    <x v="33"/>
    <m/>
    <s v="2019-2020"/>
    <s v="CHECKED"/>
  </r>
  <r>
    <x v="392"/>
    <d v="2020-03-12T00:00:00"/>
    <s v="   TO TRANSFER-INB SBI FUNDS MANAGEMENT PVT--"/>
    <s v="C1674513IGAIHIOFW2               TRANSFER TO 10996"/>
    <n v="5000"/>
    <m/>
    <n v="103160.02000000003"/>
    <s v="Transfer Through Net Banking"/>
    <m/>
    <x v="33"/>
    <m/>
    <s v="2019-2020"/>
    <s v="CHECKED"/>
  </r>
  <r>
    <x v="392"/>
    <d v="2020-03-12T00:00:00"/>
    <s v="   TO TRANSFER-INB SBI FUNDS MANAGEMENT PVT--"/>
    <s v="C1674572IGAIHIOLA1               TRANSFER TO 10996"/>
    <n v="1000"/>
    <m/>
    <n v="102160.02000000003"/>
    <s v="Transfer Through Net Banking"/>
    <m/>
    <x v="33"/>
    <m/>
    <s v="2019-2020"/>
    <s v="CHECKED"/>
  </r>
  <r>
    <x v="392"/>
    <d v="2020-03-12T00:00:00"/>
    <s v="   TO TRANSFER-INB SBI FUNDS MANAGEMENT PVT--"/>
    <s v="C1674630IGAIHIPEW7               TRANSFER TO 10996"/>
    <n v="1000"/>
    <m/>
    <n v="101160.02000000003"/>
    <s v="Transfer Through Net Banking"/>
    <m/>
    <x v="33"/>
    <m/>
    <s v="2019-2020"/>
    <s v="CHECKED"/>
  </r>
  <r>
    <x v="393"/>
    <d v="2020-03-14T00:00:00"/>
    <s v="   TO TRANSFER-UPI/DR/007433322490/RAM  KUMAR/SBIN/9782894204/Pay--"/>
    <s v="TRANSFER TO 5099755162093"/>
    <n v="20000"/>
    <m/>
    <n v="81160.020000000033"/>
    <s v="Transfer Through UPI App"/>
    <s v="Phone Pe App"/>
    <x v="60"/>
    <m/>
    <s v="2019-2020"/>
    <s v="CHECKED"/>
  </r>
  <r>
    <x v="394"/>
    <d v="2020-03-16T00:00:00"/>
    <s v="   TO TRANSFER-INB Billpay ~ Birla Sun Life Mutual Fund ~ Autopay--"/>
    <s v="IB62815146               TRANSFER TO 3199628162097"/>
    <n v="500"/>
    <m/>
    <n v="80660.020000000033"/>
    <s v="Transfer Through Net Banking"/>
    <m/>
    <x v="33"/>
    <m/>
    <s v="2019-2020"/>
    <s v="CHECKED"/>
  </r>
  <r>
    <x v="394"/>
    <d v="2020-03-16T00:00:00"/>
    <s v="   TO TRANSFER-INB National Pension System T--"/>
    <s v="8669445960810IGAIICOTL0               TRANSFER TO "/>
    <n v="1000.71"/>
    <m/>
    <n v="79659.310000000027"/>
    <s v="Transfer Through Net Banking"/>
    <m/>
    <x v="166"/>
    <m/>
    <s v="2019-2020"/>
    <s v="CHECKED"/>
  </r>
  <r>
    <x v="394"/>
    <d v="2020-03-16T00:00:00"/>
    <s v="   by debit card-OTHPG 304051      ABSLAMC               Mumbai--"/>
    <m/>
    <n v="1000"/>
    <m/>
    <n v="78659.310000000027"/>
    <s v="Transfer using Debit Card (ATM)"/>
    <s v="ATM card"/>
    <x v="33"/>
    <m/>
    <s v="2019-2020"/>
    <s v="CHECKED"/>
  </r>
  <r>
    <x v="394"/>
    <d v="2020-03-16T00:00:00"/>
    <s v="   by debit card-SBIPG ST8625045630FTMUTALFUND           MUMBAI--"/>
    <m/>
    <n v="2000"/>
    <m/>
    <n v="76659.310000000027"/>
    <s v="Transfer using Debit Card (ATM)"/>
    <s v="ATM card"/>
    <x v="33"/>
    <m/>
    <s v="2019-2020"/>
    <s v="CHECKED"/>
  </r>
  <r>
    <x v="394"/>
    <d v="2020-03-16T00:00:00"/>
    <s v="   TO TRANSFER-INB SBI FUNDS MANAGEMENT PVT--"/>
    <s v="C1706598IGAIICQMZ1               TRANSFER TO 10996"/>
    <n v="2000"/>
    <m/>
    <n v="74659.310000000027"/>
    <s v="Transfer Through Net Banking"/>
    <m/>
    <x v="33"/>
    <m/>
    <s v="2019-2020"/>
    <s v="CHECKED"/>
  </r>
  <r>
    <x v="394"/>
    <d v="2020-03-16T00:00:00"/>
    <s v="   TO TRANSFER-INB SBI FUNDS MANAGEMENT PVT--"/>
    <s v="C1706665IGAIICQSV8               TRANSFER TO 10996"/>
    <n v="2000"/>
    <m/>
    <n v="72659.310000000027"/>
    <s v="Transfer Through Net Banking"/>
    <m/>
    <x v="33"/>
    <m/>
    <s v="2019-2020"/>
    <s v="CHECKED"/>
  </r>
  <r>
    <x v="394"/>
    <d v="2020-03-16T00:00:00"/>
    <s v="   by debit card-SBIPG ST8625091528UTIMF                 MUMBAI--"/>
    <m/>
    <n v="2000"/>
    <m/>
    <n v="70659.310000000027"/>
    <s v="Transfer using Debit Card (ATM)"/>
    <s v="ATM card"/>
    <x v="33"/>
    <m/>
    <s v="2019-2020"/>
    <s v="CHECKED"/>
  </r>
  <r>
    <x v="395"/>
    <d v="2020-03-19T00:00:00"/>
    <s v="   ATM WDL-ATM CASH 7662  SBBJ TIBBI            HANUMANGARH--"/>
    <m/>
    <n v="20000"/>
    <m/>
    <n v="50659.310000000027"/>
    <s v="Cash Withdrwal"/>
    <m/>
    <x v="15"/>
    <m/>
    <s v="2019-2020"/>
    <s v="CHECKED"/>
  </r>
  <r>
    <x v="396"/>
    <d v="2020-03-20T00:00:00"/>
    <s v="   BY TRANSFER-INB IMPS008007436029/9986982020/XX3413/--"/>
    <s v="MAB000458578254          MAB000458578254          "/>
    <m/>
    <n v="1"/>
    <n v="50660.310000000027"/>
    <s v="unkown"/>
    <m/>
    <x v="169"/>
    <m/>
    <s v="2019-2020"/>
    <s v="CHECKED"/>
  </r>
  <r>
    <x v="396"/>
    <d v="2020-03-20T00:00:00"/>
    <s v="   TO TRANSFER-INB Billpay ~ UTI Mutual Fund ~ Autopay--"/>
    <s v="IB62964234               TRANSFER TO 3199640162090"/>
    <n v="500"/>
    <m/>
    <n v="50160.310000000027"/>
    <s v="Transfer Through Net Banking"/>
    <m/>
    <x v="33"/>
    <m/>
    <s v="2019-2020"/>
    <s v="CHECKED"/>
  </r>
  <r>
    <x v="396"/>
    <d v="2020-03-20T00:00:00"/>
    <s v="   TO TRANSFER-INB Billpay ~ UTI Mutual Fund ~ Autopay--"/>
    <s v="IB62964492               TRANSFER TO 3199639162094"/>
    <n v="500"/>
    <m/>
    <n v="49660.310000000027"/>
    <s v="Transfer Through Net Banking"/>
    <m/>
    <x v="33"/>
    <m/>
    <s v="2019-2020"/>
    <s v="CHECKED"/>
  </r>
  <r>
    <x v="396"/>
    <d v="2020-03-20T00:00:00"/>
    <s v="   TO TRANSFER-INB Billpay ~ SBI Mutual Fund ~ Autopay--"/>
    <s v="IB62972929               TRANSFER TO 3199639162094"/>
    <n v="500"/>
    <m/>
    <n v="49160.310000000027"/>
    <s v="Transfer Through Net Banking"/>
    <m/>
    <x v="33"/>
    <m/>
    <s v="2019-2020"/>
    <s v="CHECKED"/>
  </r>
  <r>
    <x v="396"/>
    <d v="2020-03-20T00:00:00"/>
    <s v="   TO TRANSFER-INB Billpay ~ SBI Mutual Fund ~ Autopay--"/>
    <s v="IB62979076               TRANSFER TO 3199640162090"/>
    <n v="500"/>
    <m/>
    <n v="48660.310000000027"/>
    <s v="Transfer Through Net Banking"/>
    <m/>
    <x v="33"/>
    <m/>
    <s v="2019-2020"/>
    <s v="CHECKED"/>
  </r>
  <r>
    <x v="397"/>
    <d v="2020-03-23T00:00:00"/>
    <s v="   TO TRANSFER-INB Billpay ~ Birla Sun Life Mutual Fund ~ Autopay--"/>
    <s v="IB63018105               TRANSFER TO 3199628162097"/>
    <n v="500"/>
    <m/>
    <n v="48160.310000000027"/>
    <s v="Transfer Through Net Banking"/>
    <m/>
    <x v="33"/>
    <m/>
    <s v="2019-2020"/>
    <s v="CHECKED"/>
  </r>
  <r>
    <x v="398"/>
    <d v="2020-03-25T00:00:00"/>
    <s v="   CREDIT INTEREST---"/>
    <m/>
    <m/>
    <n v="1190"/>
    <n v="49350.310000000027"/>
    <s v="Credit Interest"/>
    <m/>
    <x v="0"/>
    <m/>
    <s v="2019-2020"/>
    <s v="CHECKED"/>
  </r>
  <r>
    <x v="399"/>
    <d v="2020-03-26T00:00:00"/>
    <s v="   TO TRANSFER-INB Billpay ~ SBI Mutual Fund ~ Autopay--"/>
    <s v="IB63112798               TRANSFER TO 3199637162096"/>
    <n v="500"/>
    <m/>
    <n v="48850.310000000027"/>
    <s v="Transfer Through Net Banking"/>
    <m/>
    <x v="33"/>
    <m/>
    <s v="2019-2020"/>
    <s v="CHECKED"/>
  </r>
  <r>
    <x v="400"/>
    <d v="2020-03-30T00:00:00"/>
    <s v="   TO TRANSFER-INB Billpay ~ Birla Sun Life Mutual Fund ~ Autopay--"/>
    <s v="IB63181876               TRANSFER TO 3199628162097"/>
    <n v="500"/>
    <m/>
    <n v="48350.310000000027"/>
    <s v="Transfer Through Net Banking"/>
    <m/>
    <x v="33"/>
    <m/>
    <s v="2019-2020"/>
    <s v="CHECKED"/>
  </r>
  <r>
    <x v="401"/>
    <d v="2020-04-02T00:00:00"/>
    <s v="   TO TRANSFER-UPI/DR/009312831524/Zerodha /HDFC/zerodhabro/Coin--"/>
    <s v="TRANSFER TO 5097825162090"/>
    <n v="2000"/>
    <m/>
    <n v="46350.310000000027"/>
    <s v="Transfer Through UPI App"/>
    <s v="Google Pay App"/>
    <x v="33"/>
    <m/>
    <s v="2020-2021"/>
    <s v="CHECKED"/>
  </r>
  <r>
    <x v="401"/>
    <d v="2020-04-02T00:00:00"/>
    <s v="   TO TRANSFER-UPI/DR/009312869262/Zerodha /HDFC/zerodhabro/Coin--"/>
    <s v="TRANSFER TO 4898741162092"/>
    <n v="5000"/>
    <m/>
    <n v="41350.310000000027"/>
    <s v="Transfer Through UPI App"/>
    <s v="Google Pay App"/>
    <x v="33"/>
    <m/>
    <s v="2020-2021"/>
    <s v="CHECKED"/>
  </r>
  <r>
    <x v="401"/>
    <d v="2020-04-02T00:00:00"/>
    <s v="   TO TRANSFER-INB ppf--"/>
    <s v="IF23244434               TRANSFER TO 32500545461  "/>
    <n v="2600"/>
    <m/>
    <n v="38750.310000000027"/>
    <s v="PPF"/>
    <m/>
    <x v="0"/>
    <m/>
    <s v="2020-2021"/>
    <s v="CHECKED"/>
  </r>
  <r>
    <x v="402"/>
    <d v="2020-04-07T00:00:00"/>
    <s v="   TO TRANSFER-INB Billpay ~ Birla Sun Life Mutual Fund ~ Autopay--"/>
    <s v="IB63387842               TRANSFER TO 3199631162092"/>
    <n v="500"/>
    <m/>
    <n v="38250.310000000027"/>
    <s v="Transfer Through Net Banking"/>
    <m/>
    <x v="33"/>
    <m/>
    <s v="2020-2021"/>
    <s v="CHECKED"/>
  </r>
  <r>
    <x v="403"/>
    <d v="2020-04-08T00:00:00"/>
    <s v="   BY TRANSFER-NEFT*RBIS0GORJEP*RBI1002069630216*TREASURY OFFICE--"/>
    <s v="TRANSFER FROM 3199680044308"/>
    <m/>
    <n v="22557"/>
    <n v="60807.310000000027"/>
    <s v="Salary"/>
    <m/>
    <x v="0"/>
    <m/>
    <s v="2020-2021"/>
    <s v="CHECKED"/>
  </r>
  <r>
    <x v="404"/>
    <d v="2020-04-13T00:00:00"/>
    <s v="   TO TRANSFER-INB Billpay ~ Birla Sun Life Mutual Fund ~ Autopay--"/>
    <s v="IB63625829               TRANSFER TO 3199628162097"/>
    <n v="500"/>
    <m/>
    <n v="60307.310000000027"/>
    <s v="Transfer Through Net Banking"/>
    <m/>
    <x v="33"/>
    <m/>
    <s v="2020-2021"/>
    <s v="CHECKED"/>
  </r>
  <r>
    <x v="404"/>
    <d v="2020-04-13T00:00:00"/>
    <s v="   by debit card-SBIPG 010450035241Dish TV PayTM         Mumbai--"/>
    <m/>
    <n v="272"/>
    <m/>
    <n v="60035.310000000027"/>
    <s v="Transfer using Debit Card (ATM)"/>
    <s v="ATM card"/>
    <x v="0"/>
    <m/>
    <s v="2020-2021"/>
    <s v="CHECKED"/>
  </r>
  <r>
    <x v="405"/>
    <d v="2020-04-16T00:00:00"/>
    <s v="   TO TRANSFER-UPI/DR/010712901773/Zerodha /HDFC/zerodhabro/Coin--"/>
    <s v="TRANSFER TO 5097793162093"/>
    <n v="15000"/>
    <m/>
    <n v="45035.310000000027"/>
    <s v="Transfer Through UPI App"/>
    <s v="Google Pay App"/>
    <x v="33"/>
    <m/>
    <s v="2020-2021"/>
    <s v="CHECKED"/>
  </r>
  <r>
    <x v="405"/>
    <d v="2020-04-16T00:00:00"/>
    <s v="   by debit card-SBIPG ST8713875929UTIMF                 MUMBAI--"/>
    <m/>
    <n v="1000"/>
    <m/>
    <n v="44035.310000000027"/>
    <s v="Transfer Through UPI App"/>
    <s v="Google Pay App"/>
    <x v="33"/>
    <m/>
    <s v="2020-2021"/>
    <s v="CHECKED"/>
  </r>
  <r>
    <x v="406"/>
    <d v="2020-04-18T00:00:00"/>
    <s v="   BY TRANSFER-UPI/CR/010917776539/RAM KUMA/SBIN/mr.ram.sai/Ok--"/>
    <s v="TRANSFER FROM 5099242162096"/>
    <m/>
    <n v="10000"/>
    <n v="54035.310000000027"/>
    <s v="Received Through UPI App"/>
    <s v="Phone Pe App"/>
    <x v="0"/>
    <m/>
    <s v="2020-2021"/>
    <s v="CHECKED"/>
  </r>
  <r>
    <x v="407"/>
    <d v="2020-04-20T00:00:00"/>
    <s v="   TO TRANSFER-INB Billpay ~ Birla Sun Life Mutual Fund ~ Autopay--"/>
    <s v="IB63816895               TRANSFER TO 3199627162098"/>
    <n v="500"/>
    <m/>
    <n v="53535.310000000027"/>
    <s v="Transfer Through Net Banking"/>
    <m/>
    <x v="33"/>
    <m/>
    <s v="2020-2021"/>
    <s v="CHECKED"/>
  </r>
  <r>
    <x v="407"/>
    <d v="2020-04-20T00:00:00"/>
    <s v="   TO TRANSFER-INB Billpay ~ SBI Mutual Fund ~ Autopay--"/>
    <s v="IB63822044               TRANSFER TO 3199628162097"/>
    <n v="500"/>
    <m/>
    <n v="53035.310000000027"/>
    <s v="Transfer Through Net Banking"/>
    <m/>
    <x v="33"/>
    <m/>
    <s v="2020-2021"/>
    <s v="CHECKED"/>
  </r>
  <r>
    <x v="407"/>
    <d v="2020-04-20T00:00:00"/>
    <s v="   TO TRANSFER-INB Billpay ~ UTI Mutual Fund ~ Autopay--"/>
    <s v="IB63823011               TRANSFER TO 3199627162098"/>
    <n v="500"/>
    <m/>
    <n v="52535.310000000027"/>
    <s v="Transfer Through Net Banking"/>
    <m/>
    <x v="33"/>
    <m/>
    <s v="2020-2021"/>
    <s v="CHECKED"/>
  </r>
  <r>
    <x v="407"/>
    <d v="2020-04-20T00:00:00"/>
    <s v="   TO TRANSFER-INB Billpay ~ UTI Mutual Fund ~ Autopay--"/>
    <s v="IB63823070               TRANSFER TO 3199627162098"/>
    <n v="500"/>
    <m/>
    <n v="52035.310000000027"/>
    <s v="Transfer Through Net Banking"/>
    <m/>
    <x v="33"/>
    <m/>
    <s v="2020-2021"/>
    <s v="CHECKED"/>
  </r>
  <r>
    <x v="407"/>
    <d v="2020-04-20T00:00:00"/>
    <s v="   TO TRANSFER-INB Billpay ~ SBI Mutual Fund ~ Autopay--"/>
    <s v="IB63824534               TRANSFER TO 3199628162097"/>
    <n v="500"/>
    <m/>
    <n v="51535.310000000027"/>
    <s v="Transfer Through Net Banking"/>
    <m/>
    <x v="33"/>
    <m/>
    <s v="2020-2021"/>
    <s v="CHECKED"/>
  </r>
  <r>
    <x v="408"/>
    <d v="2020-04-21T00:00:00"/>
    <s v="   TO TRANSFER-UPI/DR/011211028303/Zerodha /HDFC/zerodhabro/Coin--"/>
    <s v="TRANSFER TO 5097598162095"/>
    <n v="9000"/>
    <m/>
    <n v="42535.310000000027"/>
    <s v="Transfer Through UPI App"/>
    <s v="Google Pay App"/>
    <x v="33"/>
    <m/>
    <s v="2020-2021"/>
    <s v="CHECKED"/>
  </r>
  <r>
    <x v="408"/>
    <d v="2020-04-21T00:00:00"/>
    <s v="   by debit card-SBIPG ST8727253625UTIMF                 MUMBAI--"/>
    <m/>
    <n v="1000"/>
    <m/>
    <n v="41535.310000000027"/>
    <s v="Transfer Through Net Banking"/>
    <m/>
    <x v="33"/>
    <m/>
    <s v="2020-2021"/>
    <s v="CHECKED"/>
  </r>
  <r>
    <x v="409"/>
    <d v="2020-04-27T00:00:00"/>
    <s v="   TO TRANSFER-INB Billpay ~ Birla Sun Life Mutual Fund ~ Autopay--"/>
    <s v="IB64000830               TRANSFER TO 3199627162098"/>
    <n v="500"/>
    <m/>
    <n v="41035.310000000027"/>
    <s v="Transfer Through Net Banking"/>
    <m/>
    <x v="33"/>
    <m/>
    <s v="2020-2021"/>
    <s v="CHECKED"/>
  </r>
  <r>
    <x v="409"/>
    <d v="2020-04-27T00:00:00"/>
    <s v="   TO TRANSFER-INB Billpay ~ SBI Mutual Fund ~ Autopay--"/>
    <s v="IB64016671               TRANSFER TO 3199627162098"/>
    <n v="500"/>
    <m/>
    <n v="40535.310000000027"/>
    <s v="Transfer Through Net Banking"/>
    <m/>
    <x v="33"/>
    <m/>
    <s v="2020-2021"/>
    <s v="CHECKED"/>
  </r>
  <r>
    <x v="409"/>
    <d v="2020-04-27T00:00:00"/>
    <s v="   TO TRANSFER-UPI/DR/011813023486/ARVIND K/ORBC/7665409187/Payme--"/>
    <s v="TRANSFER TO 4898813162092"/>
    <n v="482"/>
    <m/>
    <n v="40053.310000000027"/>
    <s v="Received Through UPI App"/>
    <s v="Phone Pe App"/>
    <x v="50"/>
    <m/>
    <s v="2020-2021"/>
    <s v="CHECKED"/>
  </r>
  <r>
    <x v="410"/>
    <d v="2020-04-28T00:00:00"/>
    <s v="   TO TRANSFER-UPI/DR/011940350729/Zerodha /HDFC/zerodhabro/On ta--"/>
    <s v="TRANSFER TO 5097636162095"/>
    <n v="15000"/>
    <m/>
    <n v="25053.310000000027"/>
    <s v="Transfer Through UPI App"/>
    <s v="Google Pay App"/>
    <x v="33"/>
    <m/>
    <s v="2020-2021"/>
    <s v="CHECKED"/>
  </r>
  <r>
    <x v="411"/>
    <d v="2020-04-29T00:00:00"/>
    <s v="   TO TRANSFER-UPI/DR/012030368922/VODAFONE/HSBC/vilprepaid/On ta--"/>
    <s v="TRANSFER TO 5097716162095"/>
    <n v="49"/>
    <m/>
    <n v="25004.310000000027"/>
    <s v="Mobile Recharge"/>
    <m/>
    <x v="161"/>
    <m/>
    <s v="2020-2021"/>
    <s v="CHECKED"/>
  </r>
  <r>
    <x v="412"/>
    <d v="2020-05-04T00:00:00"/>
    <s v="   TO TRANSFER-INB ZERODHA--"/>
    <s v="300081571395IGAIOCZDC3               TRANSFER TO 4"/>
    <n v="10000"/>
    <m/>
    <n v="15004.310000000027"/>
    <s v="Transfer Through Net Banking"/>
    <m/>
    <x v="33"/>
    <m/>
    <s v="2020-2021"/>
    <s v="CHECKED"/>
  </r>
  <r>
    <x v="412"/>
    <d v="2020-05-04T00:00:00"/>
    <s v="   TO TRANSFER-INB Billpay ~ Birla Sun Life Mutual Fund ~ Autopay--"/>
    <s v="IB64221938               TRANSFER TO 3199628162097"/>
    <n v="500"/>
    <m/>
    <n v="14504.310000000027"/>
    <s v="Transfer Through Net Banking"/>
    <m/>
    <x v="33"/>
    <m/>
    <s v="2020-2021"/>
    <s v="CHECKED"/>
  </r>
  <r>
    <x v="412"/>
    <d v="2020-05-04T00:00:00"/>
    <s v="   BY TRANSFER-NEFT*RBIS0GORJEP*RBI1262091218339*TREASURY OFFICE--"/>
    <s v="TRANSFER FROM 3199678044303"/>
    <m/>
    <n v="1372"/>
    <n v="15876.310000000027"/>
    <s v="Salary"/>
    <m/>
    <x v="12"/>
    <s v="DA Arrer"/>
    <s v="2020-2021"/>
    <s v="CHECKED"/>
  </r>
  <r>
    <x v="412"/>
    <d v="2020-05-04T00:00:00"/>
    <s v="   BY TRANSFER-NEFT*RBIS0GORJEP*RBI1262091218335*TREASURY OFFICE--"/>
    <s v="TRANSFER FROM 3199676044305"/>
    <m/>
    <n v="1372"/>
    <n v="17248.310000000027"/>
    <s v="Salary"/>
    <m/>
    <x v="12"/>
    <s v="DA Arrer"/>
    <s v="2020-2021"/>
    <s v="CHECKED"/>
  </r>
  <r>
    <x v="412"/>
    <d v="2020-05-04T00:00:00"/>
    <s v="   BY TRANSFER-NEFT*RBIS0GORJEP*RBI1262091218342*TREASURY OFFICE--"/>
    <s v="TRANSFER FROM 3199964044308"/>
    <m/>
    <n v="1372"/>
    <n v="18620.310000000027"/>
    <s v="Salary"/>
    <m/>
    <x v="12"/>
    <s v="DA Arrer"/>
    <s v="2020-2021"/>
    <s v="CHECKED"/>
  </r>
  <r>
    <x v="412"/>
    <d v="2020-05-04T00:00:00"/>
    <s v="   BY TRANSFER-NEFT*RBIS0GORJEP*RBI1262091218341*TREASURY OFFICE--"/>
    <s v="TRANSFER FROM 3199679044302"/>
    <m/>
    <n v="1372"/>
    <n v="19992.310000000027"/>
    <s v="Salary"/>
    <m/>
    <x v="12"/>
    <s v="DA Arrer"/>
    <s v="2020-2021"/>
    <s v="CHECKED"/>
  </r>
  <r>
    <x v="412"/>
    <d v="2020-05-04T00:00:00"/>
    <s v="   BY TRANSFER-NEFT*RBIS0GORJEP*RBI1262091218337*TREASURY OFFICE--"/>
    <s v="TRANSFER FROM 3199677044304"/>
    <m/>
    <n v="1372"/>
    <n v="21364.310000000027"/>
    <s v="Salary"/>
    <m/>
    <x v="12"/>
    <s v="DA Arrer"/>
    <s v="2020-2021"/>
    <s v="CHECKED"/>
  </r>
  <r>
    <x v="412"/>
    <d v="2020-05-04T00:00:00"/>
    <s v="   BY TRANSFER-NEFT*RBIS0GORJEP*RBI1262091218344*TREASURY OFFICE--"/>
    <s v="TRANSFER FROM 3199965044307"/>
    <m/>
    <n v="1372"/>
    <n v="22736.310000000027"/>
    <s v="Salary"/>
    <m/>
    <x v="12"/>
    <s v="DA Arrer"/>
    <s v="2020-2021"/>
    <s v="CHECKED"/>
  </r>
  <r>
    <x v="412"/>
    <d v="2020-05-04T00:00:00"/>
    <s v="   BY TRANSFER-NEFT*RBIS0GORJEP*RBI1262091218329*TREASURY OFFICE--"/>
    <s v="TRANSFER FROM 3199966044306"/>
    <m/>
    <n v="1372"/>
    <n v="24108.310000000027"/>
    <s v="Salary"/>
    <m/>
    <x v="12"/>
    <s v="DA Arrer"/>
    <s v="2020-2021"/>
    <s v="CHECKED"/>
  </r>
  <r>
    <x v="412"/>
    <d v="2020-05-04T00:00:00"/>
    <s v="   BY TRANSFER-NEFT*RBIS0GORJEP*RBI1262091218345*TREASURY OFFICE--"/>
    <s v="TRANSFER FROM 3199678044303"/>
    <m/>
    <n v="1372"/>
    <n v="25480.310000000027"/>
    <s v="Salary"/>
    <m/>
    <x v="12"/>
    <s v="DA Arrer"/>
    <s v="2020-2021"/>
    <s v="CHECKED"/>
  </r>
  <r>
    <x v="413"/>
    <d v="2020-05-05T00:00:00"/>
    <s v="   BY TRANSFER-NEFT*RBIS0GORJEP*RBI1272092175255*TREASURY OFFICE--"/>
    <s v="TRANSFER FROM 3199680044308"/>
    <m/>
    <n v="29336"/>
    <n v="54816.310000000027"/>
    <s v="Salary"/>
    <m/>
    <x v="0"/>
    <m/>
    <s v="2020-2021"/>
    <s v="CHECKED"/>
  </r>
  <r>
    <x v="414"/>
    <d v="2020-05-06T00:00:00"/>
    <s v="   BY TRANSFER-UPI/CR/012720324790/RAM  KUMAR/SBIN/9782894204/Pay--"/>
    <s v="TRANSFER FROM 5099013162098"/>
    <m/>
    <n v="10000"/>
    <n v="64816.310000000027"/>
    <s v="Received Through UPI App"/>
    <s v="Phone Pe App"/>
    <x v="0"/>
    <m/>
    <s v="2020-2021"/>
    <s v="CHECKED"/>
  </r>
  <r>
    <x v="415"/>
    <d v="2020-05-08T00:00:00"/>
    <s v="   BY TRANSFER-1795714725 HP615667 262738 2604 21BZ2SB--"/>
    <s v="TRANSFER FROM 4599402105212"/>
    <m/>
    <n v="171.95"/>
    <n v="64988.260000000024"/>
    <s v="Subsidy"/>
    <m/>
    <x v="6"/>
    <m/>
    <s v="2020-2021"/>
    <s v="CHECKED"/>
  </r>
  <r>
    <x v="416"/>
    <d v="2020-05-11T00:00:00"/>
    <s v="   TO TRANSFER-UPI/DR/013208030411/PhonePe/YESB/BILLDESKPP/Paymen--"/>
    <s v="TRANSFER TO 4898277162099"/>
    <n v="1430"/>
    <m/>
    <n v="63558.260000000024"/>
    <s v="Electricity Bill"/>
    <s v="Phone Pe App"/>
    <x v="36"/>
    <m/>
    <s v="2020-2021"/>
    <s v="CHECKED"/>
  </r>
  <r>
    <x v="416"/>
    <d v="2020-05-11T00:00:00"/>
    <s v="   TO TRANSFER-UPI/DR/013209315633/Zerodha /HDFC/zerodhabro/Coin--"/>
    <s v="TRANSFER TO 5097515162093"/>
    <n v="11000"/>
    <m/>
    <n v="52558.260000000024"/>
    <s v="Transfer Through UPI App"/>
    <s v="Google Pay App"/>
    <x v="33"/>
    <m/>
    <s v="2020-2021"/>
    <s v="CHECKED"/>
  </r>
  <r>
    <x v="416"/>
    <d v="2020-05-11T00:00:00"/>
    <s v="   TO TRANSFER-INB Billpay ~ Birla Sun Life Mutual Fund ~ Autopay--"/>
    <s v="IB64436131               TRANSFER TO 3199628162097"/>
    <n v="500"/>
    <m/>
    <n v="52058.260000000024"/>
    <s v="Transfer Through Net Banking"/>
    <m/>
    <x v="33"/>
    <m/>
    <s v="2020-2021"/>
    <s v="CHECKED"/>
  </r>
  <r>
    <x v="417"/>
    <d v="2020-05-12T00:00:00"/>
    <s v="   TO TRANSFER-UPI/DR/013309364967/SBI FUND/HDFC/sbifundsma/SBIMF--"/>
    <s v="TRANSFER TO 5097621162092"/>
    <n v="1000"/>
    <m/>
    <n v="51058.260000000024"/>
    <s v="Transfer Through Net Banking"/>
    <m/>
    <x v="33"/>
    <m/>
    <s v="2020-2021"/>
    <s v="CHECKED"/>
  </r>
  <r>
    <x v="417"/>
    <d v="2020-05-12T00:00:00"/>
    <s v="   TO TRANSFER-UPI/DR/013309375088/SBI FUND/HDFC/sbifundsma/SBIMF--"/>
    <s v="TRANSFER TO 5097625162098"/>
    <n v="1000"/>
    <m/>
    <n v="50058.260000000024"/>
    <s v="Transfer Through Net Banking"/>
    <m/>
    <x v="33"/>
    <m/>
    <s v="2020-2021"/>
    <s v="CHECKED"/>
  </r>
  <r>
    <x v="417"/>
    <d v="2020-05-12T00:00:00"/>
    <s v="   by debit card-SBIPG ST8787837090UTIMF                 MUMBAI--"/>
    <m/>
    <n v="1000"/>
    <m/>
    <n v="49058.260000000024"/>
    <s v="Transfer Through Net Banking"/>
    <m/>
    <x v="33"/>
    <m/>
    <s v="2020-2021"/>
    <s v="CHECKED"/>
  </r>
  <r>
    <x v="418"/>
    <d v="2020-05-15T00:00:00"/>
    <s v="   TO TRANSFER-UPI/DR/013610749235/Zerodha /HDFC/zerodhabro/Coin--"/>
    <s v="TRANSFER TO 5097911162093"/>
    <n v="15000"/>
    <m/>
    <n v="34058.260000000024"/>
    <s v="Transfer Through UPI App"/>
    <s v="Google Pay App"/>
    <x v="33"/>
    <m/>
    <s v="2020-2021"/>
    <s v="CHECKED"/>
  </r>
  <r>
    <x v="419"/>
    <d v="2020-05-16T00:00:00"/>
    <s v="   TO TRANSFER-UPI/DR/013714144809/SHARWAN /ORBC/sharvanfri/Friz--"/>
    <s v="TRANSFER TO 5099719162097"/>
    <n v="3700"/>
    <m/>
    <n v="30358.260000000024"/>
    <s v="Transfer Through UPI App"/>
    <s v="Google Pay App"/>
    <x v="170"/>
    <m/>
    <s v="2020-2021"/>
    <s v="6. pending to check with daily expenses sheet"/>
  </r>
  <r>
    <x v="420"/>
    <d v="2020-05-18T00:00:00"/>
    <s v="   TO TRANSFER-INB Billpay ~ Birla Sun Life Mutual Fund ~ Autopay--"/>
    <s v="IB64660246               TRANSFER TO 3199627162098"/>
    <n v="500"/>
    <m/>
    <n v="29858.260000000024"/>
    <s v="Transfer Through Net Banking"/>
    <m/>
    <x v="33"/>
    <m/>
    <s v="2020-2021"/>
    <s v="CHECKED"/>
  </r>
  <r>
    <x v="421"/>
    <d v="2020-05-19T00:00:00"/>
    <s v="   by debit card-SBIPG ST8809410453UTIMF                 MUMBAI--"/>
    <m/>
    <n v="1000"/>
    <m/>
    <n v="28858.260000000024"/>
    <s v="Transfer Through Net Banking"/>
    <m/>
    <x v="33"/>
    <m/>
    <s v="2020-2021"/>
    <s v="CHECKED"/>
  </r>
  <r>
    <x v="422"/>
    <d v="2020-05-20T00:00:00"/>
    <s v="   TO TRANSFER-INB Billpay ~ UTI Mutual Fund ~ Autopay--"/>
    <s v="IB64717011               TRANSFER TO 3199634162099"/>
    <n v="500"/>
    <m/>
    <n v="28358.260000000024"/>
    <s v="Transfer Through Net Banking"/>
    <m/>
    <x v="33"/>
    <m/>
    <s v="2020-2021"/>
    <s v="CHECKED"/>
  </r>
  <r>
    <x v="422"/>
    <d v="2020-05-20T00:00:00"/>
    <s v="   TO TRANSFER-INB Billpay ~ UTI Mutual Fund ~ Autopay--"/>
    <s v="IB64717237               TRANSFER TO 3199634162099"/>
    <n v="500"/>
    <m/>
    <n v="27858.260000000024"/>
    <s v="Transfer Through Net Banking"/>
    <m/>
    <x v="33"/>
    <m/>
    <s v="2020-2021"/>
    <s v="CHECKED"/>
  </r>
  <r>
    <x v="422"/>
    <d v="2020-05-20T00:00:00"/>
    <s v="   TO TRANSFER-INB Billpay ~ SBI Mutual Fund ~ Autopay--"/>
    <s v="IB64726129               TRANSFER TO 3199634162099"/>
    <n v="500"/>
    <m/>
    <n v="27358.260000000024"/>
    <s v="Transfer Through Net Banking"/>
    <m/>
    <x v="33"/>
    <m/>
    <s v="2020-2021"/>
    <s v="CHECKED"/>
  </r>
  <r>
    <x v="422"/>
    <d v="2020-05-20T00:00:00"/>
    <s v="   TO TRANSFER-INB Billpay ~ SBI Mutual Fund ~ Autopay--"/>
    <s v="IB64729839               TRANSFER TO 3199634162099"/>
    <n v="500"/>
    <m/>
    <n v="26858.260000000024"/>
    <s v="Transfer Through Net Banking"/>
    <m/>
    <x v="33"/>
    <m/>
    <s v="2020-2021"/>
    <s v="CHECKED"/>
  </r>
  <r>
    <x v="423"/>
    <d v="2020-05-22T00:00:00"/>
    <s v="   TO TRANSFER-UPI/DR/014311107033/Zerodha /HDFC/zerodhabro/Coin--"/>
    <s v="TRANSFER TO 5097897162095"/>
    <n v="5000"/>
    <m/>
    <n v="21858.260000000024"/>
    <s v="Transfer Through UPI App"/>
    <s v="Google Pay App"/>
    <x v="33"/>
    <m/>
    <s v="2020-2021"/>
    <s v="CHECKED"/>
  </r>
  <r>
    <x v="423"/>
    <d v="2020-05-22T00:00:00"/>
    <s v="   BY TRANSFER-UPI/CR/014311807281/GOOGLEPAY/UTIB/goog-payme/Rewa--"/>
    <s v="TRANSFER FROM 5099167162092"/>
    <m/>
    <n v="5"/>
    <n v="21863.260000000024"/>
    <s v="Earning From UPI App"/>
    <s v="Google Pay App"/>
    <x v="125"/>
    <m/>
    <s v="2020-2021"/>
    <s v="CHECKED"/>
  </r>
  <r>
    <x v="424"/>
    <d v="2020-05-25T00:00:00"/>
    <s v="   TO TRANSFER-INB Billpay ~ Birla Sun Life Mutual Fund ~ Autopay--"/>
    <s v="IB64829033               TRANSFER TO 3199627162098"/>
    <n v="500"/>
    <m/>
    <n v="21363.260000000024"/>
    <s v="Transfer Through Net Banking"/>
    <m/>
    <x v="33"/>
    <m/>
    <s v="2020-2021"/>
    <s v="CHECKED"/>
  </r>
  <r>
    <x v="425"/>
    <d v="2020-05-27T00:00:00"/>
    <s v="   TO TRANSFER-INB Billpay ~ SBI Mutual Fund ~ Autopay--"/>
    <s v="IB64878955               TRANSFER TO 3199634162099"/>
    <n v="500"/>
    <m/>
    <n v="20863.260000000024"/>
    <s v="Transfer Through Net Banking"/>
    <m/>
    <x v="33"/>
    <m/>
    <s v="2020-2021"/>
    <s v="CHECKED"/>
  </r>
  <r>
    <x v="426"/>
    <d v="2020-06-01T00:00:00"/>
    <s v="   BY TRANSFER-NEFT*RBIS0GORJEP*RBI1542015282860*TREASURY OFFICE--"/>
    <s v="TRANSFER FROM 3199970044309"/>
    <m/>
    <n v="24556"/>
    <n v="45419.260000000024"/>
    <s v="Salary"/>
    <m/>
    <x v="0"/>
    <m/>
    <s v="2020-2021"/>
    <s v="CHECKED"/>
  </r>
  <r>
    <x v="426"/>
    <d v="2020-06-01T00:00:00"/>
    <s v="   TO TRANSFER-INB Billpay ~ Birla Sun Life Mutual Fund ~ Autopay--"/>
    <s v="IB65050895               TRANSFER TO 3199631162092"/>
    <n v="500"/>
    <m/>
    <n v="44919.260000000024"/>
    <s v="Transfer Through Net Banking"/>
    <m/>
    <x v="33"/>
    <m/>
    <s v="2020-2021"/>
    <s v="CHECKED"/>
  </r>
  <r>
    <x v="427"/>
    <d v="2020-06-06T00:00:00"/>
    <s v="   ATM WDL-ATM CASH 01580 TIBBI        HANUMANGARHANUMANGARH--"/>
    <m/>
    <n v="10000"/>
    <m/>
    <n v="34919.260000000024"/>
    <s v="Cash Withdrwal"/>
    <m/>
    <x v="15"/>
    <m/>
    <s v="2020-2021"/>
    <s v="CHECKED"/>
  </r>
  <r>
    <x v="427"/>
    <d v="2020-06-06T00:00:00"/>
    <s v="   by debit card-OTHPG 545381      JIO Infocom           MUMBAI--"/>
    <m/>
    <n v="329"/>
    <m/>
    <n v="34590.260000000024"/>
    <s v="Mobile Recharge"/>
    <m/>
    <x v="35"/>
    <m/>
    <s v="2020-2021"/>
    <s v="CHECKED"/>
  </r>
  <r>
    <x v="428"/>
    <d v="2020-06-08T00:00:00"/>
    <s v="   TO TRANSFER-INB Billpay ~ Birla Sun Life Mutual Fund ~ Autopay--"/>
    <s v="IB65273465               TRANSFER TO 3199628162097"/>
    <n v="500"/>
    <m/>
    <n v="34090.260000000024"/>
    <s v="Transfer Through Net Banking"/>
    <m/>
    <x v="33"/>
    <m/>
    <s v="2020-2021"/>
    <s v="CHECKED"/>
  </r>
  <r>
    <x v="429"/>
    <d v="2020-06-10T00:00:00"/>
    <s v="   BY TRANSFER-1804899393 HP615667 274442 0506 21BZ2SB--"/>
    <s v="TRANSFER FROM 4599424105217"/>
    <m/>
    <n v="9.4499999999999993"/>
    <n v="34099.710000000021"/>
    <s v="Subsidy"/>
    <m/>
    <x v="6"/>
    <m/>
    <s v="2020-2021"/>
    <s v="CHECKED"/>
  </r>
  <r>
    <x v="430"/>
    <d v="2020-06-11T00:00:00"/>
    <s v="   TO TRANSFER-UPI/DR/016318777441/CHHABRA /ORBC/ctmcmanu@o/Coole--"/>
    <s v="TRANSFER TO 5099627162091"/>
    <n v="10500"/>
    <m/>
    <n v="23599.710000000021"/>
    <s v="Transfer Through UPI App"/>
    <s v="Google Pay App"/>
    <x v="171"/>
    <m/>
    <s v="2020-2021"/>
    <s v="CHECKED"/>
  </r>
  <r>
    <x v="430"/>
    <d v="2020-06-11T00:00:00"/>
    <s v="   BY TRANSFER-UPI/CR/016318719947/GOOGLEPAY/UTIB/goog-payme/Rewa--"/>
    <s v="TRANSFER FROM 4898975162096"/>
    <m/>
    <n v="7"/>
    <n v="23606.710000000021"/>
    <s v="Earning From UPI App"/>
    <m/>
    <x v="125"/>
    <m/>
    <s v="2020-2021"/>
    <s v="CHECKED"/>
  </r>
  <r>
    <x v="431"/>
    <d v="2020-06-15T00:00:00"/>
    <s v="   TO TRANSFER-INB Billpay ~ Birla Sun Life Mutual Fund ~ Autopay--"/>
    <s v="IB65511123               TRANSFER TO 3199631162092"/>
    <n v="500"/>
    <m/>
    <n v="23106.710000000021"/>
    <s v="Transfer Through Net Banking"/>
    <m/>
    <x v="33"/>
    <m/>
    <s v="2020-2021"/>
    <s v="CHECKED"/>
  </r>
  <r>
    <x v="432"/>
    <d v="2020-06-20T00:00:00"/>
    <s v="   TO TRANSFER-INB Billpay ~ UTI Mutual Fund ~ Autopay--"/>
    <s v="IB65607783               TRANSFER TO 3199642162099"/>
    <n v="500"/>
    <m/>
    <n v="22606.710000000021"/>
    <s v="Transfer Through Net Banking"/>
    <m/>
    <x v="33"/>
    <m/>
    <s v="2020-2021"/>
    <s v="CHECKED"/>
  </r>
  <r>
    <x v="432"/>
    <d v="2020-06-20T00:00:00"/>
    <s v="   TO TRANSFER-INB Billpay ~ SBI Mutual Fund ~ Autopay--"/>
    <s v="IB65609251               TRANSFER TO 3199643162098"/>
    <n v="500"/>
    <m/>
    <n v="22106.710000000021"/>
    <s v="Transfer Through Net Banking"/>
    <m/>
    <x v="33"/>
    <m/>
    <s v="2020-2021"/>
    <s v="CHECKED"/>
  </r>
  <r>
    <x v="432"/>
    <d v="2020-06-20T00:00:00"/>
    <s v="   TO TRANSFER-INB Billpay ~ UTI Mutual Fund ~ Autopay--"/>
    <s v="IB65609556               TRANSFER TO 3199643162098"/>
    <n v="500"/>
    <m/>
    <n v="21606.710000000021"/>
    <s v="Transfer Through Net Banking"/>
    <m/>
    <x v="33"/>
    <m/>
    <s v="2020-2021"/>
    <s v="CHECKED"/>
  </r>
  <r>
    <x v="432"/>
    <d v="2020-06-20T00:00:00"/>
    <s v="   TO TRANSFER-INB Billpay ~ SBI Mutual Fund ~ Autopay--"/>
    <s v="IB65627255               TRANSFER TO 3199643162098"/>
    <n v="500"/>
    <m/>
    <n v="21106.710000000021"/>
    <s v="Transfer Through Net Banking"/>
    <m/>
    <x v="33"/>
    <m/>
    <s v="2020-2021"/>
    <s v="CHECKED"/>
  </r>
  <r>
    <x v="433"/>
    <d v="2020-06-22T00:00:00"/>
    <s v="   TO TRANSFER-INB Billpay ~ Birla Sun Life Mutual Fund ~ Autopay--"/>
    <s v="IB65686178               TRANSFER TO 3199628162097"/>
    <n v="500"/>
    <m/>
    <n v="20606.710000000021"/>
    <s v="Transfer Through Net Banking"/>
    <m/>
    <x v="33"/>
    <m/>
    <s v="2020-2021"/>
    <s v="CHECKED"/>
  </r>
  <r>
    <x v="434"/>
    <d v="2020-06-25T00:00:00"/>
    <s v="   CREDIT INTEREST---"/>
    <m/>
    <m/>
    <n v="270"/>
    <n v="20876.710000000021"/>
    <s v="Credit Interest"/>
    <m/>
    <x v="0"/>
    <m/>
    <s v="2020-2021"/>
    <s v="CHECKED"/>
  </r>
  <r>
    <x v="435"/>
    <d v="2020-06-26T00:00:00"/>
    <s v="   TO TRANSFER-INB Billpay ~ SBI Mutual Fund ~ Autopay--"/>
    <s v="IB65780976               TRANSFER TO 3199640162090"/>
    <n v="500"/>
    <m/>
    <n v="20376.710000000021"/>
    <s v="Transfer Through Net Banking"/>
    <m/>
    <x v="33"/>
    <m/>
    <s v="2020-2021"/>
    <s v="CHECKED"/>
  </r>
  <r>
    <x v="436"/>
    <d v="2020-06-27T00:00:00"/>
    <s v="   BY TRANSFER---"/>
    <s v="TRANSFER FROM 38525928769                         "/>
    <m/>
    <n v="32236"/>
    <n v="52612.710000000021"/>
    <s v="Acc Closed"/>
    <m/>
    <x v="137"/>
    <m/>
    <s v="2020-2021"/>
    <s v="CHECKED"/>
  </r>
  <r>
    <x v="437"/>
    <d v="2020-06-29T00:00:00"/>
    <s v="   TO TRANSFER-UPI/DR/018110967020/Zerodha /HDFC/zerodhabro/Coin--"/>
    <s v="TRANSFER TO 5097523162093"/>
    <n v="5000"/>
    <m/>
    <n v="47612.710000000021"/>
    <s v="Transfer Through UPI App"/>
    <s v="Google Pay App"/>
    <x v="33"/>
    <m/>
    <s v="2020-2021"/>
    <s v="CHECKED"/>
  </r>
  <r>
    <x v="437"/>
    <d v="2020-06-29T00:00:00"/>
    <s v="   TO TRANSFER-INB Billpay ~ Birla Sun Life Mutual Fund ~ Autopay--"/>
    <s v="IB65829058               TRANSFER TO 3199627162098"/>
    <n v="500"/>
    <m/>
    <n v="47112.710000000021"/>
    <s v="Transfer Through Net Banking"/>
    <m/>
    <x v="33"/>
    <m/>
    <s v="2020-2021"/>
    <s v="CHECKED"/>
  </r>
  <r>
    <x v="438"/>
    <d v="2020-07-02T00:00:00"/>
    <s v="   BY TRANSFER---"/>
    <s v="TRANSFER FROM 38569636673                         "/>
    <m/>
    <n v="39659"/>
    <n v="86771.710000000021"/>
    <s v="Acc Closed"/>
    <m/>
    <x v="143"/>
    <m/>
    <s v="2020-2021"/>
    <s v="CHECKED"/>
  </r>
  <r>
    <x v="439"/>
    <d v="2020-07-03T00:00:00"/>
    <s v="   BY TRANSFER-NEFT*RBIS0GORJEP*RBI1862052888570*TREASURY OFFICE--"/>
    <s v="TRANSFER FROM 3199961044301"/>
    <m/>
    <n v="29556"/>
    <n v="116327.71000000002"/>
    <s v="Salary"/>
    <m/>
    <x v="0"/>
    <m/>
    <s v="2020-2021"/>
    <s v="CHECKED"/>
  </r>
  <r>
    <x v="440"/>
    <d v="2020-07-06T00:00:00"/>
    <s v="   ATM WDL-ATM CASH 01881 TIBBI        HANUMANGARHANUMANGARH--"/>
    <m/>
    <n v="10000"/>
    <m/>
    <n v="106327.71000000002"/>
    <s v="Cash Withdrwal"/>
    <m/>
    <x v="15"/>
    <m/>
    <s v="2020-2021"/>
    <s v="CHECKED"/>
  </r>
  <r>
    <x v="441"/>
    <d v="2020-07-07T00:00:00"/>
    <s v="   TO TRANSFER-INB Billpay ~ Birla Sun Life Mutual Fund ~ Autopay--"/>
    <s v="IB66115094               TRANSFER TO 3199631162092"/>
    <n v="500"/>
    <m/>
    <n v="105827.71000000002"/>
    <s v="Transfer Through Net Banking"/>
    <m/>
    <x v="33"/>
    <m/>
    <s v="2020-2021"/>
    <s v="CHECKED"/>
  </r>
  <r>
    <x v="442"/>
    <d v="2020-07-13T00:00:00"/>
    <s v="   TO TRANSFER-INB Billpay ~ Birla Sun Life Mutual Fund ~ Autopay--"/>
    <s v="IB66336675               TRANSFER TO 3199627162098"/>
    <n v="500"/>
    <m/>
    <n v="105327.71000000002"/>
    <s v="Transfer Through Net Banking"/>
    <m/>
    <x v="33"/>
    <m/>
    <s v="2020-2021"/>
    <s v="CHECKED"/>
  </r>
  <r>
    <x v="443"/>
    <d v="2020-07-14T00:00:00"/>
    <s v="   TO TRANSFER-UPI/DR/019611443177/Zerodha /HDFC/zerodhabro/Coin--"/>
    <s v="TRANSFER TO 5097598162095"/>
    <n v="7000"/>
    <m/>
    <n v="98327.710000000021"/>
    <s v="Transfer Through UPI App"/>
    <s v="Google Pay App"/>
    <x v="33"/>
    <m/>
    <s v="2020-2021"/>
    <s v="CHECKED"/>
  </r>
  <r>
    <x v="444"/>
    <d v="2020-07-20T00:00:00"/>
    <s v="   TO TRANSFER-UPI/DR/020220942982/PhonePe/YESB/BILLDESKPP/Paymen--"/>
    <s v="TRANSFER TO 5097548162094"/>
    <n v="3452"/>
    <m/>
    <n v="94875.710000000021"/>
    <s v="Electricity Bill"/>
    <s v="Phone Pe App"/>
    <x v="36"/>
    <m/>
    <s v="2020-2021"/>
    <s v="CHECKED"/>
  </r>
  <r>
    <x v="444"/>
    <d v="2020-07-20T00:00:00"/>
    <s v="   TO TRANSFER-INB Billpay ~ SBI Mutual Fund ~ Autopay--"/>
    <s v="IB66545327               TRANSFER TO 3199628162097"/>
    <n v="500"/>
    <m/>
    <n v="94375.710000000021"/>
    <s v="Transfer Through Net Banking"/>
    <m/>
    <x v="33"/>
    <m/>
    <s v="2020-2021"/>
    <s v="CHECKED"/>
  </r>
  <r>
    <x v="444"/>
    <d v="2020-07-20T00:00:00"/>
    <s v="   TO TRANSFER-INB Billpay ~ UTI Mutual Fund ~ Autopay--"/>
    <s v="IB66552769               TRANSFER TO 3199627162098"/>
    <n v="500"/>
    <m/>
    <n v="93875.710000000021"/>
    <s v="Transfer Through Net Banking"/>
    <m/>
    <x v="33"/>
    <m/>
    <s v="2020-2021"/>
    <s v="CHECKED"/>
  </r>
  <r>
    <x v="444"/>
    <d v="2020-07-20T00:00:00"/>
    <s v="   TO TRANSFER-INB Billpay ~ UTI Mutual Fund ~ Autopay--"/>
    <s v="IB66553818               TRANSFER TO 3199628162097"/>
    <n v="500"/>
    <m/>
    <n v="93375.710000000021"/>
    <s v="Transfer Through Net Banking"/>
    <m/>
    <x v="33"/>
    <m/>
    <s v="2020-2021"/>
    <s v="CHECKED"/>
  </r>
  <r>
    <x v="444"/>
    <d v="2020-07-20T00:00:00"/>
    <s v="   TO TRANSFER-INB Billpay ~ SBI Mutual Fund ~ Autopay--"/>
    <s v="IB66557724               TRANSFER TO 3199628162097"/>
    <n v="500"/>
    <m/>
    <n v="92875.710000000021"/>
    <s v="Transfer Through Net Banking"/>
    <m/>
    <x v="33"/>
    <m/>
    <s v="2020-2021"/>
    <s v="CHECKED"/>
  </r>
  <r>
    <x v="444"/>
    <d v="2020-07-20T00:00:00"/>
    <s v="   TO TRANSFER-INB Billpay ~ Birla Sun Life Mutual Fund ~ Autopay--"/>
    <s v="IB66562382               TRANSFER TO 3199628162097"/>
    <n v="500"/>
    <m/>
    <n v="92375.710000000021"/>
    <s v="Transfer Through Net Banking"/>
    <m/>
    <x v="33"/>
    <m/>
    <s v="2020-2021"/>
    <s v="CHECKED"/>
  </r>
  <r>
    <x v="445"/>
    <d v="2020-07-27T00:00:00"/>
    <s v="   TO TRANSFER-INB Billpay ~ Birla Sun Life Mutual Fund ~ Autopay--"/>
    <s v="IB66722004               TRANSFER TO 3199628162097"/>
    <n v="500"/>
    <m/>
    <n v="91875.710000000021"/>
    <s v="Transfer Through Net Banking"/>
    <m/>
    <x v="33"/>
    <m/>
    <s v="2020-2021"/>
    <s v="CHECKED"/>
  </r>
  <r>
    <x v="445"/>
    <d v="2020-07-27T00:00:00"/>
    <s v="   TO TRANSFER-INB Billpay ~ SBI Mutual Fund ~ Autopay--"/>
    <s v="IB66724498               TRANSFER TO 3199628162097"/>
    <n v="500"/>
    <m/>
    <n v="91375.710000000021"/>
    <s v="Transfer Through Net Banking"/>
    <m/>
    <x v="33"/>
    <m/>
    <s v="2020-2021"/>
    <s v="CHECKED"/>
  </r>
  <r>
    <x v="445"/>
    <d v="2020-07-27T00:00:00"/>
    <s v="   TO TRANSFER-UPI/DR/020910632965/Zerodha /HDFC/zerodhabro/Coin--"/>
    <s v="TRANSFER TO 5097502162097"/>
    <n v="5000"/>
    <m/>
    <n v="86375.710000000021"/>
    <s v="Transfer Through UPI App"/>
    <s v="Google Pay App"/>
    <x v="33"/>
    <m/>
    <s v="2020-2021"/>
    <s v="CHECKED"/>
  </r>
  <r>
    <x v="446"/>
    <d v="2020-07-29T00:00:00"/>
    <s v="   by debit card-OTHPG 487701      PTM*DISHTV            NOIDA--"/>
    <m/>
    <n v="155"/>
    <m/>
    <n v="86220.710000000021"/>
    <s v="Transfer using Debit Card (ATM)"/>
    <s v="ATM card"/>
    <x v="0"/>
    <m/>
    <s v="2020-2021"/>
    <s v="CHECKED"/>
  </r>
  <r>
    <x v="447"/>
    <d v="2020-07-30T00:00:00"/>
    <s v="   ATM WDL-ATM CASH 02121 TIBBI        HANUMANGARHANUMANGARH--"/>
    <m/>
    <n v="5000"/>
    <m/>
    <n v="81220.710000000021"/>
    <s v="Cash Withdrwal"/>
    <m/>
    <x v="15"/>
    <m/>
    <s v="2020-2021"/>
    <s v="CHECKED"/>
  </r>
  <r>
    <x v="448"/>
    <d v="2020-08-02T00:00:00"/>
    <s v="   BY TRANSFER---"/>
    <s v="TRANSFER FROM 38536719264                         "/>
    <m/>
    <n v="64854"/>
    <n v="146074.71000000002"/>
    <s v="Acc Closed"/>
    <m/>
    <x v="139"/>
    <m/>
    <s v="2020-2021"/>
    <s v="CHECKED"/>
  </r>
  <r>
    <x v="449"/>
    <d v="2020-08-03T00:00:00"/>
    <s v="   TO TRANSFER-INB Billpay ~ Birla Sun Life Mutual Fund ~ Autopay--"/>
    <s v="IB66956097               TRANSFER TO 3199631162092"/>
    <n v="500"/>
    <m/>
    <n v="145574.71000000002"/>
    <s v="Transfer Through Net Banking"/>
    <m/>
    <x v="33"/>
    <m/>
    <s v="2020-2021"/>
    <s v="CHECKED"/>
  </r>
  <r>
    <x v="450"/>
    <d v="2020-08-04T00:00:00"/>
    <s v="   ATM WDL-ATM CASH 2985  SBBJ TIBBI            HANUMANGARH--"/>
    <m/>
    <n v="5000"/>
    <m/>
    <n v="140574.71000000002"/>
    <s v="Cash Withdrwal"/>
    <m/>
    <x v="15"/>
    <m/>
    <s v="2020-2021"/>
    <s v="CHECKED"/>
  </r>
  <r>
    <x v="451"/>
    <d v="2020-08-05T00:00:00"/>
    <s v="   BY TRANSFER-NEFT*RBIS0GORJEP*RBI2192084179446*TREASURY OFFICE--"/>
    <s v="TRANSFER FROM 3199966044306"/>
    <m/>
    <n v="30576"/>
    <n v="171150.71000000002"/>
    <s v="Salary"/>
    <m/>
    <x v="0"/>
    <m/>
    <s v="2020-2021"/>
    <s v="CHECKED"/>
  </r>
  <r>
    <x v="452"/>
    <d v="2020-08-10T00:00:00"/>
    <s v="   TO TRANSFER-INB Billpay ~ Birla Sun Life Mutual Fund ~ Autopay--"/>
    <s v="IB67196191               TRANSFER TO 3199631162092"/>
    <n v="500"/>
    <m/>
    <n v="170650.71000000002"/>
    <s v="Transfer Through Net Banking"/>
    <m/>
    <x v="33"/>
    <m/>
    <s v="2020-2021"/>
    <s v="CHECKED"/>
  </r>
  <r>
    <x v="453"/>
    <d v="2020-08-17T00:00:00"/>
    <s v="   TO TRANSFER-INB Billpay ~ Birla Sun Life Mutual Fund ~ Autopay--"/>
    <s v="IB67416948               TRANSFER TO 3199628162097"/>
    <n v="500"/>
    <m/>
    <n v="170150.71000000002"/>
    <s v="Transfer Through Net Banking"/>
    <m/>
    <x v="33"/>
    <m/>
    <s v="2020-2021"/>
    <s v="CHECKED"/>
  </r>
  <r>
    <x v="454"/>
    <d v="2020-08-20T00:00:00"/>
    <s v="   TO TRANSFER-INB Billpay ~ SBI Mutual Fund ~ Autopay--"/>
    <s v="IB67479460               TRANSFER TO 3199637162096"/>
    <n v="500"/>
    <m/>
    <n v="169650.71000000002"/>
    <s v="Transfer Through Net Banking"/>
    <m/>
    <x v="33"/>
    <m/>
    <s v="2020-2021"/>
    <s v="CHECKED"/>
  </r>
  <r>
    <x v="454"/>
    <d v="2020-08-20T00:00:00"/>
    <s v="   TO TRANSFER-INB Billpay ~ SBI Mutual Fund ~ Autopay--"/>
    <s v="IB67481949               TRANSFER TO 3199636162097"/>
    <n v="500"/>
    <m/>
    <n v="169150.71000000002"/>
    <s v="Transfer Through Net Banking"/>
    <m/>
    <x v="33"/>
    <m/>
    <s v="2020-2021"/>
    <s v="CHECKED"/>
  </r>
  <r>
    <x v="455"/>
    <d v="2020-08-24T00:00:00"/>
    <s v="   TO TRANSFER-INB Billpay ~ Birla Sun Life Mutual Fund ~ Autopay--"/>
    <s v="IB67570289               TRANSFER TO 3199628162097"/>
    <n v="500"/>
    <m/>
    <n v="168650.71000000002"/>
    <s v="Transfer Through Net Banking"/>
    <m/>
    <x v="33"/>
    <m/>
    <s v="2020-2021"/>
    <s v="CHECKED"/>
  </r>
  <r>
    <x v="456"/>
    <d v="2020-08-25T00:00:00"/>
    <s v="   BY TRANSFER-UPI/CR/023820594822/ROHIT KU/SBIN/jainrohit2/Credi--"/>
    <s v="TRANSFER FROM 5098948162092"/>
    <m/>
    <n v="50000"/>
    <n v="218650.71000000002"/>
    <s v="Received Through UPI App"/>
    <m/>
    <x v="151"/>
    <m/>
    <s v="2020-2021"/>
    <s v="CHECKED"/>
  </r>
  <r>
    <x v="456"/>
    <d v="2020-08-25T00:00:00"/>
    <s v="   BY TRANSFER-UPI/CR/023820615965/MANISHA /SBIN/jainrohit2/Credi--"/>
    <s v="TRANSFER FROM 5098946162094"/>
    <m/>
    <n v="50000"/>
    <n v="268650.71000000002"/>
    <s v="Received Through UPI App"/>
    <m/>
    <x v="172"/>
    <m/>
    <s v="2020-2021"/>
    <s v="CHECKED"/>
  </r>
  <r>
    <x v="456"/>
    <d v="2020-08-25T00:00:00"/>
    <s v="   TO TRANSFER-UPI/DR/023820673684/ROHIT KU/SBIN/jainrohit2/retur--"/>
    <s v="TRANSFER TO 5097650162096"/>
    <n v="50000"/>
    <m/>
    <n v="218650.71000000002"/>
    <s v="Transfer Through UPI App"/>
    <s v="Google Pay App"/>
    <x v="154"/>
    <m/>
    <s v="2020-2021"/>
    <s v="8. Family Transfers"/>
  </r>
  <r>
    <x v="457"/>
    <d v="2020-08-26T00:00:00"/>
    <s v="   TO TRANSFER-INB Billpay ~ SBI Mutual Fund ~ Autopay--"/>
    <s v="IB67653034               TRANSFER TO 3199634162099"/>
    <n v="500"/>
    <m/>
    <n v="218150.71000000002"/>
    <s v="Transfer Through Net Banking"/>
    <m/>
    <x v="33"/>
    <m/>
    <s v="2020-2021"/>
    <s v="CHECKED"/>
  </r>
  <r>
    <x v="457"/>
    <d v="2020-08-26T00:00:00"/>
    <s v="   BY TRANSFER-UPI/CR/023920359872/MANISHA /SBIN/jainrohit2/Credi--"/>
    <s v="TRANSFER FROM 5098425162097"/>
    <m/>
    <n v="50000"/>
    <n v="268150.71000000002"/>
    <s v="Received Through UPI App"/>
    <m/>
    <x v="172"/>
    <m/>
    <s v="2020-2021"/>
    <s v="CHECKED"/>
  </r>
  <r>
    <x v="458"/>
    <d v="2020-08-31T00:00:00"/>
    <s v="   TO TRANSFER-INB Billpay ~ Birla Sun Life Mutual Fund ~ Autopay--"/>
    <s v="IB67738098               TRANSFER TO 3199628162097"/>
    <n v="500"/>
    <m/>
    <n v="267650.71000000002"/>
    <s v="Transfer Through Net Banking"/>
    <m/>
    <x v="33"/>
    <m/>
    <s v="2020-2021"/>
    <s v="CHECKED"/>
  </r>
  <r>
    <x v="458"/>
    <d v="2020-08-31T00:00:00"/>
    <s v="   TO TRANSFER-UPI/DR/024417191767/Zerodha /HDFC/zerodhabro/Coin--"/>
    <s v="TRANSFER TO 5097547162095"/>
    <n v="50000"/>
    <m/>
    <n v="217650.71000000002"/>
    <s v="Transfer Through UPI App"/>
    <s v="Google Pay App"/>
    <x v="33"/>
    <m/>
    <s v="2020-2021"/>
    <s v="CHECKED"/>
  </r>
  <r>
    <x v="458"/>
    <d v="2020-08-31T00:00:00"/>
    <s v="   TO TRANSFER-UPI/DR/024417192766/Zerodha /HDFC/zerodhabro/Coin--"/>
    <s v="TRANSFER TO 5097513162095"/>
    <n v="50000"/>
    <m/>
    <n v="167650.71000000002"/>
    <s v="Transfer Through UPI App"/>
    <s v="Google Pay App"/>
    <x v="33"/>
    <m/>
    <s v="2020-2021"/>
    <s v="CHECKED"/>
  </r>
  <r>
    <x v="458"/>
    <d v="2020-08-31T00:00:00"/>
    <s v="   TO TRANSFER-INB ZERODHA--"/>
    <s v="500100449807IGAJHMGUY3               TRANSFER TO 4"/>
    <n v="50000"/>
    <m/>
    <n v="117650.71000000002"/>
    <s v="Transfer Through UPI App"/>
    <s v="Google Pay App"/>
    <x v="33"/>
    <m/>
    <s v="2020-2021"/>
    <s v="CHECKED"/>
  </r>
  <r>
    <x v="459"/>
    <d v="2020-09-02T00:00:00"/>
    <s v="   BY TRANSFER---"/>
    <s v="TRANSFER FROM 38536790655                         "/>
    <m/>
    <n v="54364"/>
    <n v="172014.71000000002"/>
    <s v="Acc Closed"/>
    <m/>
    <x v="141"/>
    <m/>
    <s v="2020-2021"/>
    <s v="CHECKED"/>
  </r>
  <r>
    <x v="459"/>
    <d v="2020-09-02T00:00:00"/>
    <s v="   TO TRANSFER-UPI/DR/024608664190/Zerodha /HDFC/zerodhabro/Coin--"/>
    <s v="TRANSFER TO 5097704162098"/>
    <n v="15000"/>
    <m/>
    <n v="157014.71000000002"/>
    <s v="Transfer Through UPI App"/>
    <s v="Google Pay App"/>
    <x v="33"/>
    <m/>
    <s v="2020-2021"/>
    <s v="CHECKED"/>
  </r>
  <r>
    <x v="459"/>
    <d v="2020-09-02T00:00:00"/>
    <s v="   BY TRANSFER-NEFT*RBIS0GORJEP*RBI2472015917069*TREASURY OFFICE--"/>
    <s v="TRANSFER FROM 3199960044301"/>
    <m/>
    <n v="500"/>
    <n v="157514.71000000002"/>
    <s v="Other Bill Reimbursement (DOIT)"/>
    <m/>
    <x v="0"/>
    <m/>
    <s v="2020-2021"/>
    <s v="4. PENDING TO CHECK OTHER BILLS IN OFFICE AND OTHER EXCEL SHEETS"/>
  </r>
  <r>
    <x v="460"/>
    <d v="2020-09-03T00:00:00"/>
    <s v="   BY TRANSFER-NEFT*RBIS0GORJEP*RBI2482017937205*TREASURY OFFICE--"/>
    <s v="TRANSFER FROM 3199682044307"/>
    <m/>
    <n v="30576"/>
    <n v="188090.71000000002"/>
    <s v="Salary"/>
    <m/>
    <x v="0"/>
    <m/>
    <s v="2020-2021"/>
    <s v="CHECKED"/>
  </r>
  <r>
    <x v="461"/>
    <d v="2020-09-07T00:00:00"/>
    <s v="   TO TRANSFER-INB Billpay ~ Birla Sun Life Mutual Fund ~ Autopay--"/>
    <s v="IB67993041               TRANSFER TO 3199627162098"/>
    <n v="500"/>
    <m/>
    <n v="187590.71000000002"/>
    <s v="Transfer Through Net Banking"/>
    <m/>
    <x v="33"/>
    <m/>
    <s v="2020-2021"/>
    <s v="CHECKED"/>
  </r>
  <r>
    <x v="461"/>
    <d v="2020-09-07T00:00:00"/>
    <s v="   ATM WDL-ATM CASH 778   SBBJ TIBBI            HANUMANGARH--"/>
    <m/>
    <n v="7000"/>
    <m/>
    <n v="180590.71000000002"/>
    <s v="Cash Withdrwal"/>
    <m/>
    <x v="15"/>
    <m/>
    <s v="2020-2021"/>
    <s v="CHECKED"/>
  </r>
  <r>
    <x v="461"/>
    <d v="2020-09-07T00:00:00"/>
    <s v="   TO TRANSFER-UPI/DR/025120521146/DIVYA  J/SBIN/divya88jai/UPI--"/>
    <s v="TRANSFER TO 5099335162092"/>
    <n v="4887"/>
    <m/>
    <n v="175703.71000000002"/>
    <s v="Electricity Bill"/>
    <s v="Google Pay App"/>
    <x v="36"/>
    <m/>
    <s v="2020-2021"/>
    <s v="CHECKED"/>
  </r>
  <r>
    <x v="462"/>
    <d v="2020-09-10T00:00:00"/>
    <s v="   TO TRANSFER-UPI/DR/025409479149/SBI FUND/HDFC/sbifundsma/SBIMF--"/>
    <s v="TRANSFER TO 5097808162090"/>
    <n v="1000"/>
    <m/>
    <n v="174703.71000000002"/>
    <s v="Transfer Through Net Banking"/>
    <m/>
    <x v="33"/>
    <m/>
    <s v="2020-2021"/>
    <s v="CHECKED"/>
  </r>
  <r>
    <x v="462"/>
    <d v="2020-09-10T00:00:00"/>
    <s v="   TO TRANSFER-UPI/DR/025409486927/SBI FUND/HDFC/sbifundsma/SBIMF--"/>
    <s v="TRANSFER TO 5097791162095"/>
    <n v="1000"/>
    <m/>
    <n v="173703.71000000002"/>
    <s v="Transfer Through Net Banking"/>
    <m/>
    <x v="33"/>
    <m/>
    <s v="2020-2021"/>
    <s v="CHECKED"/>
  </r>
  <r>
    <x v="462"/>
    <d v="2020-09-10T00:00:00"/>
    <s v="   TO TRANSFER-UPI/DR/025409496919/SBI FUND/HDFC/sbifundsma/SBIMF--"/>
    <s v="TRANSFER TO 5097825162090"/>
    <n v="1000"/>
    <m/>
    <n v="172703.71000000002"/>
    <s v="Transfer Through Net Banking"/>
    <m/>
    <x v="33"/>
    <m/>
    <s v="2020-2021"/>
    <s v="CHECKED"/>
  </r>
  <r>
    <x v="463"/>
    <d v="2020-09-11T00:00:00"/>
    <s v="   TO TRANSFER-UPI/DR/025512058201/Reeta  R/SBIN/happyggr-1/hp ga--"/>
    <s v="TRANSFER TO 5099696162099"/>
    <n v="625.5"/>
    <m/>
    <n v="172078.21000000002"/>
    <s v="Transfer Through UPI App"/>
    <m/>
    <x v="113"/>
    <m/>
    <s v="2020-2021"/>
    <s v="CHECKED"/>
  </r>
  <r>
    <x v="464"/>
    <d v="2020-09-14T00:00:00"/>
    <s v="   TO TRANSFER-INB Billpay ~ Birla Sun Life Mutual Fund ~ Autopay--"/>
    <s v="IB68237339               TRANSFER TO 3199628162097"/>
    <n v="500"/>
    <m/>
    <n v="171578.21000000002"/>
    <s v="Transfer Through Net Banking"/>
    <m/>
    <x v="33"/>
    <m/>
    <s v="2020-2021"/>
    <s v="CHECKED"/>
  </r>
  <r>
    <x v="465"/>
    <d v="2020-09-15T00:00:00"/>
    <s v="   BY TRANSFER-1878474637 HP615667 301333 0909 21BZ2SB--"/>
    <s v="TRANSFER FROM 4599415105218"/>
    <m/>
    <n v="9.9499999999999993"/>
    <n v="171588.16000000003"/>
    <s v="Subsidy"/>
    <m/>
    <x v="6"/>
    <m/>
    <s v="2020-2021"/>
    <s v="CHECKED"/>
  </r>
  <r>
    <x v="466"/>
    <d v="2020-09-21T00:00:00"/>
    <s v="   TO TRANSFER-INB Billpay ~ SBI Mutual Fund ~ Autopay--"/>
    <s v="IB68421888               TRANSFER TO 3199627162098"/>
    <n v="500"/>
    <m/>
    <n v="171088.16000000003"/>
    <s v="Transfer Through Net Banking"/>
    <m/>
    <x v="33"/>
    <m/>
    <s v="2020-2021"/>
    <s v="CHECKED"/>
  </r>
  <r>
    <x v="466"/>
    <d v="2020-09-21T00:00:00"/>
    <s v="   TO TRANSFER-INB Billpay ~ SBI Mutual Fund ~ Autopay--"/>
    <s v="IB68423936               TRANSFER TO 3199628162097"/>
    <n v="500"/>
    <m/>
    <n v="170588.16000000003"/>
    <s v="Transfer Through Net Banking"/>
    <m/>
    <x v="33"/>
    <m/>
    <s v="2020-2021"/>
    <s v="CHECKED"/>
  </r>
  <r>
    <x v="466"/>
    <d v="2020-09-21T00:00:00"/>
    <s v="   TO TRANSFER-INB Billpay ~ Birla Sun Life Mutual Fund ~ Autopay--"/>
    <s v="IB68488681               TRANSFER TO 3199631162092"/>
    <n v="500"/>
    <m/>
    <n v="170088.16000000003"/>
    <s v="Transfer Through Net Banking"/>
    <m/>
    <x v="33"/>
    <m/>
    <s v="2020-2021"/>
    <s v="CHECKED"/>
  </r>
  <r>
    <x v="467"/>
    <d v="2020-09-22T00:00:00"/>
    <s v="   TO TRANSFER-UPI/DR/026609802998/Zerodha /HDFC/zerodhabro/Coin--"/>
    <s v="TRANSFER TO 4898734162091"/>
    <n v="50000"/>
    <m/>
    <n v="120088.16000000003"/>
    <s v="Transfer Through UPI App"/>
    <s v="Google Pay App"/>
    <x v="33"/>
    <m/>
    <s v="2020-2021"/>
    <s v="CHECKED"/>
  </r>
  <r>
    <x v="467"/>
    <d v="2020-09-22T00:00:00"/>
    <s v="   BY TRANSFER-UPI/CR/026609664508/GOOGLEPAY/UTIB/goog-payme/Rewa--"/>
    <s v="TRANSFER FROM 4898955162099"/>
    <m/>
    <n v="5"/>
    <n v="120093.16000000003"/>
    <s v="Earning From UPI App"/>
    <s v="Google Pay App"/>
    <x v="125"/>
    <m/>
    <s v="2020-2021"/>
    <s v="CHECKED"/>
  </r>
  <r>
    <x v="468"/>
    <d v="2020-09-24T00:00:00"/>
    <s v="   BY TRANSFER-NEFT*RBIS0GORJEP*RBI2692036396515*TREASURY OFFICE--"/>
    <s v="TRANSFER FROM 3199962044300"/>
    <m/>
    <n v="18369"/>
    <n v="138462.16000000003"/>
    <s v="Salary"/>
    <m/>
    <x v="19"/>
    <m/>
    <s v="2020-2021"/>
    <s v="CHECKED"/>
  </r>
  <r>
    <x v="469"/>
    <d v="2020-09-25T00:00:00"/>
    <s v="   CREDIT INTEREST---"/>
    <m/>
    <m/>
    <n v="954"/>
    <n v="139416.16000000003"/>
    <s v="Credit Interest"/>
    <m/>
    <x v="0"/>
    <m/>
    <s v="2020-2021"/>
    <s v="CHECKED"/>
  </r>
  <r>
    <x v="470"/>
    <d v="2020-09-26T00:00:00"/>
    <s v="   TO TRANSFER-INB Billpay ~ SBI Mutual Fund ~ Autopay--"/>
    <s v="IB68600851               TRANSFER TO 3199642162099"/>
    <n v="500"/>
    <m/>
    <n v="138916.16000000003"/>
    <s v="Transfer Through Net Banking"/>
    <m/>
    <x v="33"/>
    <m/>
    <s v="2020-2021"/>
    <s v="CHECKED"/>
  </r>
  <r>
    <x v="471"/>
    <d v="2020-09-28T00:00:00"/>
    <s v="   TO TRANSFER-INB Billpay ~ Birla Sun Life Mutual Fund ~ Autopay--"/>
    <s v="IB68630744               TRANSFER TO 3199628162097"/>
    <n v="500"/>
    <m/>
    <n v="138416.16000000003"/>
    <s v="Transfer Through Net Banking"/>
    <m/>
    <x v="33"/>
    <m/>
    <s v="2020-2021"/>
    <s v="CHECKED"/>
  </r>
  <r>
    <x v="472"/>
    <d v="2020-10-02T00:00:00"/>
    <s v="   BY TRANSFER---"/>
    <s v="TRANSFER FROM 38536718363                         "/>
    <m/>
    <n v="54667"/>
    <n v="193083.16000000003"/>
    <s v="Acc Closed"/>
    <m/>
    <x v="138"/>
    <m/>
    <s v="2020-2021"/>
    <s v="CHECKED"/>
  </r>
  <r>
    <x v="473"/>
    <d v="2020-10-05T00:00:00"/>
    <s v="   BY TRANSFER-NEFT*RBIS0GORJEP*RBI2802049503807*TREASURY OFFICE--"/>
    <s v="TRANSFER FROM 3199960044301"/>
    <m/>
    <n v="29268"/>
    <n v="222351.16000000003"/>
    <s v="Salary"/>
    <m/>
    <x v="0"/>
    <m/>
    <s v="2020-2021"/>
    <s v="CHECKED"/>
  </r>
  <r>
    <x v="473"/>
    <d v="2020-10-05T00:00:00"/>
    <s v="   TO TRANSFER-INB Billpay ~ Birla Sun Life Mutual Fund ~ Autopay--"/>
    <s v="IB68864663               TRANSFER TO 3199627162098"/>
    <n v="500"/>
    <m/>
    <n v="221851.16000000003"/>
    <s v="Transfer Through Net Banking"/>
    <m/>
    <x v="33"/>
    <m/>
    <s v="2020-2021"/>
    <s v="CHECKED"/>
  </r>
  <r>
    <x v="474"/>
    <d v="2020-10-12T00:00:00"/>
    <s v="   TO TRANSFER-INB Billpay ~ Birla Sun Life Mutual Fund ~ Autopay--"/>
    <s v="IB69119497               TRANSFER TO 3199627162098"/>
    <n v="500"/>
    <m/>
    <n v="221351.16000000003"/>
    <s v="Transfer Through Net Banking"/>
    <m/>
    <x v="33"/>
    <m/>
    <s v="2020-2021"/>
    <s v="CHECKED"/>
  </r>
  <r>
    <x v="475"/>
    <d v="2020-10-14T00:00:00"/>
    <s v="   TO TRANSFER-UPI/DR/028806065859/National/SBIN/sbiepay.np/Colle--"/>
    <s v="TRANSFER TO 5097728162091"/>
    <n v="500"/>
    <m/>
    <n v="220851.16000000003"/>
    <s v="Transfer Through Net Banking"/>
    <m/>
    <x v="166"/>
    <m/>
    <s v="2020-2021"/>
    <s v="CHECKED"/>
  </r>
  <r>
    <x v="475"/>
    <d v="2020-10-14T00:00:00"/>
    <s v="   BY TRANSFER-UPI/CR/028806719976/GOOGLEPAY/UTIB/goog-payme/Rewa--"/>
    <s v="TRANSFER FROM 5098981162092"/>
    <m/>
    <n v="5"/>
    <n v="220856.16000000003"/>
    <s v="Earning From UPI App"/>
    <s v="Google Pay App"/>
    <x v="125"/>
    <m/>
    <s v="2020-2021"/>
    <s v="CHECKED"/>
  </r>
  <r>
    <x v="475"/>
    <d v="2020-10-14T00:00:00"/>
    <s v="   TO TRANSFER-UPI/DR/028808665168/Zerodha /HDFC/zerodhabro/Coin--"/>
    <s v="TRANSFER TO 5097713162098"/>
    <n v="50000"/>
    <m/>
    <n v="170856.16000000003"/>
    <s v="Transfer Through UPI App"/>
    <s v="Google Pay App"/>
    <x v="33"/>
    <m/>
    <s v="2020-2021"/>
    <s v="CHECKED"/>
  </r>
  <r>
    <x v="476"/>
    <d v="2020-10-19T00:00:00"/>
    <s v="   TO TRANSFER-INB Billpay ~ Birla Sun Life Mutual Fund ~ Autopay--"/>
    <s v="IB69320679               TRANSFER TO 3199627162098"/>
    <n v="500"/>
    <m/>
    <n v="170356.16000000003"/>
    <s v="Transfer Through Net Banking"/>
    <m/>
    <x v="33"/>
    <m/>
    <s v="2020-2021"/>
    <s v="CHECKED"/>
  </r>
  <r>
    <x v="476"/>
    <d v="2020-10-19T00:00:00"/>
    <s v="   TO TRANSFER-UPI/DR/029309960017/GAURAV M/ORBC/mundragaur/ratio--"/>
    <s v="TRANSFER TO 5097565162094"/>
    <n v="340"/>
    <m/>
    <n v="170016.16000000003"/>
    <s v="Transfer Through UPI App"/>
    <m/>
    <x v="173"/>
    <m/>
    <s v="2020-2021"/>
    <s v="CHECKED"/>
  </r>
  <r>
    <x v="476"/>
    <d v="2020-10-19T00:00:00"/>
    <s v="   BY TRANSFER-UPI/CR/029309456578/GOOGLEPAY/UTIB/goog-payme/Rewa--"/>
    <s v="TRANSFER FROM 4897698162098"/>
    <m/>
    <n v="5"/>
    <n v="170021.16000000003"/>
    <s v="Earning From UPI App"/>
    <s v="Google Pay App"/>
    <x v="125"/>
    <m/>
    <s v="2020-2021"/>
    <s v="CHECKED"/>
  </r>
  <r>
    <x v="477"/>
    <d v="2020-10-20T00:00:00"/>
    <s v="   TO TRANSFER-INB Billpay ~ SBI Mutual Fund ~ Autopay--"/>
    <s v="IB69356866               TRANSFER TO 3199631162092"/>
    <n v="500"/>
    <m/>
    <n v="169521.16000000003"/>
    <s v="Transfer Through Net Banking"/>
    <m/>
    <x v="33"/>
    <m/>
    <s v="2020-2021"/>
    <s v="CHECKED"/>
  </r>
  <r>
    <x v="477"/>
    <d v="2020-10-20T00:00:00"/>
    <s v="   TO TRANSFER-INB Billpay ~ SBI Mutual Fund ~ Autopay--"/>
    <s v="IB69359445               TRANSFER TO 3199630162092"/>
    <n v="500"/>
    <m/>
    <n v="169021.16000000003"/>
    <s v="Transfer Through Net Banking"/>
    <m/>
    <x v="33"/>
    <m/>
    <s v="2020-2021"/>
    <s v="CHECKED"/>
  </r>
  <r>
    <x v="478"/>
    <d v="2020-10-22T00:00:00"/>
    <s v="   TO TRANSFER-UPI/DR/029608261187/Zerodha /HDFC/zerodhabro/Coin--"/>
    <s v="TRANSFER TO 5097819162098"/>
    <n v="50000"/>
    <m/>
    <n v="119021.16000000003"/>
    <s v="Transfer Through UPI App"/>
    <s v="Google Pay App"/>
    <x v="33"/>
    <m/>
    <s v="2020-2021"/>
    <s v="CHECKED"/>
  </r>
  <r>
    <x v="478"/>
    <d v="2020-10-22T00:00:00"/>
    <s v="   TO TRANSFER-INB SBI MUTUAL FUND           SBI_MF Payments--"/>
    <s v="VSBI9376803168IGAJRIEPO5               TRANSFER TO"/>
    <n v="3000"/>
    <m/>
    <n v="116021.16000000003"/>
    <s v="Transfer Through Net Banking"/>
    <m/>
    <x v="33"/>
    <m/>
    <s v="2020-2021"/>
    <s v="CHECKED"/>
  </r>
  <r>
    <x v="479"/>
    <d v="2020-10-26T00:00:00"/>
    <s v="   TO TRANSFER-INB Billpay ~ Birla Sun Life Mutual Fund ~ Autopay--"/>
    <s v="IB69495693               TRANSFER TO 3199631162092"/>
    <n v="500"/>
    <m/>
    <n v="115521.16000000003"/>
    <s v="Transfer Through Net Banking"/>
    <m/>
    <x v="33"/>
    <m/>
    <s v="2020-2021"/>
    <s v="CHECKED"/>
  </r>
  <r>
    <x v="479"/>
    <d v="2020-10-26T00:00:00"/>
    <s v="   TO TRANSFER-INB Billpay ~ SBI Mutual Fund ~ Autopay--"/>
    <s v="IB69503835               TRANSFER TO 3199631162092"/>
    <n v="500"/>
    <m/>
    <n v="115021.16000000003"/>
    <s v="Transfer Through Net Banking"/>
    <m/>
    <x v="33"/>
    <m/>
    <s v="2020-2021"/>
    <s v="CHECKED"/>
  </r>
  <r>
    <x v="480"/>
    <d v="2020-10-31T00:00:00"/>
    <s v="   TO TRANSFER-UPI/DR/030511094270/EURONETG/ICIC/euronetgpa/UPI--"/>
    <s v="TRANSFER TO 5097995162094"/>
    <n v="49"/>
    <m/>
    <n v="114972.16000000003"/>
    <s v="Mobile Recharge"/>
    <s v="Google Pay App"/>
    <x v="161"/>
    <m/>
    <s v="2020-2021"/>
    <s v="CHECKED"/>
  </r>
  <r>
    <x v="481"/>
    <d v="2020-11-02T00:00:00"/>
    <s v="   BY TRANSFER-NEFT*RBIS0GORJEP*RBI3082083589846*TREASURY OFFICE--"/>
    <s v="TRANSFER FROM 3199963044309"/>
    <m/>
    <n v="29310"/>
    <n v="144282.16000000003"/>
    <s v="Salary"/>
    <m/>
    <x v="0"/>
    <m/>
    <s v="2020-2021"/>
    <s v="CHECKED"/>
  </r>
  <r>
    <x v="482"/>
    <d v="2020-11-03T00:00:00"/>
    <s v="   TO TRANSFER-INB Billpay ~ Birla Sun Life Mutual Fund ~ Autopay--"/>
    <s v="IB69740435               TRANSFER TO 3199630162092"/>
    <n v="500"/>
    <m/>
    <n v="143782.16000000003"/>
    <s v="Transfer Through Net Banking"/>
    <m/>
    <x v="33"/>
    <m/>
    <s v="2020-2021"/>
    <s v="CHECKED"/>
  </r>
  <r>
    <x v="482"/>
    <d v="2020-11-03T00:00:00"/>
    <s v="   TO TRANSFER-UPI/DR/030819657967/billdesk/ICIC/billdesk.e/UPI--"/>
    <s v="TRANSFER TO 5097594162099"/>
    <n v="2683"/>
    <m/>
    <n v="141099.16000000003"/>
    <s v="Electricity Bill"/>
    <s v="Google Pay App"/>
    <x v="36"/>
    <m/>
    <s v="2020-2021"/>
    <s v="CHECKED"/>
  </r>
  <r>
    <x v="483"/>
    <d v="2020-11-09T00:00:00"/>
    <s v="   TO TRANSFER-INB Billpay ~ Birla Sun Life Mutual Fund ~ Autopay--"/>
    <s v="IB69929720               TRANSFER TO 3199627162098"/>
    <n v="500"/>
    <m/>
    <n v="140599.16000000003"/>
    <s v="Transfer Through Net Banking"/>
    <m/>
    <x v="33"/>
    <m/>
    <s v="2020-2021"/>
    <s v="CHECKED"/>
  </r>
  <r>
    <x v="484"/>
    <d v="2020-11-12T00:00:00"/>
    <s v="   BY TRANSFER-UPI/CR/031705467052/GOOGLEPAY/UTIB/goog-payme/UPI--"/>
    <s v="TRANSFER FROM 5099092162094"/>
    <m/>
    <n v="25"/>
    <n v="140624.16000000003"/>
    <s v="Earning From UPI App"/>
    <s v="Google Pay App"/>
    <x v="125"/>
    <m/>
    <s v="2020-2021"/>
    <s v="CHECKED"/>
  </r>
  <r>
    <x v="485"/>
    <d v="2020-11-16T00:00:00"/>
    <s v="   TO TRANSFER-INB Billpay ~ Birla Sun Life Mutual Fund ~ Autopay--"/>
    <s v="IB70172313               TRANSFER TO 3199627162098"/>
    <n v="500"/>
    <m/>
    <n v="140124.16000000003"/>
    <s v="Transfer Through Net Banking"/>
    <m/>
    <x v="33"/>
    <m/>
    <s v="2020-2021"/>
    <s v="CHECKED"/>
  </r>
  <r>
    <x v="486"/>
    <d v="2020-11-18T00:00:00"/>
    <s v="   BY TRANSFER-NEFT*RBIS0GORJEP*RBI3242008298602*TREASURY OFFICE--"/>
    <s v="TRANSFER FROM 3199962044300"/>
    <m/>
    <n v="1693"/>
    <n v="141817.16000000003"/>
    <s v="Salary"/>
    <m/>
    <x v="10"/>
    <m/>
    <s v="2020-2021"/>
    <s v="CHECKED"/>
  </r>
  <r>
    <x v="487"/>
    <d v="2020-11-19T00:00:00"/>
    <s v="   BY TRANSFER-UPI/CR/032323746054/GOOGLEPAY/UTIB/goog-payme/UPI--"/>
    <s v="TRANSFER FROM 5099083162095"/>
    <m/>
    <n v="10"/>
    <n v="141827.16000000003"/>
    <s v="Earning From UPI App"/>
    <s v="Google Pay App"/>
    <x v="125"/>
    <m/>
    <s v="2020-2021"/>
    <s v="CHECKED"/>
  </r>
  <r>
    <x v="487"/>
    <d v="2020-11-19T00:00:00"/>
    <s v="   FI Txn @ CSP outlet-000157925568074283 Rupay WDL TXN @KO 1A9008671--"/>
    <s v="TRANSFER TO 35749786402                           "/>
    <n v="10000"/>
    <m/>
    <n v="131827.16000000003"/>
    <s v="Cash Withdrwal"/>
    <m/>
    <x v="174"/>
    <m/>
    <s v="2020-2021"/>
    <s v="CHECKED"/>
  </r>
  <r>
    <x v="488"/>
    <d v="2020-11-20T00:00:00"/>
    <s v="   TO TRANSFER-INB Billpay ~ SBI Mutual Fund ~ Autopay--"/>
    <s v="IB70307507               TRANSFER TO 3199640162090"/>
    <n v="500"/>
    <m/>
    <n v="131327.16000000003"/>
    <s v="Transfer Through Net Banking"/>
    <m/>
    <x v="33"/>
    <m/>
    <s v="2020-2021"/>
    <s v="CHECKED"/>
  </r>
  <r>
    <x v="488"/>
    <d v="2020-11-20T00:00:00"/>
    <s v="   TO TRANSFER-INB Billpay ~ SBI Mutual Fund ~ Autopay--"/>
    <s v="IB70312695               TRANSFER TO 3199640162090"/>
    <n v="500"/>
    <m/>
    <n v="130827.16000000003"/>
    <s v="Transfer Through Net Banking"/>
    <m/>
    <x v="33"/>
    <m/>
    <s v="2020-2021"/>
    <s v="CHECKED"/>
  </r>
  <r>
    <x v="489"/>
    <d v="2020-11-23T00:00:00"/>
    <s v="   TO TRANSFER-INB Billpay ~ Birla Sun Life Mutual Fund ~ Autopay--"/>
    <s v="IB70377291               TRANSFER TO 3199628162097"/>
    <n v="500"/>
    <m/>
    <n v="130327.16000000003"/>
    <s v="Transfer Through Net Banking"/>
    <m/>
    <x v="33"/>
    <m/>
    <s v="2020-2021"/>
    <s v="CHECKED"/>
  </r>
  <r>
    <x v="490"/>
    <d v="2020-11-24T00:00:00"/>
    <s v="   TO TRANSFER-UPI/DR/032989603412/SOURABH /SBIN/9463926402/Payme--"/>
    <s v="TRANSFER TO 4898826162097"/>
    <n v="2500"/>
    <m/>
    <n v="127827.16000000003"/>
    <s v="Transfer Through UPI App"/>
    <s v="Phone Pe App"/>
    <x v="175"/>
    <m/>
    <s v="2020-2021"/>
    <s v="CHECKED"/>
  </r>
  <r>
    <x v="491"/>
    <d v="2020-11-26T00:00:00"/>
    <s v="   TO TRANSFER-INB Billpay ~ SBI Mutual Fund ~ Autopay--"/>
    <s v="IB70488065               TRANSFER TO 3199637162096"/>
    <n v="500"/>
    <m/>
    <n v="127327.16000000003"/>
    <s v="Transfer Through Net Banking"/>
    <m/>
    <x v="33"/>
    <m/>
    <s v="2020-2021"/>
    <s v="CHECKED"/>
  </r>
  <r>
    <x v="492"/>
    <d v="2020-11-28T00:00:00"/>
    <s v="   TO TRANSFER-UPI/DR/033325319906/PhonePe/YESB/BILLDESKPP/Paymen--"/>
    <s v="TRANSFER TO 5098005162094"/>
    <n v="249"/>
    <m/>
    <n v="127078.16000000003"/>
    <s v="Transfer Through UPI App"/>
    <m/>
    <x v="0"/>
    <m/>
    <s v="2020-2021"/>
    <s v="1. House Expenses me abhi entry nhi ki hai"/>
  </r>
  <r>
    <x v="492"/>
    <d v="2020-11-28T00:00:00"/>
    <s v="   BY TRANSFER-UPI/CR/033391572098/SOURABH /SBIN/9463926402/Payme--"/>
    <s v="TRANSFER FROM 5098704162090"/>
    <m/>
    <n v="250"/>
    <n v="127328.16000000003"/>
    <s v="Received Through UPI App"/>
    <m/>
    <x v="176"/>
    <m/>
    <s v="2020-2021"/>
    <s v="CHECKED"/>
  </r>
  <r>
    <x v="493"/>
    <d v="2020-11-30T00:00:00"/>
    <s v="   TO TRANSFER-INB Billpay ~ Birla Sun Life Mutual Fund ~ Autopay--"/>
    <s v="IB70551688               TRANSFER TO 3199628162097"/>
    <n v="500"/>
    <m/>
    <n v="126828.16000000003"/>
    <s v="Transfer Through Net Banking"/>
    <m/>
    <x v="33"/>
    <m/>
    <s v="2020-2021"/>
    <s v="CHECKED"/>
  </r>
  <r>
    <x v="494"/>
    <d v="2020-12-01T00:00:00"/>
    <s v="   TO TRANSFER-SBILT01122020082647393424-Tax Savings--"/>
    <s v="TRANSFER TO 32500545461                           "/>
    <n v="20000"/>
    <m/>
    <n v="106828.16000000003"/>
    <s v="PPF"/>
    <m/>
    <x v="0"/>
    <m/>
    <s v="2020-2021"/>
    <s v="CHECKED"/>
  </r>
  <r>
    <x v="495"/>
    <d v="2020-12-02T00:00:00"/>
    <s v="   BY TRANSFER---"/>
    <s v="TRANSFER FROM 38733988879                         "/>
    <m/>
    <n v="27165"/>
    <n v="133993.16000000003"/>
    <s v="Acc Closed"/>
    <m/>
    <x v="144"/>
    <m/>
    <s v="2020-2021"/>
    <s v="CHECKED"/>
  </r>
  <r>
    <x v="496"/>
    <d v="2020-12-04T00:00:00"/>
    <s v="   BY TRANSFER-NEFT*RBIS0GORJEP*RBI3402035263702*TREASURY OFFICE--"/>
    <s v="TRANSFER FROM 3199962044300"/>
    <m/>
    <n v="30576"/>
    <n v="164569.16000000003"/>
    <s v="Salary"/>
    <m/>
    <x v="0"/>
    <m/>
    <s v="2020-2021"/>
    <s v="CHECKED"/>
  </r>
  <r>
    <x v="497"/>
    <d v="2020-12-07T00:00:00"/>
    <s v="   TO TRANSFER-INB Billpay ~ Birla Sun Life Mutual Fund ~ Autopay--"/>
    <s v="IB70855741               TRANSFER TO 3199628162097"/>
    <n v="500"/>
    <m/>
    <n v="164069.16000000003"/>
    <s v="Transfer Through Net Banking"/>
    <m/>
    <x v="33"/>
    <m/>
    <s v="2020-2021"/>
    <s v="CHECKED"/>
  </r>
  <r>
    <x v="498"/>
    <d v="2020-12-12T00:00:00"/>
    <s v="   TO TRANSFER-UPI/DR/034622449180/Billdesk/HDFC/billdeskpa/UPI--"/>
    <s v="TRANSFER TO 5097885162099"/>
    <n v="49"/>
    <m/>
    <n v="164020.16000000003"/>
    <s v="Mobile Recharge"/>
    <m/>
    <x v="161"/>
    <m/>
    <s v="2020-2021"/>
    <s v="CHECKED"/>
  </r>
  <r>
    <x v="499"/>
    <d v="2020-12-14T00:00:00"/>
    <s v="   TO TRANSFER-INB Billpay ~ Birla Sun Life Mutual Fund ~ Autopay--"/>
    <s v="IB71065394               TRANSFER TO 3199628162097"/>
    <n v="500"/>
    <m/>
    <n v="163520.16000000003"/>
    <s v="Transfer Through Net Banking"/>
    <m/>
    <x v="33"/>
    <m/>
    <s v="2020-2021"/>
    <s v="CHECKED"/>
  </r>
  <r>
    <x v="500"/>
    <d v="2020-12-20T00:00:00"/>
    <s v="   FI Txn @ CSP outlet-001879527798978185 AEPS WDL TXN @KO 1A773C89--"/>
    <s v="TRANSFER TO 33424295090                           "/>
    <n v="10000"/>
    <m/>
    <n v="153520.16000000003"/>
    <s v="Cash Withdrwal"/>
    <m/>
    <x v="174"/>
    <m/>
    <s v="2020-2021"/>
    <s v="CHECKED"/>
  </r>
  <r>
    <x v="501"/>
    <d v="2020-12-21T00:00:00"/>
    <s v="   BY TRANSFER-NEFT*CITI0100000*CITIN20184169422*TEMPLETON-INC FU--"/>
    <s v="TRANSFER FROM 3199675044306"/>
    <m/>
    <n v="11348.77"/>
    <n v="164868.93000000002"/>
    <s v="Mutual Fund Sold"/>
    <m/>
    <x v="177"/>
    <m/>
    <s v="2020-2021"/>
    <s v="CHECKED"/>
  </r>
  <r>
    <x v="501"/>
    <d v="2020-12-21T00:00:00"/>
    <s v="   BY TRANSFER-NEFT*YESB0000001*N356200480580920*UTI MUTUAL FUND*--"/>
    <s v="TRANSFER FROM 3199955044308"/>
    <m/>
    <n v="45321.63"/>
    <n v="210190.56000000003"/>
    <s v="Mutual Fund Sold"/>
    <m/>
    <x v="178"/>
    <m/>
    <s v="2020-2021"/>
    <s v="CHECKED"/>
  </r>
  <r>
    <x v="501"/>
    <d v="2020-12-21T00:00:00"/>
    <s v="   BY TRANSFER-NEFT*HDFC0000240*N356201346999592*TMF REDEMPTION P--"/>
    <s v="TRANSFER FROM 3199959044304"/>
    <m/>
    <n v="14403.62"/>
    <n v="224594.18000000002"/>
    <s v="Mutual Fund Sold"/>
    <m/>
    <x v="179"/>
    <m/>
    <s v="2020-2021"/>
    <s v="CHECKED"/>
  </r>
  <r>
    <x v="501"/>
    <d v="2020-12-21T00:00:00"/>
    <s v="   TO TRANSFER-INB Billpay ~ SBI Mutual Fund ~ Autopay--"/>
    <s v="IB71263695               TRANSFER TO 3199628162097"/>
    <n v="500"/>
    <m/>
    <n v="224094.18000000002"/>
    <s v="Transfer Through Net Banking"/>
    <m/>
    <x v="33"/>
    <m/>
    <s v="2020-2021"/>
    <s v="CHECKED"/>
  </r>
  <r>
    <x v="501"/>
    <d v="2020-12-21T00:00:00"/>
    <s v="   TO TRANSFER-INB Billpay ~ SBI Mutual Fund ~ Autopay--"/>
    <s v="IB71270476               TRANSFER TO 3199628162097"/>
    <n v="500"/>
    <m/>
    <n v="223594.18000000002"/>
    <s v="Transfer Through Net Banking"/>
    <m/>
    <x v="33"/>
    <m/>
    <s v="2020-2021"/>
    <s v="CHECKED"/>
  </r>
  <r>
    <x v="502"/>
    <d v="2020-12-22T00:00:00"/>
    <s v="   BY TRANSFER-NEFT*HDFC0000240*N357201348239199*ZERODHA BROKING--"/>
    <s v="TRANSFER FROM 3199414044305"/>
    <m/>
    <n v="186694.65"/>
    <n v="410288.83"/>
    <s v="Received Through Net Banking"/>
    <m/>
    <x v="0"/>
    <m/>
    <s v="2020-2021"/>
    <s v="2. pending to check zerodha broking"/>
  </r>
  <r>
    <x v="503"/>
    <d v="2020-12-24T00:00:00"/>
    <s v="   TO TRANSFER-UPI/DR/035908555570/Zerodha /HDFC/zerodhabro/Kite--"/>
    <s v="TRANSFER TO 5097818162099"/>
    <n v="15000"/>
    <m/>
    <n v="395288.83"/>
    <s v="Transfer Through UPI App"/>
    <s v="Google Pay App"/>
    <x v="33"/>
    <m/>
    <s v="2020-2021"/>
    <s v="CHECKED"/>
  </r>
  <r>
    <x v="504"/>
    <d v="2020-12-25T00:00:00"/>
    <s v="   CREDIT INTEREST---"/>
    <m/>
    <m/>
    <n v="1104"/>
    <n v="396392.83"/>
    <s v="Credit Interest"/>
    <m/>
    <x v="0"/>
    <m/>
    <s v="2020-2021"/>
    <s v="CHECKED"/>
  </r>
  <r>
    <x v="505"/>
    <d v="2020-12-26T00:00:00"/>
    <s v="   TO TRANSFER-INB Billpay ~ SBI Mutual Fund ~ Autopay--"/>
    <s v="IB71423022               TRANSFER TO 3199642162099"/>
    <n v="500"/>
    <m/>
    <n v="395892.83"/>
    <s v="Transfer Through Net Banking"/>
    <m/>
    <x v="33"/>
    <m/>
    <s v="2020-2021"/>
    <s v="CHECKED"/>
  </r>
  <r>
    <x v="506"/>
    <d v="2020-12-28T00:00:00"/>
    <s v="   TO TRANSFER-COMM - OTHER MISC. SERVICES--"/>
    <s v="TRANSFER TO 98353313015"/>
    <n v="177"/>
    <m/>
    <n v="395715.83"/>
    <s v="Transfer Through Net Banking"/>
    <m/>
    <x v="0"/>
    <m/>
    <s v="2020-2021"/>
    <s v="6. pending to check with daily expenses sheet"/>
  </r>
  <r>
    <x v="507"/>
    <d v="2021-01-01T00:00:00"/>
    <s v="   BY TRANSFER-NEFT*RBIS0GORJEP*RBI0012176215687*TREASURY OFFICE--"/>
    <s v="TRANSFER FROM 3199961044301"/>
    <m/>
    <n v="30576"/>
    <n v="426291.83"/>
    <s v="Salary"/>
    <m/>
    <x v="0"/>
    <m/>
    <s v="2020-2021"/>
    <s v="CHECKED"/>
  </r>
  <r>
    <x v="508"/>
    <d v="2021-01-02T00:00:00"/>
    <s v="   TO TRANSFER-UPI/DR/100215765074/billdesk/ICIC/billdesk.e/UPI--"/>
    <s v="TRANSFER TO 4898753162098"/>
    <n v="1912"/>
    <m/>
    <n v="424379.83"/>
    <s v="Electricity Bill"/>
    <s v="Google Pay App"/>
    <x v="36"/>
    <m/>
    <s v="2020-2021"/>
    <s v="CHECKED"/>
  </r>
  <r>
    <x v="509"/>
    <d v="2021-01-04T00:00:00"/>
    <s v="   TO TRANSFER-UPI/DR/100481503722/LAVISH C/HDFC/Q67977392@/PAYME--"/>
    <s v="TRANSFER TO 5097587162098"/>
    <n v="700"/>
    <m/>
    <n v="423679.83"/>
    <s v="Transfer Through UPI App"/>
    <s v="Phone Pe App"/>
    <x v="180"/>
    <m/>
    <s v="2020-2021"/>
    <s v="CHECKED"/>
  </r>
  <r>
    <x v="510"/>
    <d v="2021-01-05T00:00:00"/>
    <s v="   by debit card-SBIPG VT9627987158NPS                   MUMBAI--"/>
    <m/>
    <n v="500"/>
    <m/>
    <n v="423179.83"/>
    <s v="Transfer Through Net Banking"/>
    <s v="ATM card"/>
    <x v="166"/>
    <m/>
    <s v="2020-2021"/>
    <s v="CHECKED"/>
  </r>
  <r>
    <x v="511"/>
    <d v="2021-01-09T00:00:00"/>
    <s v="   by debit card-SBIPG VT9641841411FREECHARGE            MUMBAI--"/>
    <m/>
    <n v="47"/>
    <m/>
    <n v="423132.83"/>
    <s v="Mobile Recharge"/>
    <m/>
    <x v="161"/>
    <m/>
    <s v="2020-2021"/>
    <s v="CHECKED"/>
  </r>
  <r>
    <x v="512"/>
    <d v="2021-01-18T00:00:00"/>
    <s v="   TO TRANSFER-UPI/DR/101809378469/NPS TRUS/HDFC/npstrust.b/XBCMF--"/>
    <s v="TRANSFER TO 5097527162099"/>
    <n v="500"/>
    <m/>
    <n v="422632.83"/>
    <s v="Transfer Through UPI App"/>
    <s v="Google Pay App"/>
    <x v="166"/>
    <m/>
    <s v="2020-2021"/>
    <s v="CHECKED"/>
  </r>
  <r>
    <x v="513"/>
    <d v="2021-01-20T00:00:00"/>
    <s v="   TO TRANSFER-INB Billpay ~ SBI Mutual Fund ~ Autopay--"/>
    <s v="IB72225049               TRANSFER TO 3199633162090"/>
    <n v="500"/>
    <m/>
    <n v="422132.83"/>
    <s v="Transfer Through Net Banking"/>
    <m/>
    <x v="33"/>
    <m/>
    <s v="2020-2021"/>
    <s v="CHECKED"/>
  </r>
  <r>
    <x v="513"/>
    <d v="2021-01-20T00:00:00"/>
    <s v="   TO TRANSFER-INB Billpay ~ SBI Mutual Fund ~ Autopay--"/>
    <s v="IB72225098               TRANSFER TO 3199634162099"/>
    <n v="500"/>
    <m/>
    <n v="421632.83"/>
    <s v="Transfer Through Net Banking"/>
    <m/>
    <x v="33"/>
    <m/>
    <s v="2020-2021"/>
    <s v="CHECKED"/>
  </r>
  <r>
    <x v="514"/>
    <d v="2021-01-26T00:00:00"/>
    <s v="   TO TRANSFER-INB Billpay ~ SBI Mutual Fund ~ Autopay--"/>
    <s v="IB72392541               TRANSFER TO 3199631162092"/>
    <n v="500"/>
    <m/>
    <n v="421132.83"/>
    <s v="Transfer Through Net Banking"/>
    <m/>
    <x v="33"/>
    <m/>
    <s v="2020-2021"/>
    <s v="CHECKED"/>
  </r>
  <r>
    <x v="515"/>
    <d v="2021-01-27T00:00:00"/>
    <s v="   ATM WDL-ATM CASH 6009  SBBJ TIBBI            HANUMANGARH--"/>
    <m/>
    <n v="10000"/>
    <m/>
    <n v="411132.83"/>
    <s v="Cash Withdrwal"/>
    <m/>
    <x v="15"/>
    <m/>
    <s v="2020-2021"/>
    <s v="CHECKED"/>
  </r>
  <r>
    <x v="516"/>
    <d v="2021-01-28T00:00:00"/>
    <s v="   TO TRANSFER-INB National Pension Scheme   BILL_NATPES Payments--"/>
    <s v="VSBI9695609560IGAKJDRUD4               TRANSFER TO"/>
    <n v="1000"/>
    <m/>
    <n v="410132.83"/>
    <s v="Transfer Through Net Banking"/>
    <s v="ATM card"/>
    <x v="166"/>
    <m/>
    <s v="2020-2021"/>
    <s v="CHECKED"/>
  </r>
  <r>
    <x v="517"/>
    <d v="2021-02-02T00:00:00"/>
    <s v="   BY TRANSFER---"/>
    <s v="TRANSFER FROM 38733993265                         "/>
    <m/>
    <n v="27474"/>
    <n v="437606.83"/>
    <s v="Acc Closed"/>
    <m/>
    <x v="145"/>
    <m/>
    <s v="2020-2021"/>
    <s v="CHECKED"/>
  </r>
  <r>
    <x v="518"/>
    <d v="2021-02-04T00:00:00"/>
    <s v="   BY TRANSFER-NEFT*RBIS0GORJEP*RBI0362133545618*TREASURY OFFICE--"/>
    <s v="TRANSFER FROM 3199419044300"/>
    <m/>
    <n v="30576"/>
    <n v="468182.83"/>
    <s v="Salary"/>
    <m/>
    <x v="0"/>
    <m/>
    <s v="2020-2021"/>
    <s v="CHECKED"/>
  </r>
  <r>
    <x v="519"/>
    <d v="2021-02-07T00:00:00"/>
    <s v="   TO TRANSFER-UPI/DR/103808323940/EURONETG/ICIC/euronetgpa/UPI--"/>
    <s v="TRANSFER TO 5098063162096"/>
    <n v="49"/>
    <m/>
    <n v="468133.83"/>
    <s v="Mobile Recharge"/>
    <s v="Google Pay App"/>
    <x v="161"/>
    <m/>
    <s v="2020-2021"/>
    <s v="CHECKED"/>
  </r>
  <r>
    <x v="520"/>
    <d v="2021-02-11T00:00:00"/>
    <s v="   BY TRANSFER-NEFT*UTIB0000004*AXISCN0068881038*NIPPON INDIA BAN--"/>
    <s v="TRANSFER FROM 3199415044304"/>
    <m/>
    <n v="1808.45"/>
    <n v="469942.28"/>
    <s v="Mutual Fund Sold"/>
    <m/>
    <x v="181"/>
    <m/>
    <s v="2020-2021"/>
    <s v="CHECKED"/>
  </r>
  <r>
    <x v="520"/>
    <d v="2021-02-11T00:00:00"/>
    <s v="   BY TRANSFER-NEFT*UTIB0000274*AXTB210429957790*NPS TRUST*110016--"/>
    <s v="TRANSFER FROM 3199970044309"/>
    <m/>
    <n v="12884.86"/>
    <n v="482827.14"/>
    <s v="Received Through Net Banking"/>
    <m/>
    <x v="166"/>
    <m/>
    <s v="2020-2021"/>
    <s v="CHECKED"/>
  </r>
  <r>
    <x v="521"/>
    <d v="2021-02-18T00:00:00"/>
    <s v="   TO TRANSFER-UPI/DR/104915582364/ISHWAR P/PYTM/ishwarsain/UPI--"/>
    <s v="TRANSFER TO 5099611162099"/>
    <n v="800"/>
    <m/>
    <n v="482027.14"/>
    <s v="Transfer Through UPI App"/>
    <s v="Google Pay App"/>
    <x v="152"/>
    <m/>
    <s v="2020-2021"/>
    <s v="CHECKED"/>
  </r>
  <r>
    <x v="521"/>
    <d v="2021-02-18T00:00:00"/>
    <s v="   BY TRANSFER-UPI/CR/104980521288/RAM  KUMAR/SBIN/9782894204/Pay--"/>
    <s v="TRANSFER FROM 5099056162097"/>
    <m/>
    <n v="800"/>
    <n v="482827.14"/>
    <s v="Received Through UPI App"/>
    <s v="Phone Pe App"/>
    <x v="0"/>
    <m/>
    <s v="2020-2021"/>
    <s v="CHECKED"/>
  </r>
  <r>
    <x v="522"/>
    <d v="2021-02-23T00:00:00"/>
    <s v="   by debit card-SBIPG VT9773804251PHONEPE               MUMBAI--"/>
    <m/>
    <n v="800.5"/>
    <m/>
    <n v="482026.64"/>
    <s v="Transfer Through UPI App"/>
    <s v="Phone Pe App"/>
    <x v="0"/>
    <m/>
    <s v="2020-2021"/>
    <s v="6. pending to check with daily expenses sheet"/>
  </r>
  <r>
    <x v="523"/>
    <d v="2021-02-26T00:00:00"/>
    <s v="   BY TRANSFER-NEFT*YESB0000001*N057210523128604*UTI MUTUAL FUND*--"/>
    <s v="TRANSFER FROM 3199676044305"/>
    <m/>
    <n v="32908.65"/>
    <n v="514935.29000000004"/>
    <s v="Mutual Fund Sold"/>
    <m/>
    <x v="182"/>
    <m/>
    <s v="2020-2021"/>
    <s v="CHECKED"/>
  </r>
  <r>
    <x v="523"/>
    <d v="2021-02-26T00:00:00"/>
    <s v="   BY TRANSFER-NEFT*YESB0000001*N057210523128548*UTI MUTUAL FUND*--"/>
    <s v="TRANSFER FROM 3199966044306"/>
    <m/>
    <n v="69603.19"/>
    <n v="584538.48"/>
    <s v="Mutual Fund Sold"/>
    <m/>
    <x v="183"/>
    <m/>
    <s v="2020-2021"/>
    <s v="CHECKED"/>
  </r>
  <r>
    <x v="524"/>
    <d v="2021-02-28T00:00:00"/>
    <s v="   TO TRANSFER-UPI/DR/105910109119/billdesk/ICIC/billdesk.e/UPI--"/>
    <s v="TRANSFER TO 5098093162090"/>
    <n v="1648"/>
    <m/>
    <n v="582890.48"/>
    <s v="Electricity Bill"/>
    <s v="Google Pay App"/>
    <x v="36"/>
    <m/>
    <s v="2020-2021"/>
    <s v="CHECKED"/>
  </r>
  <r>
    <x v="525"/>
    <d v="2021-03-01T00:00:00"/>
    <s v="   ATM WDL-ATM CASH 2477  SBBJ TIBBI            HANUMANGARH--"/>
    <m/>
    <n v="10000"/>
    <m/>
    <n v="572890.48"/>
    <s v="Cash Withdrwal"/>
    <m/>
    <x v="15"/>
    <m/>
    <s v="2020-2021"/>
    <s v="CHECKED"/>
  </r>
  <r>
    <x v="525"/>
    <d v="2021-03-01T00:00:00"/>
    <s v="   BY TRANSFER-2029513394 HP615667 359827 2502 21BZ2SB--"/>
    <s v="TRANSFER FROM 3199990105213"/>
    <m/>
    <n v="9.9499999999999993"/>
    <n v="572900.42999999993"/>
    <s v="Subsidy"/>
    <m/>
    <x v="6"/>
    <m/>
    <s v="2020-2021"/>
    <s v="CHECKED"/>
  </r>
  <r>
    <x v="526"/>
    <d v="2021-03-03T00:00:00"/>
    <s v="   BY TRANSFER-NEFT*RBIS0GORJEP*RBI0632177298132*TREASURY OFFICE--"/>
    <s v="TRANSFER FROM 3199415044304"/>
    <m/>
    <n v="30576"/>
    <n v="603476.42999999993"/>
    <s v="Salary"/>
    <m/>
    <x v="0"/>
    <m/>
    <s v="2020-2021"/>
    <s v="CHECKED"/>
  </r>
  <r>
    <x v="527"/>
    <d v="2021-03-09T00:00:00"/>
    <s v="   BY TRANSFER-NEFT*RBIS0GORJEP*RBI0692185968096*TREASURY OFFICE--"/>
    <s v="TRANSFER FROM 3199423044304"/>
    <m/>
    <n v="517"/>
    <n v="603993.42999999993"/>
    <s v="TA Bill Reimbursement (DOIT)"/>
    <m/>
    <x v="184"/>
    <m/>
    <s v="2020-2021"/>
    <s v="CHECKED"/>
  </r>
  <r>
    <x v="528"/>
    <d v="2021-03-10T00:00:00"/>
    <s v="   TO TRANSFER-UPI/DR/106937019851/PhonePe/YESB/EURONET@yb/Paymen--"/>
    <s v="TRANSFER TO 5097733162094"/>
    <n v="49"/>
    <m/>
    <n v="603944.42999999993"/>
    <s v="Mobile Recharge"/>
    <s v="Phone Pe App"/>
    <x v="161"/>
    <m/>
    <s v="2020-2021"/>
    <s v="CHECKED"/>
  </r>
  <r>
    <x v="528"/>
    <d v="2021-03-10T00:00:00"/>
    <s v="   ATM WDL-ATM CASH 4655  SBBJ TIBBI            HANUMANGARH--"/>
    <m/>
    <n v="10000"/>
    <m/>
    <n v="593944.42999999993"/>
    <s v="Cash Withdrwal"/>
    <m/>
    <x v="15"/>
    <m/>
    <s v="2020-2021"/>
    <s v="CHECKED"/>
  </r>
  <r>
    <x v="529"/>
    <d v="2021-03-15T00:00:00"/>
    <s v="   BY TRANSFER-NEFT*RBIS0GORJEP*RBI0752191594335*TREASURY OFFICE--"/>
    <s v="TRANSFER FROM 3199959044304"/>
    <m/>
    <n v="10033"/>
    <n v="603977.42999999993"/>
    <s v="Salary"/>
    <m/>
    <x v="0"/>
    <m/>
    <s v="2020-2021"/>
    <s v="CHECKED"/>
  </r>
  <r>
    <x v="530"/>
    <d v="2021-03-17T00:00:00"/>
    <s v="   BY TRANSFER-NEFT*RBIS0GORJEP*RBI0772194180784*TREASURY OFFICE--"/>
    <s v="TRANSFER FROM 3199423044304"/>
    <m/>
    <n v="6945"/>
    <n v="610922.42999999993"/>
    <s v="TA Bill Reimbursement (DOIT)"/>
    <m/>
    <x v="185"/>
    <m/>
    <s v="2020-2021"/>
    <s v="CHECKED"/>
  </r>
  <r>
    <x v="531"/>
    <d v="2021-03-24T00:00:00"/>
    <s v="   TO TRANSFER-UPI/DR/108349617778/KALU  RAM/SBIN/9782664211/Paym--"/>
    <s v="TRANSFER TO 4898841162098"/>
    <n v="10000"/>
    <m/>
    <n v="600922.42999999993"/>
    <s v="Transfer Through UPI App"/>
    <s v="Phone Pe App"/>
    <x v="186"/>
    <m/>
    <s v="2020-2021"/>
    <s v="CHECKED"/>
  </r>
  <r>
    <x v="532"/>
    <d v="2021-03-25T00:00:00"/>
    <s v="   FI Txn @ CSP outlet-001015387301306909 AEPS WDL TXN @KO 1A900867--"/>
    <s v="TRANSFER TO 35749786402                           "/>
    <n v="10000"/>
    <m/>
    <n v="590922.42999999993"/>
    <s v="Cash Withdrwal"/>
    <m/>
    <x v="174"/>
    <m/>
    <s v="2020-2021"/>
    <s v="CHECKED"/>
  </r>
  <r>
    <x v="532"/>
    <d v="2021-03-25T00:00:00"/>
    <s v="   FI Txn @ CSP outlet-001015866341381798 Rupay WDL TXN @KO 1A9008671--"/>
    <s v="TRANSFER TO 35749786402                           "/>
    <n v="20000"/>
    <m/>
    <n v="570922.42999999993"/>
    <s v="Cash Withdrwal"/>
    <m/>
    <x v="174"/>
    <m/>
    <s v="2020-2021"/>
    <s v="CHECKED"/>
  </r>
  <r>
    <x v="532"/>
    <d v="2021-03-25T00:00:00"/>
    <s v="   CREDIT INTEREST---"/>
    <m/>
    <m/>
    <n v="3252"/>
    <n v="574174.42999999993"/>
    <s v="Credit Interest"/>
    <m/>
    <x v="0"/>
    <m/>
    <s v="2020-2021"/>
    <s v="CHECKED"/>
  </r>
  <r>
    <x v="533"/>
    <d v="2021-03-26T00:00:00"/>
    <s v="   BY TRANSFER-NEFT*CITI0100000*CITIN21146089448*TEMPLETON-INC FU--"/>
    <s v="TRANSFER FROM 3199966044306"/>
    <m/>
    <n v="13378.55"/>
    <n v="587552.98"/>
    <s v="Mutual Fund Sold"/>
    <m/>
    <x v="177"/>
    <m/>
    <s v="2020-2021"/>
    <s v="CHECKED"/>
  </r>
  <r>
    <x v="534"/>
    <d v="2021-03-28T00:00:00"/>
    <s v="   TO TRANSFER-UPI/DR/108759772601/RELIANCE/CITI/jio@citiba/Payme--"/>
    <s v="TRANSFER TO 5098064162095"/>
    <n v="69.849999999999994"/>
    <m/>
    <n v="587483.13"/>
    <s v="Mobile Recharge"/>
    <m/>
    <x v="18"/>
    <m/>
    <s v="2020-2021"/>
    <s v="CHECKED"/>
  </r>
  <r>
    <x v="535"/>
    <d v="2021-03-30T00:00:00"/>
    <s v="   BY TRANSFER-NEFT*YESB0000001*N089210549806476*UTI MUTUAL FUND*--"/>
    <s v="TRANSFER FROM 3199419044300"/>
    <m/>
    <n v="1834.9"/>
    <n v="589318.03"/>
    <s v="Mutual Fund Sold"/>
    <m/>
    <x v="183"/>
    <m/>
    <s v="2020-2021"/>
    <s v="CHECKED"/>
  </r>
  <r>
    <x v="536"/>
    <d v="2021-04-07T00:00:00"/>
    <s v="   BY TRANSFER-UPI/CR/109785215067/KALU  RAM/SBIN/9782664211/Paym--"/>
    <s v="TRANSFER FROM 5099013162098"/>
    <m/>
    <n v="10000"/>
    <n v="599318.03"/>
    <s v="Received Through UPI App"/>
    <s v="Phone Pe App"/>
    <x v="0"/>
    <m/>
    <s v="2021-2022"/>
    <s v="CHECKED"/>
  </r>
  <r>
    <x v="536"/>
    <d v="2021-04-07T00:00:00"/>
    <s v="   TO TRANSFER-UPI/DR/109769400868/PhonePe/YESB/EURONET@yb/Paymen--"/>
    <s v="TRANSFER TO 5097710162090"/>
    <n v="49"/>
    <m/>
    <n v="599269.03"/>
    <s v="Mobile Recharge"/>
    <m/>
    <x v="161"/>
    <m/>
    <s v="2021-2022"/>
    <s v="CHECKED"/>
  </r>
  <r>
    <x v="537"/>
    <d v="2021-04-08T00:00:00"/>
    <s v="   BY TRANSFER-NEFT*RBIS0GORJEP*RBI0992132324036*TREASURY OFFICE--"/>
    <s v="TRANSFER FROM 3199420044306"/>
    <m/>
    <n v="30576"/>
    <n v="629845.03"/>
    <s v="Salary"/>
    <m/>
    <x v="0"/>
    <m/>
    <s v="2021-2022"/>
    <s v="CHECKED"/>
  </r>
  <r>
    <x v="537"/>
    <d v="2021-04-08T00:00:00"/>
    <s v="   by debit card-OTHPG 633874      JIO MONEY             MUMBAI--"/>
    <m/>
    <n v="21"/>
    <m/>
    <n v="629824.03"/>
    <s v="Mobile Recharge"/>
    <m/>
    <x v="35"/>
    <m/>
    <s v="2021-2022"/>
    <s v="CHECKED"/>
  </r>
  <r>
    <x v="538"/>
    <d v="2021-04-17T00:00:00"/>
    <s v="   ATM WDL-ATM CASH 54351 AGGARSAIN COLONY SIRSASIRSA--"/>
    <m/>
    <n v="6000"/>
    <m/>
    <n v="623824.03"/>
    <s v="Cash Withdrwal"/>
    <m/>
    <x v="187"/>
    <s v="cash withdrawal at sirsa near jyani hospital"/>
    <s v="2021-2022"/>
    <s v="CHECKED"/>
  </r>
  <r>
    <x v="539"/>
    <d v="2021-04-25T00:00:00"/>
    <s v="   by debit card-OTHPG 156985      Paytm*RELIANCE RETAIL Mumbai--"/>
    <m/>
    <n v="234.82"/>
    <m/>
    <n v="623589.21000000008"/>
    <s v="Mobile Recharge"/>
    <s v="ATM card"/>
    <x v="18"/>
    <m/>
    <s v="2021-2022"/>
    <s v="CHECKED"/>
  </r>
  <r>
    <x v="540"/>
    <d v="2021-04-26T00:00:00"/>
    <s v="   TO TRANSFER-UPI/DR/111613597971/PREETI J/HDFC/prettygoth/On Re--"/>
    <s v="TRANSFER TO 5099357162096"/>
    <n v="15000"/>
    <m/>
    <n v="608589.21000000008"/>
    <s v="Transfer Through UPI App"/>
    <s v="Google Pay App"/>
    <x v="188"/>
    <m/>
    <s v="2021-2022"/>
    <s v="CHECKED"/>
  </r>
  <r>
    <x v="541"/>
    <d v="2021-04-27T00:00:00"/>
    <s v="   TO TRANSFER-UPI/DR/111757751577/Zerodha /HDFC/zerodhabro/Payme--"/>
    <s v="TRANSFER TO 4692495162092"/>
    <n v="50000"/>
    <m/>
    <n v="558589.21000000008"/>
    <s v="Transfer Through UPI App"/>
    <s v="Phone Pe App"/>
    <x v="33"/>
    <m/>
    <s v="2021-2022"/>
    <s v="CHECKED"/>
  </r>
  <r>
    <x v="541"/>
    <d v="2021-04-27T00:00:00"/>
    <s v="   TO TRANSFER-UPI/DR/111767675298/Zerodha/ICIC/zerodha.ra/Paymen--"/>
    <s v="TRANSFER TO 4692479162092"/>
    <n v="50000"/>
    <m/>
    <n v="508589.21000000008"/>
    <s v="Transfer Through UPI App"/>
    <s v="Phone Pe App"/>
    <x v="33"/>
    <m/>
    <s v="2021-2022"/>
    <s v="CHECKED"/>
  </r>
  <r>
    <x v="542"/>
    <d v="2021-04-28T00:00:00"/>
    <s v="   BY TRANSFER-NEFT*HDFC0000240*N118211486464439*ZERODHA BROKING--"/>
    <s v="TRANSFER FROM 3199678044303"/>
    <m/>
    <n v="16103.37"/>
    <n v="524692.58000000007"/>
    <s v="Received Through Net Banking"/>
    <m/>
    <x v="0"/>
    <m/>
    <s v="2021-2022"/>
    <s v="2. pending to check zerodha broking"/>
  </r>
  <r>
    <x v="542"/>
    <d v="2021-04-28T00:00:00"/>
    <s v="   TO TRANSFER-UPI/DR/111854264929/Zerodha /HDFC/zerodhabro/Payme--"/>
    <s v="TRANSFER TO 4692517162091"/>
    <n v="50000"/>
    <m/>
    <n v="474692.58000000007"/>
    <s v="Transfer Through UPI App"/>
    <s v="Phone Pe App"/>
    <x v="33"/>
    <m/>
    <s v="2021-2022"/>
    <s v="CHECKED"/>
  </r>
  <r>
    <x v="543"/>
    <d v="2021-04-29T00:00:00"/>
    <s v="   TO TRANSFER-UPI/DR/111960614496/Zerodha /HDFC/zerodhabro/Payme--"/>
    <s v="TRANSFER TO 5097785162093"/>
    <n v="50000"/>
    <m/>
    <n v="424692.58000000007"/>
    <s v="Transfer Through UPI App"/>
    <s v="Phone Pe App"/>
    <x v="33"/>
    <m/>
    <s v="2021-2022"/>
    <s v="CHECKED"/>
  </r>
  <r>
    <x v="543"/>
    <d v="2021-04-29T00:00:00"/>
    <s v="   BY TRANSFER-INB IMPS111913116983/1111111111/XX1002/Bank Accou--"/>
    <s v="MAB000746824621          MAB000746824621          "/>
    <m/>
    <n v="1"/>
    <n v="424693.58000000007"/>
    <s v="unkown"/>
    <m/>
    <x v="126"/>
    <m/>
    <s v="2021-2022"/>
    <s v="CHECKED"/>
  </r>
  <r>
    <x v="544"/>
    <d v="2021-04-30T00:00:00"/>
    <s v="   TO TRANSFER-UPI/DR/112022587593/Zerodha/ICIC/zerodha.ra/Paymen--"/>
    <s v="TRANSFER TO 4692615162090"/>
    <n v="50000"/>
    <m/>
    <n v="374693.58000000007"/>
    <s v="Transfer Through UPI App"/>
    <s v="Phone Pe App"/>
    <x v="33"/>
    <m/>
    <s v="2021-2022"/>
    <s v="CHECKED"/>
  </r>
  <r>
    <x v="544"/>
    <d v="2021-04-30T00:00:00"/>
    <s v="   TO TRANSFER-UPI/DR/112055292180/Zerodha /HDFC/zerodhabro/Payme--"/>
    <s v="TRANSFER TO 4692586162099"/>
    <n v="50000"/>
    <m/>
    <n v="324693.58000000007"/>
    <s v="Transfer Through UPI App"/>
    <s v="Phone Pe App"/>
    <x v="33"/>
    <m/>
    <s v="2021-2022"/>
    <s v="CHECKED"/>
  </r>
  <r>
    <x v="544"/>
    <d v="2021-04-30T00:00:00"/>
    <s v="   BY TRANSFER-UPI/CR/112019295165/PREETI J/HDFC/prettygoth/ok--"/>
    <s v="TRANSFER FROM 4693525162094"/>
    <m/>
    <n v="15000"/>
    <n v="339693.58000000007"/>
    <s v="Received Through UPI App"/>
    <m/>
    <x v="189"/>
    <m/>
    <s v="2021-2022"/>
    <s v="CHECKED"/>
  </r>
  <r>
    <x v="545"/>
    <d v="2021-05-01T00:00:00"/>
    <s v="   TO TRANSFER-UPI/DR/112119397260/Zerodha /HDFC/zerodhabro/Payme--"/>
    <s v="TRANSFER TO 5097980162090"/>
    <n v="50000"/>
    <m/>
    <n v="289693.58000000007"/>
    <s v="Transfer Through UPI App"/>
    <s v="Phone Pe App"/>
    <x v="33"/>
    <m/>
    <s v="2021-2022"/>
    <s v="CHECKED"/>
  </r>
  <r>
    <x v="546"/>
    <d v="2021-05-02T00:00:00"/>
    <s v="   TO TRANSFER-UPI/DR/112246486532/Zerodha /HDFC/zerodhabro/Payme--"/>
    <s v="TRANSFER TO 4692696162094"/>
    <n v="50000"/>
    <m/>
    <n v="239693.58000000007"/>
    <s v="Transfer Through UPI App"/>
    <s v="Phone Pe App"/>
    <x v="33"/>
    <m/>
    <s v="2021-2022"/>
    <s v="CHECKED"/>
  </r>
  <r>
    <x v="547"/>
    <d v="2021-05-03T00:00:00"/>
    <s v="   TO TRANSFER-SBILT03052021081808935967-PPF Transfer--"/>
    <s v="TRANSFER TO 32500545461                           "/>
    <n v="9000"/>
    <m/>
    <n v="230693.58000000007"/>
    <s v="PPF"/>
    <m/>
    <x v="0"/>
    <m/>
    <s v="2021-2022"/>
    <s v="CHECKED"/>
  </r>
  <r>
    <x v="547"/>
    <d v="2021-05-03T00:00:00"/>
    <s v="   TO TRANSFER-UPI/DR/112317494469/LAVISH C/HDFC/lavishchug/UPI--"/>
    <s v="TRANSFER TO 5099373162097"/>
    <n v="5000"/>
    <m/>
    <n v="225693.58000000007"/>
    <s v="Transfer Through UPI App"/>
    <s v="Google Pay App"/>
    <x v="190"/>
    <m/>
    <s v="2021-2022"/>
    <s v="CHECKED"/>
  </r>
  <r>
    <x v="547"/>
    <d v="2021-05-03T00:00:00"/>
    <s v="   TO TRANSFER-UPI/DR/112317680131/billdesk/ICIC/billdesk.e/UPI--"/>
    <s v="TRANSFER TO 5097523162093"/>
    <n v="2478"/>
    <m/>
    <n v="223215.58000000007"/>
    <s v="Electricity Bill"/>
    <s v="Google Pay App"/>
    <x v="36"/>
    <m/>
    <s v="2021-2022"/>
    <s v="CHECKED"/>
  </r>
  <r>
    <x v="548"/>
    <d v="2021-05-04T00:00:00"/>
    <s v="   BY TRANSFER-NEFT*YESB0000001*N124210584504799*UTI MUTUAL FUND*--"/>
    <s v="TRANSFER FROM 3199969044303"/>
    <m/>
    <n v="2904.99"/>
    <n v="226120.57000000007"/>
    <s v="Mutual Fund Sold"/>
    <m/>
    <x v="182"/>
    <m/>
    <s v="2021-2022"/>
    <s v="CHECKED"/>
  </r>
  <r>
    <x v="548"/>
    <d v="2021-05-04T00:00:00"/>
    <s v="   BY TRANSFER-NEFT*YESB0000001*N124210584504798*UTI MUTUAL FUND*--"/>
    <s v="TRANSFER FROM 3199968044304"/>
    <m/>
    <n v="25221.72"/>
    <n v="251342.29000000007"/>
    <s v="Mutual Fund Sold"/>
    <m/>
    <x v="182"/>
    <m/>
    <s v="2021-2022"/>
    <s v="CHECKED"/>
  </r>
  <r>
    <x v="548"/>
    <d v="2021-05-04T00:00:00"/>
    <s v="   BY TRANSFER-NEFT*HDFC0000240*N124211493153591*TMF REDEMPTION P--"/>
    <s v="TRANSFER FROM 3199962044300"/>
    <m/>
    <n v="9372.83"/>
    <n v="260715.12000000005"/>
    <s v="Mutual Fund Sold"/>
    <m/>
    <x v="179"/>
    <m/>
    <s v="2021-2022"/>
    <s v="CHECKED"/>
  </r>
  <r>
    <x v="548"/>
    <d v="2021-05-04T00:00:00"/>
    <s v="   BY TRANSFER-NEFT*RBIS0GORJEP*RBI1242175787780*TREASURY OFFICE--"/>
    <s v="TRANSFER FROM 3199962044300"/>
    <m/>
    <n v="28476"/>
    <n v="289191.12000000005"/>
    <s v="Salary"/>
    <m/>
    <x v="0"/>
    <m/>
    <s v="2021-2022"/>
    <s v="CHECKED"/>
  </r>
  <r>
    <x v="549"/>
    <d v="2021-05-06T00:00:00"/>
    <s v="   TO TRANSFER-UPI/DR/112645629739/SACHIN S/CNRB/sachingumb/Payme--"/>
    <s v="TRANSFER TO 4694187162098"/>
    <n v="2200"/>
    <m/>
    <n v="286991.12000000005"/>
    <s v="Transfer Through UPI App"/>
    <m/>
    <x v="191"/>
    <m/>
    <s v="2021-2022"/>
    <s v="CHECKED"/>
  </r>
  <r>
    <x v="550"/>
    <d v="2021-05-07T00:00:00"/>
    <s v="   TO TRANSFER-UPI/DR/112713308896/38281816/sbin/3828181645/DIVYA--"/>
    <s v="TRANSFER TO 4694285162096"/>
    <n v="21500"/>
    <m/>
    <n v="265491.12000000005"/>
    <s v="Transfer Through UPI App"/>
    <m/>
    <x v="192"/>
    <m/>
    <s v="2021-2022"/>
    <s v="CHECKED"/>
  </r>
  <r>
    <x v="550"/>
    <d v="2021-05-07T00:00:00"/>
    <s v="   TO TRANSFER-UPI/DR/112731755318/SACHIN S/CNRB/sachingumb/Payme--"/>
    <s v="TRANSFER TO 5097964162091"/>
    <n v="485"/>
    <m/>
    <n v="265006.12000000005"/>
    <s v="Transfer Through UPI App"/>
    <m/>
    <x v="191"/>
    <m/>
    <s v="2021-2022"/>
    <s v="CHECKED"/>
  </r>
  <r>
    <x v="550"/>
    <d v="2021-05-07T00:00:00"/>
    <s v="   TO TRANSFER-UPI/DR/112736410325/PhonePe/YESB/EURONET@yb/Paymen--"/>
    <s v="TRANSFER TO 4692607162099"/>
    <n v="49"/>
    <m/>
    <n v="264957.12000000005"/>
    <s v="Mobile Recharge"/>
    <s v="Phone Pe App"/>
    <x v="161"/>
    <m/>
    <s v="2021-2022"/>
    <s v="CHECKED"/>
  </r>
  <r>
    <x v="551"/>
    <d v="2021-05-10T00:00:00"/>
    <s v="   TO TRANSFER-UPI/DR/113018462768/SACHIN S/CNRB/sachingumb/Payme--"/>
    <s v="TRANSFER TO 4898814162091"/>
    <n v="530"/>
    <m/>
    <n v="264427.12000000005"/>
    <s v="Transfer Through UPI App"/>
    <m/>
    <x v="191"/>
    <m/>
    <s v="2021-2022"/>
    <s v="CHECKED"/>
  </r>
  <r>
    <x v="551"/>
    <d v="2021-05-10T00:00:00"/>
    <s v="   ATM WDL-ATM CASH 5143  CASH POINT SURKHAB CHOSIRSA--"/>
    <m/>
    <n v="10000"/>
    <m/>
    <n v="254427.12000000005"/>
    <s v="Cash Withdrwal"/>
    <m/>
    <x v="187"/>
    <s v="cash withdrawal in sirsa (for house rent and 5000 cash given to aseem (aseem ne dr ko advance payment ki thi aseem ko cash payment de di)"/>
    <s v="2021-2022"/>
    <s v="CHECKED"/>
  </r>
  <r>
    <x v="552"/>
    <d v="2021-05-12T00:00:00"/>
    <s v="   TO TRANSFER-UPI/DR/113285762621/Zerodha /HDFC/zerodhabro/Payme--"/>
    <s v="TRANSFER TO 5097704162098"/>
    <n v="50000"/>
    <m/>
    <n v="204427.12000000005"/>
    <s v="Transfer Through UPI App"/>
    <s v="Phone Pe App"/>
    <x v="33"/>
    <m/>
    <s v="2021-2022"/>
    <s v="CHECKED"/>
  </r>
  <r>
    <x v="553"/>
    <d v="2021-05-13T00:00:00"/>
    <s v="   TO TRANSFER-UPI/DR/113359626050/Zerodha /HDFC/zerodhabro/Payme--"/>
    <s v="TRANSFER TO 5097817162090"/>
    <n v="50000"/>
    <m/>
    <n v="154427.12000000005"/>
    <s v="Transfer Through UPI App"/>
    <s v="Phone Pe App"/>
    <x v="33"/>
    <m/>
    <s v="2021-2022"/>
    <s v="CHECKED"/>
  </r>
  <r>
    <x v="553"/>
    <d v="2021-05-13T00:00:00"/>
    <s v="   TO TRANSFER-UPI/DR/113340335032/Zerodha /HDFC/zerodhabro/Payme--"/>
    <s v="TRANSFER TO 5097781162097"/>
    <n v="50000"/>
    <m/>
    <n v="104427.12000000005"/>
    <s v="Transfer Through UPI App"/>
    <s v="Phone Pe App"/>
    <x v="33"/>
    <m/>
    <s v="2021-2022"/>
    <s v="CHECKED"/>
  </r>
  <r>
    <x v="554"/>
    <d v="2021-05-16T00:00:00"/>
    <s v="   TO TRANSFER-UPI/DR/113639002642/Zerodha /HDFC/zerodhabro/Payme--"/>
    <s v="TRANSFER TO 4692676162098"/>
    <n v="50000"/>
    <m/>
    <n v="54427.120000000054"/>
    <s v="Transfer Through UPI App"/>
    <s v="Phone Pe App"/>
    <x v="33"/>
    <m/>
    <s v="2021-2022"/>
    <s v="CHECKED"/>
  </r>
  <r>
    <x v="554"/>
    <d v="2021-05-16T00:00:00"/>
    <s v="   BY TRANSFER-UPI/CR/113614524080/GOOGLEPAY/UTIB/goog-payme/Earn--"/>
    <s v="TRANSFER FROM 5099308162094"/>
    <m/>
    <n v="5"/>
    <n v="54432.120000000054"/>
    <s v="Earning From UPI App"/>
    <s v="Google Pay App"/>
    <x v="125"/>
    <m/>
    <s v="2021-2022"/>
    <s v="CHECKED"/>
  </r>
  <r>
    <x v="554"/>
    <d v="2021-05-16T00:00:00"/>
    <s v="   by debit card-SBIPG TW0101664654AMAZON                MUMBAI--"/>
    <m/>
    <n v="1564"/>
    <m/>
    <n v="52868.120000000054"/>
    <s v="Transfer using Debit Card (ATM)"/>
    <s v="ATM card"/>
    <x v="0"/>
    <m/>
    <s v="2021-2022"/>
    <s v="CHECKED"/>
  </r>
  <r>
    <x v="555"/>
    <d v="2021-05-23T00:00:00"/>
    <s v="   FI Txn @ CSP outlet-000487034106166653 AEPS WDL TXN @KO 1A773C89--"/>
    <s v="TRANSFER TO 33424295090                           "/>
    <n v="8000"/>
    <m/>
    <n v="44868.120000000054"/>
    <s v="Cash Withdrwal"/>
    <m/>
    <x v="174"/>
    <m/>
    <s v="2021-2022"/>
    <s v="CHECKED"/>
  </r>
  <r>
    <x v="556"/>
    <d v="2021-05-25T00:00:00"/>
    <s v="   TO TRANSFER-UPI/DR/114515720424/billdesk/ICIC/billdesk.p/UPI--"/>
    <s v="TRANSFER TO 5097622162091"/>
    <n v="234.82"/>
    <m/>
    <n v="44633.300000000054"/>
    <s v="Mobile Recharge"/>
    <s v="Google Pay App"/>
    <x v="18"/>
    <m/>
    <s v="2021-2022"/>
    <s v="CHECKED"/>
  </r>
  <r>
    <x v="557"/>
    <d v="2021-05-27T00:00:00"/>
    <s v="   BY TRANSFER-NEFT*YESB0000001*N147210606549289*UTI MUTUAL FUND*--"/>
    <s v="TRANSFER FROM 3199422044305"/>
    <m/>
    <n v="3386.49"/>
    <n v="48019.790000000052"/>
    <s v="Mutual Fund Sold"/>
    <m/>
    <x v="182"/>
    <m/>
    <s v="2021-2022"/>
    <s v="CHECKED"/>
  </r>
  <r>
    <x v="557"/>
    <d v="2021-05-27T00:00:00"/>
    <s v="   BY TRANSFER-NEFT*YESB0000001*N147210606549294*UTI MUTUAL FUND*--"/>
    <s v="TRANSFER FROM 3199424044303"/>
    <m/>
    <n v="843.68"/>
    <n v="48863.470000000052"/>
    <s v="Mutual Fund Sold"/>
    <m/>
    <x v="182"/>
    <m/>
    <s v="2021-2022"/>
    <s v="CHECKED"/>
  </r>
  <r>
    <x v="558"/>
    <d v="2021-06-06T00:00:00"/>
    <s v="   TO TRANSFER-UPI/DR/115775787947/PhonePe/YESB/EURONET@yb/Paymen--"/>
    <s v="TRANSFER TO 4692668162098"/>
    <n v="49"/>
    <m/>
    <n v="48814.470000000052"/>
    <s v="Mobile Recharge"/>
    <s v="Phone Pe App"/>
    <x v="161"/>
    <m/>
    <s v="2021-2022"/>
    <s v="CHECKED"/>
  </r>
  <r>
    <x v="559"/>
    <d v="2021-06-07T00:00:00"/>
    <s v="   BY TRANSFER-NEFT*YESB0000001*N158210619343212*UTI MUTUAL FUND*--"/>
    <s v="TRANSFER FROM 3199964044308"/>
    <m/>
    <n v="26107.21"/>
    <n v="74921.680000000051"/>
    <s v="Mutual Fund Sold"/>
    <m/>
    <x v="183"/>
    <m/>
    <s v="2021-2022"/>
    <s v="CHECKED"/>
  </r>
  <r>
    <x v="559"/>
    <d v="2021-06-07T00:00:00"/>
    <s v="   BY TRANSFER-NEFT*YESB0000001*N158210619343213*UTI MUTUAL FUND*--"/>
    <s v="TRANSFER FROM 3199965044307"/>
    <m/>
    <n v="1844.3"/>
    <n v="76765.980000000054"/>
    <s v="Mutual Fund Sold"/>
    <m/>
    <x v="183"/>
    <m/>
    <s v="2021-2022"/>
    <s v="CHECKED"/>
  </r>
  <r>
    <x v="559"/>
    <d v="2021-06-07T00:00:00"/>
    <s v="   BY TRANSFER-NEFT*RBIS0GORJEP*RBI1592119532534*TREASURY OFFICE--"/>
    <s v="TRANSFER FROM 3199968044304"/>
    <m/>
    <n v="30576"/>
    <n v="107341.98000000005"/>
    <s v="Salary"/>
    <m/>
    <x v="0"/>
    <m/>
    <s v="2021-2022"/>
    <s v="CHECKED"/>
  </r>
  <r>
    <x v="560"/>
    <d v="2021-06-10T00:00:00"/>
    <s v="   TO TRANSFER-UPI/DR/116109920942/Zerodha /HDFC/zerodhabro/UPI--"/>
    <s v="TRANSFER TO 4692561162098"/>
    <n v="11000"/>
    <m/>
    <n v="96341.980000000054"/>
    <s v="Transfer Through UPI App"/>
    <s v="Google Pay App"/>
    <x v="33"/>
    <m/>
    <s v="2021-2022"/>
    <s v="CHECKED"/>
  </r>
  <r>
    <x v="561"/>
    <d v="2021-06-17T00:00:00"/>
    <s v="   TO TRANSFER-UPI/DR/116812396729/Zerodha/ICIC/zerodha.ra/UPI--"/>
    <s v="TRANSFER TO 4692570162096"/>
    <n v="5000"/>
    <m/>
    <n v="91341.980000000054"/>
    <s v="Transfer Through UPI App"/>
    <s v="Bhim App"/>
    <x v="33"/>
    <m/>
    <s v="2021-2022"/>
    <s v="CHECKED"/>
  </r>
  <r>
    <x v="562"/>
    <d v="2021-06-18T00:00:00"/>
    <s v="   TO TRANSFER-UPI/DR/116906289290/Zerodha /HDFC/zerodhabro/UPI--"/>
    <s v="TRANSFER TO 5097913162091"/>
    <n v="13000"/>
    <m/>
    <n v="78341.980000000054"/>
    <s v="Transfer Through UPI App"/>
    <s v="Google Pay App"/>
    <x v="33"/>
    <m/>
    <s v="2021-2022"/>
    <s v="CHECKED"/>
  </r>
  <r>
    <x v="563"/>
    <d v="2021-06-22T00:00:00"/>
    <s v="   TO TRANSFER-UPI/DR/117305483164/Zerodha /HDFC/zerodhabro/UPI--"/>
    <s v="TRANSFER TO 5097622162091"/>
    <n v="5000"/>
    <m/>
    <n v="73341.980000000054"/>
    <s v="Transfer Through UPI App"/>
    <s v="Google Pay App"/>
    <x v="33"/>
    <m/>
    <s v="2021-2022"/>
    <s v="CHECKED"/>
  </r>
  <r>
    <x v="564"/>
    <d v="2021-06-23T00:00:00"/>
    <s v="   by debit card-OTHPG 239828      Reliance Retail Ltd   MUMBAI--"/>
    <m/>
    <n v="234.82"/>
    <m/>
    <n v="73107.160000000047"/>
    <s v="Mobile Recharge"/>
    <s v="ATM card"/>
    <x v="18"/>
    <m/>
    <s v="2021-2022"/>
    <s v="CHECKED"/>
  </r>
  <r>
    <x v="564"/>
    <d v="2021-06-23T00:00:00"/>
    <s v="   BY TRANSFER-UPI/CR/117407297790/GOOGLEPAY/UTIB/goog-payme/Earn--"/>
    <s v="TRANSFER FROM 4899350162098"/>
    <m/>
    <n v="4"/>
    <n v="73111.160000000047"/>
    <s v="Earning From UPI App"/>
    <s v="Google Pay App"/>
    <x v="125"/>
    <m/>
    <s v="2021-2022"/>
    <s v="CHECKED"/>
  </r>
  <r>
    <x v="564"/>
    <d v="2021-06-23T00:00:00"/>
    <s v="   FI Txn @ CSP outlet-000829486195361431 AEPS WDL TXN @KO 1A900867--"/>
    <s v="TRANSFER TO 35749786402                           "/>
    <n v="6000"/>
    <m/>
    <n v="67111.160000000047"/>
    <s v="Cash Withdrwal"/>
    <m/>
    <x v="174"/>
    <m/>
    <s v="2021-2022"/>
    <s v="CHECKED"/>
  </r>
  <r>
    <x v="565"/>
    <d v="2021-06-25T00:00:00"/>
    <s v="   TO TRANSFER-UPI/DR/117609451927/billdesk/ICIC/billdesk.e/UPI--"/>
    <s v="TRANSFER TO 5097908162097"/>
    <n v="1722"/>
    <m/>
    <n v="65389.160000000047"/>
    <s v="Electricity Bill"/>
    <s v="Google Pay App"/>
    <x v="36"/>
    <m/>
    <s v="2021-2022"/>
    <s v="CHECKED"/>
  </r>
  <r>
    <x v="565"/>
    <d v="2021-06-25T00:00:00"/>
    <s v="   CREDIT INTEREST---"/>
    <m/>
    <m/>
    <n v="2034"/>
    <n v="67423.160000000047"/>
    <s v="Credit Interest"/>
    <m/>
    <x v="0"/>
    <m/>
    <s v="2021-2022"/>
    <s v="CHECKED"/>
  </r>
  <r>
    <x v="566"/>
    <d v="2021-06-30T00:00:00"/>
    <s v="   TO TRANSFER-UPI/DR/118116663746/Zerodha /HDFC/zerodhabro/Coin--"/>
    <s v="TRANSFER TO 4692531162093"/>
    <n v="5000"/>
    <m/>
    <n v="62423.160000000047"/>
    <s v="Transfer Through UPI App"/>
    <s v="Google Pay App"/>
    <x v="33"/>
    <m/>
    <s v="2021-2022"/>
    <s v="CHECKED"/>
  </r>
  <r>
    <x v="567"/>
    <d v="2021-07-01T00:00:00"/>
    <s v="   BY TRANSFER-NEFT*RBIS0GORJEP*RBI1832151520837*TREASURY OFFICE--"/>
    <s v="TRANSFER FROM 3199414044305"/>
    <m/>
    <n v="18369"/>
    <n v="80792.160000000047"/>
    <s v="Salary"/>
    <m/>
    <x v="19"/>
    <m/>
    <s v="2021-2022"/>
    <s v="CHECKED"/>
  </r>
  <r>
    <x v="568"/>
    <d v="2021-07-04T00:00:00"/>
    <s v="   TO TRANSFER-UPI/DR/118518841126/Vodafone/PYTM/vilpreraj@/UPI--"/>
    <s v="TRANSFER TO 4692665162091"/>
    <n v="49"/>
    <m/>
    <n v="80743.160000000047"/>
    <s v="Mobile Recharge"/>
    <s v="Phone Pe App"/>
    <x v="161"/>
    <m/>
    <s v="2021-2022"/>
    <s v="CHECKED"/>
  </r>
  <r>
    <x v="569"/>
    <d v="2021-07-06T00:00:00"/>
    <s v="   BY TRANSFER-NEFT*RBIS0GORJEP*RBI1882162890120*TREASURY OFFICE--"/>
    <s v="TRANSFER FROM 3199415044304"/>
    <m/>
    <n v="30576"/>
    <n v="111319.16000000005"/>
    <s v="Salary"/>
    <m/>
    <x v="0"/>
    <m/>
    <s v="2021-2022"/>
    <s v="CHECKED"/>
  </r>
  <r>
    <x v="569"/>
    <d v="2021-07-06T00:00:00"/>
    <s v="   BY TRANSFER-NEFT*RBIS0GORJEP*RBI1882162889423*TREASURY OFFICE--"/>
    <s v="TRANSFER FROM 3199972044308"/>
    <m/>
    <n v="1094"/>
    <n v="112413.16000000005"/>
    <s v="TA Bill Reimbursement (DOIT)"/>
    <m/>
    <x v="193"/>
    <m/>
    <s v="2021-2022"/>
    <s v="CHECKED"/>
  </r>
  <r>
    <x v="569"/>
    <d v="2021-07-06T00:00:00"/>
    <s v="   BY TRANSFER-NEFT*RBIS0GORJEP*RBI1882162889438*TREASURY OFFICE--"/>
    <s v="TRANSFER FROM 3199413044306"/>
    <m/>
    <n v="519"/>
    <n v="112932.16000000005"/>
    <s v="TA Bill Reimbursement (DOIT)"/>
    <m/>
    <x v="194"/>
    <m/>
    <s v="2021-2022"/>
    <s v="CHECKED"/>
  </r>
  <r>
    <x v="570"/>
    <d v="2021-07-09T00:00:00"/>
    <s v="   TO TRANSFER-UPI/DR/119014928779/Zerodha /HDFC/zerodhabro/Coin--"/>
    <s v="TRANSFER TO 5097880162093"/>
    <n v="5000"/>
    <m/>
    <n v="107932.16000000005"/>
    <s v="Transfer Through UPI App"/>
    <s v="Google Pay App"/>
    <x v="33"/>
    <m/>
    <s v="2021-2022"/>
    <s v="CHECKED"/>
  </r>
  <r>
    <x v="571"/>
    <d v="2021-07-22T00:00:00"/>
    <s v="   BY TRANSFER-NEFT*HDFC0000240*N203211573527669*SBI MUTUAL FUND*--"/>
    <s v="TRANSFER FROM 3199967044305"/>
    <m/>
    <n v="38090.28"/>
    <n v="146022.44000000006"/>
    <s v="Mutual Fund Sold"/>
    <m/>
    <x v="195"/>
    <m/>
    <s v="2021-2022"/>
    <s v="CHECKED"/>
  </r>
  <r>
    <x v="572"/>
    <d v="2021-07-25T00:00:00"/>
    <s v="   by debit card-OTHPG 936555      Reliance Retail Ltd   MUMBAI--"/>
    <m/>
    <n v="234.82"/>
    <m/>
    <n v="145787.62000000005"/>
    <s v="Mobile Recharge"/>
    <s v="ATM card"/>
    <x v="18"/>
    <m/>
    <s v="2021-2022"/>
    <s v="CHECKED"/>
  </r>
  <r>
    <x v="572"/>
    <d v="2021-07-25T00:00:00"/>
    <s v="   ATM WDL-ATM CASH 6828  RANGPURI POLLUTION CENMUKTSAR--"/>
    <m/>
    <n v="7000"/>
    <m/>
    <n v="138787.62000000005"/>
    <s v="Cash Withdrwal"/>
    <m/>
    <x v="3"/>
    <m/>
    <s v="2021-2022"/>
    <s v="CHECKED"/>
  </r>
  <r>
    <x v="572"/>
    <d v="2021-07-25T00:00:00"/>
    <s v="   TO TRANSFER-UPI/DR/120620151385/Zerodha/ICIC/zerodha.ra/520094--"/>
    <s v="TRANSFER TO 4692699162091"/>
    <n v="5000"/>
    <m/>
    <n v="133787.62000000005"/>
    <s v="Transfer Through UPI App"/>
    <s v="Google Pay App"/>
    <x v="33"/>
    <m/>
    <s v="2021-2022"/>
    <s v="CHECKED"/>
  </r>
  <r>
    <x v="573"/>
    <d v="2021-08-02T00:00:00"/>
    <s v="   TO TRANSFER-UPI/DR/121418465738/Zerodha /HDFC/zerodhabro/Coin--"/>
    <s v="TRANSFER TO 5097508162091"/>
    <n v="5000"/>
    <m/>
    <n v="128787.62000000005"/>
    <s v="Transfer Through UPI App"/>
    <s v="Google Pay App"/>
    <x v="33"/>
    <m/>
    <s v="2021-2022"/>
    <s v="CHECKED"/>
  </r>
  <r>
    <x v="573"/>
    <d v="2021-08-02T00:00:00"/>
    <s v="   TO TRANSFER-UPI/DR/121418767452/Jio Mobi/YESB/jio@yesban/JIO20--"/>
    <s v="TRANSFER TO 4898277162099"/>
    <n v="247"/>
    <m/>
    <n v="128540.62000000005"/>
    <s v="Mobile Recharge"/>
    <m/>
    <x v="35"/>
    <m/>
    <s v="2021-2022"/>
    <s v="CHECKED"/>
  </r>
  <r>
    <x v="574"/>
    <d v="2021-08-03T00:00:00"/>
    <s v="   TO TRANSFER-UPI/DR/121509905148/Vodafone/PYTM/vilpreraj@/UPI--"/>
    <s v="TRANSFER TO 4692483162096"/>
    <n v="49"/>
    <m/>
    <n v="128491.62000000005"/>
    <s v="Mobile Recharge"/>
    <m/>
    <x v="161"/>
    <m/>
    <s v="2021-2022"/>
    <s v="CHECKED"/>
  </r>
  <r>
    <x v="574"/>
    <d v="2021-08-03T00:00:00"/>
    <s v="   BY TRANSFER-NEFT*RBIS0GORJEP*RBI2162198917914*TREASURY OFFICE--"/>
    <s v="TRANSFER FROM 3199412044307"/>
    <m/>
    <n v="34794"/>
    <n v="163285.62000000005"/>
    <s v="Salary"/>
    <m/>
    <x v="0"/>
    <m/>
    <s v="2021-2022"/>
    <s v="CHECKED"/>
  </r>
  <r>
    <x v="575"/>
    <d v="2021-08-05T00:00:00"/>
    <s v="   TO TRANSFER-UPI/DR/121712602523/Zerodha/ICIC/zerodha.ra/512313--"/>
    <s v="TRANSFER TO 5097809162099"/>
    <n v="5000"/>
    <m/>
    <n v="158285.62000000005"/>
    <s v="Transfer Through UPI App"/>
    <s v="Google Pay App"/>
    <x v="33"/>
    <m/>
    <s v="2021-2022"/>
    <s v="CHECKED"/>
  </r>
  <r>
    <x v="575"/>
    <d v="2021-08-05T00:00:00"/>
    <s v="   TO TRANSFER-UPI/DR/121718184047/Zerodha/ICIC/zerodha.ra/518180--"/>
    <s v="TRANSFER TO 5097796162090"/>
    <n v="5000"/>
    <m/>
    <n v="153285.62000000005"/>
    <s v="Transfer Through UPI App"/>
    <s v="Google Pay App"/>
    <x v="33"/>
    <m/>
    <s v="2021-2022"/>
    <s v="CHECKED"/>
  </r>
  <r>
    <x v="576"/>
    <d v="2021-08-10T00:00:00"/>
    <s v="   BY TRANSFER-NEFT*YESB0000001*N222210704113587*UTI MUTUAL FUND*--"/>
    <s v="TRANSFER FROM 3199683044306"/>
    <m/>
    <n v="1547.42"/>
    <n v="154833.04000000007"/>
    <s v="Mutual Fund Sold"/>
    <m/>
    <x v="182"/>
    <m/>
    <s v="2021-2022"/>
    <s v="CHECKED"/>
  </r>
  <r>
    <x v="576"/>
    <d v="2021-08-10T00:00:00"/>
    <s v="   BY TRANSFER-NEFT*YESB0000001*N222210704113591*UTI MUTUAL FUND*--"/>
    <s v="TRANSFER FROM 3199967044305"/>
    <m/>
    <n v="1640.93"/>
    <n v="156473.97000000006"/>
    <s v="Mutual Fund Sold"/>
    <m/>
    <x v="183"/>
    <m/>
    <s v="2021-2022"/>
    <s v="CHECKED"/>
  </r>
  <r>
    <x v="577"/>
    <d v="2021-08-11T00:00:00"/>
    <s v="   TO TRANSFER-UPI/DR/122308713140/Zerodha/ICIC/zerodha.ra/108322--"/>
    <s v="TRANSFER TO 5097688162094"/>
    <n v="15000"/>
    <m/>
    <n v="141473.97000000006"/>
    <s v="Transfer Through UPI App"/>
    <s v="Google Pay App"/>
    <x v="33"/>
    <m/>
    <s v="2021-2022"/>
    <s v="CHECKED"/>
  </r>
  <r>
    <x v="577"/>
    <d v="2021-08-11T00:00:00"/>
    <s v="   TO TRANSFER-UPI/DR/122308803685/billdesk/ICIC/billdesk.p/UPI--"/>
    <s v="TRANSFER TO 4692510162097"/>
    <n v="50"/>
    <m/>
    <n v="141423.97000000006"/>
    <s v="Mobile Recharge"/>
    <s v="Google Pay App"/>
    <x v="161"/>
    <m/>
    <s v="2021-2022"/>
    <s v="CHECKED"/>
  </r>
  <r>
    <x v="577"/>
    <d v="2021-08-11T00:00:00"/>
    <s v="   BY TRANSFER-UPI/CR/122308936424/GOOGLEPAY/UTIB/goog-payme/UPI--"/>
    <s v="TRANSFER FROM 4898957162097"/>
    <m/>
    <n v="6"/>
    <n v="141429.97000000006"/>
    <s v="Earning From UPI App"/>
    <s v="Google Pay App"/>
    <x v="125"/>
    <m/>
    <s v="2021-2022"/>
    <s v="CHECKED"/>
  </r>
  <r>
    <x v="577"/>
    <d v="2021-08-11T00:00:00"/>
    <s v="   ATM WDL-ATM CASH 7988  SBBJ TIBBI            HANUMANGARH--"/>
    <m/>
    <n v="7000"/>
    <m/>
    <n v="134429.97000000006"/>
    <s v="Cash Withdrwal"/>
    <m/>
    <x v="15"/>
    <m/>
    <s v="2021-2022"/>
    <s v="CHECKED"/>
  </r>
  <r>
    <x v="578"/>
    <d v="2021-08-19T00:00:00"/>
    <s v="   TO TRANSFER-UPI/DR/123119083206/Zerodha /HDFC/zerodhabro/Coin--"/>
    <s v="TRANSFER TO 5097820162094"/>
    <n v="4000"/>
    <m/>
    <n v="130429.97000000006"/>
    <s v="Transfer Through UPI App"/>
    <s v="Google Pay App"/>
    <x v="33"/>
    <m/>
    <s v="2021-2022"/>
    <s v="CHECKED"/>
  </r>
  <r>
    <x v="579"/>
    <d v="2021-08-20T00:00:00"/>
    <s v="   BY TRANSFER-NEFT*RBIS0GORJEP*RBI2322125873962*TREASURY OFFICE--"/>
    <s v="TRANSFER FROM 3199419044300"/>
    <m/>
    <n v="323"/>
    <n v="130752.97000000006"/>
    <s v="Salary"/>
    <m/>
    <x v="7"/>
    <s v="Salary Arrer  Aug"/>
    <s v="2021-2022"/>
    <s v="CHECKED"/>
  </r>
  <r>
    <x v="579"/>
    <d v="2021-08-20T00:00:00"/>
    <s v="   BY TRANSFER-UPI/CR/123239947139/SOURABH /SBIN/narangsour/Payme--"/>
    <s v="TRANSFER FROM 4693451162096"/>
    <m/>
    <n v="2600"/>
    <n v="133352.97000000006"/>
    <s v="Received Through UPI App"/>
    <s v="Phone Pe App"/>
    <x v="0"/>
    <m/>
    <s v="2021-2022"/>
    <s v="CHECKED"/>
  </r>
  <r>
    <x v="580"/>
    <d v="2021-08-21T00:00:00"/>
    <s v="   TO TRANSFER-UPI/DR/123324451880/SOURABH /SBIN/narangsour/Payme--"/>
    <s v="TRANSFER TO 5099741162099"/>
    <n v="100"/>
    <m/>
    <n v="133252.97000000006"/>
    <s v="Transfer Through UPI App"/>
    <s v="Phone Pe App"/>
    <x v="175"/>
    <m/>
    <s v="2021-2022"/>
    <s v="CHECKED"/>
  </r>
  <r>
    <x v="581"/>
    <d v="2021-08-24T00:00:00"/>
    <s v="   TO TRANSFER-UPI/DR/123605549456/Zerodha/ICIC/zerodha.ra/405552--"/>
    <s v="TRANSFER TO 5097634162097"/>
    <n v="5000"/>
    <m/>
    <n v="128252.97000000006"/>
    <s v="Transfer Through UPI App"/>
    <s v="Google Pay App"/>
    <x v="33"/>
    <m/>
    <s v="2021-2022"/>
    <s v="CHECKED"/>
  </r>
  <r>
    <x v="581"/>
    <d v="2021-08-24T00:00:00"/>
    <s v="   by debit card-OTHPG 175580      RELIANCERETAILLIMITED 201301--"/>
    <m/>
    <n v="234.82"/>
    <m/>
    <n v="128018.15000000005"/>
    <s v="Mobile Recharge"/>
    <s v="ATM card"/>
    <x v="18"/>
    <m/>
    <s v="2021-2022"/>
    <s v="CHECKED"/>
  </r>
  <r>
    <x v="581"/>
    <d v="2021-08-24T00:00:00"/>
    <s v="   TO TRANSFER-UPI/DR/123612924997/billdesk/ICIC/billdesk.e/UPI--"/>
    <s v="TRANSFER TO 4692475162096"/>
    <n v="1277"/>
    <m/>
    <n v="126741.15000000005"/>
    <s v="Electricity Bill"/>
    <s v="Google Pay App"/>
    <x v="36"/>
    <m/>
    <s v="2021-2022"/>
    <s v="CHECKED"/>
  </r>
  <r>
    <x v="582"/>
    <d v="2021-08-31T00:00:00"/>
    <s v="   BY TRANSFER-NEFT*RBIS0GORJEP*RBI2442135533227*TREASURY OFFICE--"/>
    <s v="TRANSFER FROM 3199675044306"/>
    <m/>
    <n v="11880"/>
    <n v="138621.15000000005"/>
    <s v="Other Bill Reimbursement (DOIT)"/>
    <m/>
    <x v="0"/>
    <m/>
    <s v="2021-2022"/>
    <s v="4. PENDING TO CHECK OTHER BILLS IN OFFICE AND OTHER EXCEL SHEETS"/>
  </r>
  <r>
    <x v="583"/>
    <d v="2021-09-01T00:00:00"/>
    <s v="   BY TRANSFER-NEFT*RBIS0GORJEP*RBI2442136551595*TREASURY OFFICE--"/>
    <s v="TRANSFER FROM 3199960044301"/>
    <m/>
    <n v="35117"/>
    <n v="173738.15000000005"/>
    <s v="Salary"/>
    <m/>
    <x v="0"/>
    <m/>
    <s v="2021-2022"/>
    <s v="CHECKED"/>
  </r>
  <r>
    <x v="583"/>
    <d v="2021-09-01T00:00:00"/>
    <s v="   TO TRANSFER-UPI/DR/124412604519/Vodafone/PYTM/vilpreraj@/UPI--"/>
    <s v="TRANSFER TO 4692529162097"/>
    <n v="49"/>
    <m/>
    <n v="173689.15000000005"/>
    <s v="Mobile Recharge"/>
    <s v="Phone Pe App"/>
    <x v="161"/>
    <m/>
    <s v="2021-2022"/>
    <s v="CHECKED"/>
  </r>
  <r>
    <x v="584"/>
    <d v="2021-09-02T00:00:00"/>
    <s v="   TO TRANSFER-UPI/DR/124507263064/Zerodha /HDFC/zerodhabro/Coin--"/>
    <s v="TRANSFER TO 5097806162092"/>
    <n v="1500"/>
    <m/>
    <n v="172189.15000000005"/>
    <s v="Transfer Through UPI App"/>
    <s v="Google Pay App"/>
    <x v="33"/>
    <m/>
    <s v="2021-2022"/>
    <s v="CHECKED"/>
  </r>
  <r>
    <x v="585"/>
    <d v="2021-09-06T00:00:00"/>
    <s v="   TO TRANSFER-UPI/DR/124906114615/Zerodha /HDFC/zerodhabro/Coin--"/>
    <s v="TRANSFER TO 4898277162099"/>
    <n v="3500"/>
    <m/>
    <n v="168689.15000000005"/>
    <s v="Transfer Through UPI App"/>
    <s v="Google Pay App"/>
    <x v="33"/>
    <m/>
    <s v="2021-2022"/>
    <s v="CHECKED"/>
  </r>
  <r>
    <x v="585"/>
    <d v="2021-09-06T00:00:00"/>
    <s v="   TO TRANSFER-UPI/DR/124908932041/Jio Mobi/YESB/jio@yesban/JIO20--"/>
    <s v="TRANSFER TO 5097518162090"/>
    <n v="1299"/>
    <m/>
    <n v="167390.15000000005"/>
    <s v="Mobile Recharge"/>
    <m/>
    <x v="35"/>
    <m/>
    <s v="2021-2022"/>
    <s v="CHECKED"/>
  </r>
  <r>
    <x v="586"/>
    <d v="2021-09-08T00:00:00"/>
    <s v="   ATM WDL-ATM CASH 3681  SBBJ TIBBI            HANUMANGARH--"/>
    <m/>
    <n v="8000"/>
    <m/>
    <n v="159390.15000000005"/>
    <s v="Cash Withdrwal"/>
    <m/>
    <x v="15"/>
    <m/>
    <s v="2021-2022"/>
    <s v="CHECKED"/>
  </r>
  <r>
    <x v="587"/>
    <d v="2021-09-12T00:00:00"/>
    <s v="   TO TRANSFER-UPI/DR/125507501785/Zerodha /HDFC/zerodhabro/Coin--"/>
    <s v="TRANSFER TO 4898759162092"/>
    <n v="3500"/>
    <m/>
    <n v="155890.15000000005"/>
    <s v="Transfer Through UPI App"/>
    <s v="Google Pay App"/>
    <x v="33"/>
    <m/>
    <s v="2021-2022"/>
    <s v="CHECKED"/>
  </r>
  <r>
    <x v="587"/>
    <d v="2021-09-12T00:00:00"/>
    <s v="   ATM WDL-ATM CASH 12551 MALOUT                 MUKTSAR--"/>
    <m/>
    <n v="10000"/>
    <m/>
    <n v="145890.15000000005"/>
    <s v="Cash Withdrwal"/>
    <m/>
    <x v="3"/>
    <s v="given to rohit jain"/>
    <s v="2021-2022"/>
    <s v="CHECKED"/>
  </r>
  <r>
    <x v="587"/>
    <d v="2021-09-12T00:00:00"/>
    <s v="   ATM WDL-ATM CASH 12551 MALOUT                 MUKTSAR--"/>
    <m/>
    <n v="10000"/>
    <m/>
    <n v="135890.15000000005"/>
    <s v="Cash Withdrwal"/>
    <m/>
    <x v="3"/>
    <s v="given to rohit jain"/>
    <s v="2021-2022"/>
    <s v="CHECKED"/>
  </r>
  <r>
    <x v="587"/>
    <d v="2021-09-12T00:00:00"/>
    <s v="   ATM WDL-ATM CASH 12551 MALOUT                 MUKTSAR--"/>
    <m/>
    <n v="10000"/>
    <m/>
    <n v="125890.15000000005"/>
    <s v="Cash Withdrwal"/>
    <m/>
    <x v="3"/>
    <s v="given to rohit jain"/>
    <s v="2021-2022"/>
    <s v="CHECKED"/>
  </r>
  <r>
    <x v="587"/>
    <d v="2021-09-12T00:00:00"/>
    <s v="   ATM WDL-ATM CASH 12551 MALOUT                 MUKTSAR--"/>
    <m/>
    <n v="10000"/>
    <m/>
    <n v="115890.15000000005"/>
    <s v="Cash Withdrwal"/>
    <m/>
    <x v="3"/>
    <s v="given to rohit jain"/>
    <s v="2021-2022"/>
    <s v="CHECKED"/>
  </r>
  <r>
    <x v="587"/>
    <d v="2021-09-12T00:00:00"/>
    <s v="   TO TRANSFER-INB credit--"/>
    <s v="IT00HKWEY5               TRANSFER TO 20078643908  "/>
    <n v="65000"/>
    <m/>
    <n v="50890.150000000052"/>
    <s v="Transfer Through Net Banking"/>
    <m/>
    <x v="196"/>
    <m/>
    <s v="2021-2022"/>
    <s v="8. Family Transfers"/>
  </r>
  <r>
    <x v="588"/>
    <d v="2021-09-15T00:00:00"/>
    <s v="   BY TRANSFER-P092101A808F8 HPCL LPG SUBSIDY HPAP34D--"/>
    <s v="TRANSFER FROM 4599408105216"/>
    <m/>
    <n v="9.9499999999999993"/>
    <n v="50900.100000000049"/>
    <s v="Subsidy"/>
    <m/>
    <x v="6"/>
    <s v="cyllinder book nhi krvaya fir bhi subsidy aa gyi"/>
    <s v="2021-2022"/>
    <s v="CHECKED"/>
  </r>
  <r>
    <x v="589"/>
    <d v="2021-09-17T00:00:00"/>
    <s v="   TO TRANSFER-UPI/DR/126010524274/VODAFONE/HSBC/viprevf@hs/UPI--"/>
    <s v="TRANSFER TO 4692597162096"/>
    <n v="79"/>
    <m/>
    <n v="50821.100000000049"/>
    <s v="Mobile Recharge"/>
    <m/>
    <x v="161"/>
    <m/>
    <s v="2021-2022"/>
    <s v="CHECKED"/>
  </r>
  <r>
    <x v="590"/>
    <d v="2021-09-23T00:00:00"/>
    <s v="   BY TRANSFER-NEFT*YESB0000001*N266210766220767*ZERODHA BROKING--"/>
    <s v="TRANSFER FROM 3199420044306"/>
    <m/>
    <n v="685000"/>
    <n v="735821.10000000009"/>
    <s v="Received Through Net Banking"/>
    <m/>
    <x v="0"/>
    <m/>
    <s v="2021-2022"/>
    <s v="2. pending to check zerodha broking"/>
  </r>
  <r>
    <x v="590"/>
    <d v="2021-09-23T00:00:00"/>
    <s v="   TO TRANSFER-INB Credit--"/>
    <s v="IT00HPGDW6               TRANSFER TO 20078643908  "/>
    <n v="1000"/>
    <m/>
    <n v="734821.10000000009"/>
    <s v="Transfer Through Net Banking"/>
    <m/>
    <x v="196"/>
    <m/>
    <s v="2021-2022"/>
    <s v="8. Family Transfers"/>
  </r>
  <r>
    <x v="590"/>
    <d v="2021-09-23T00:00:00"/>
    <s v="   TO TRANSFER-INB credit--"/>
    <s v="IT00HPGEP8               TRANSFER TO 20078643908  "/>
    <n v="699000"/>
    <m/>
    <n v="35821.100000000093"/>
    <s v="Transfer Through Net Banking"/>
    <m/>
    <x v="196"/>
    <m/>
    <s v="2021-2022"/>
    <s v="8. Family Transfers"/>
  </r>
  <r>
    <x v="591"/>
    <d v="2021-09-24T00:00:00"/>
    <s v="   by debit card-OTHPG 893867      Reliance Retail Ltd   MUMBAI--"/>
    <m/>
    <n v="234.82"/>
    <m/>
    <n v="35586.280000000093"/>
    <s v="Mobile Recharge"/>
    <s v="ATM card"/>
    <x v="18"/>
    <m/>
    <s v="2021-2022"/>
    <s v="CHECKED"/>
  </r>
  <r>
    <x v="592"/>
    <d v="2021-09-25T00:00:00"/>
    <s v="   CREDIT INTEREST---"/>
    <m/>
    <m/>
    <n v="786"/>
    <n v="36372.280000000093"/>
    <s v="Credit Interest"/>
    <m/>
    <x v="0"/>
    <m/>
    <s v="2021-2022"/>
    <s v="CHECKED"/>
  </r>
  <r>
    <x v="593"/>
    <d v="2021-10-01T00:00:00"/>
    <s v="   TO TRANSFER-UPI/DR/127412779876/Zerodha /HDFC/zerodhabro/Coin--"/>
    <s v="TRANSFER TO 5097906162099"/>
    <n v="5000"/>
    <m/>
    <n v="31372.280000000093"/>
    <s v="Transfer Through UPI App"/>
    <s v="Google Pay App"/>
    <x v="33"/>
    <m/>
    <s v="2021-2022"/>
    <s v="CHECKED"/>
  </r>
  <r>
    <x v="594"/>
    <d v="2021-10-05T00:00:00"/>
    <s v="   TO TRANSFER-UPI/DR/127807391859/Zerodha/ICIC/zerodha.ra/507540--"/>
    <s v="TRANSFER TO 4692486162093"/>
    <n v="8000"/>
    <m/>
    <n v="23372.280000000093"/>
    <s v="Transfer Through UPI App"/>
    <s v="Google Pay App"/>
    <x v="33"/>
    <m/>
    <s v="2021-2022"/>
    <s v="CHECKED"/>
  </r>
  <r>
    <x v="595"/>
    <d v="2021-10-08T00:00:00"/>
    <s v="   TO TRANSFER-UPI/DR/128104855285/Zerodha /HDFC/zerodhabro/Coin--"/>
    <s v="TRANSFER TO 5097889162095"/>
    <n v="5000"/>
    <m/>
    <n v="18372.280000000093"/>
    <s v="Transfer Through UPI App"/>
    <s v="Google Pay App"/>
    <x v="33"/>
    <m/>
    <s v="2021-2022"/>
    <s v="CHECKED"/>
  </r>
  <r>
    <x v="596"/>
    <d v="2021-10-10T00:00:00"/>
    <s v="   by debit card-SBIPG TW0273331482AMAZON                MUMBAI--"/>
    <m/>
    <n v="1099"/>
    <m/>
    <n v="17273.280000000093"/>
    <s v="Transfer using Debit Card (ATM)"/>
    <s v="ATM card"/>
    <x v="0"/>
    <m/>
    <s v="2021-2022"/>
    <s v="CHECKED"/>
  </r>
  <r>
    <x v="597"/>
    <d v="2021-10-11T00:00:00"/>
    <s v="   BY TRANSFER-NEFT*RBIS0GORJEP*RBI2852104149906*TREASURY OFFICE--"/>
    <s v="TRANSFER FROM 3199421044306"/>
    <m/>
    <n v="34897"/>
    <n v="52170.280000000093"/>
    <s v="Salary"/>
    <m/>
    <x v="0"/>
    <m/>
    <s v="2021-2022"/>
    <s v="CHECKED"/>
  </r>
  <r>
    <x v="598"/>
    <d v="2021-10-12T00:00:00"/>
    <s v="   by debit card-SBIPG TW0275462298AMAZON                MUMBAI--"/>
    <m/>
    <n v="179"/>
    <m/>
    <n v="51991.280000000093"/>
    <s v="Transfer using Debit Card (ATM)"/>
    <s v="ATM card"/>
    <x v="0"/>
    <m/>
    <s v="2021-2022"/>
    <s v="CHECKED"/>
  </r>
  <r>
    <x v="598"/>
    <d v="2021-10-12T00:00:00"/>
    <s v="   BY TRANSFER-P102100C0DBBA HPCL LPG SUBSIDY HPAP34D--"/>
    <s v="TRANSFER FROM 3199975105213"/>
    <m/>
    <n v="9.9499999999999993"/>
    <n v="52001.230000000091"/>
    <s v="Subsidy"/>
    <m/>
    <x v="6"/>
    <m/>
    <s v="2021-2022"/>
    <s v="CHECKED"/>
  </r>
  <r>
    <x v="599"/>
    <d v="2021-10-20T00:00:00"/>
    <s v="   TO TRANSFER-UPI/DR/129322021420/Vodafone/PYTM/vilpreraj@/UPI--"/>
    <s v="TRANSFER TO 5097738162099"/>
    <n v="79"/>
    <m/>
    <n v="51922.230000000091"/>
    <s v="Mobile Recharge"/>
    <m/>
    <x v="161"/>
    <m/>
    <s v="2021-2022"/>
    <s v="CHECKED"/>
  </r>
  <r>
    <x v="600"/>
    <d v="2021-10-21T00:00:00"/>
    <s v="   BY TRANSFER-NEFT*YESB0000001*N294210812130470*ZERODHA BROKING--"/>
    <s v="TRANSFER FROM 3199960044301"/>
    <m/>
    <n v="10053.040000000001"/>
    <n v="61975.270000000091"/>
    <s v="Received Through Net Banking"/>
    <m/>
    <x v="0"/>
    <m/>
    <s v="2021-2022"/>
    <s v="2. pending to check zerodha broking"/>
  </r>
  <r>
    <x v="601"/>
    <d v="2021-10-23T00:00:00"/>
    <s v="   TO TRANSFER-UPI/DR/129619044038/Zerodha/ICIC/zerodha.ra/318595--"/>
    <s v="TRANSFER TO 5097974162099"/>
    <n v="5000"/>
    <m/>
    <n v="56975.270000000091"/>
    <s v="Transfer Through UPI App"/>
    <s v="Google Pay App"/>
    <x v="33"/>
    <m/>
    <s v="2021-2022"/>
    <s v="CHECKED"/>
  </r>
  <r>
    <x v="601"/>
    <d v="2021-10-23T00:00:00"/>
    <s v="   TO TRANSFER-UPI/DR/129619097437/RELIANCE/CITI/jio@citiba/JIO20--"/>
    <s v="TRANSFER TO 5098007162092"/>
    <n v="234.82"/>
    <m/>
    <n v="56740.450000000092"/>
    <s v="Mobile Recharge"/>
    <m/>
    <x v="18"/>
    <m/>
    <s v="2021-2022"/>
    <s v="CHECKED"/>
  </r>
  <r>
    <x v="602"/>
    <d v="2021-11-01T00:00:00"/>
    <s v="   BY TRANSFER-NEFT*RBIS0GORJEP*RBI3052134213486*TREASURY OFFICE--"/>
    <s v="TRANSFER FROM 3199971044309"/>
    <m/>
    <n v="35769"/>
    <n v="92509.450000000099"/>
    <s v="Salary"/>
    <m/>
    <x v="0"/>
    <m/>
    <s v="2021-2022"/>
    <s v="CHECKED"/>
  </r>
  <r>
    <x v="602"/>
    <d v="2021-11-01T00:00:00"/>
    <s v="   BY TRANSFER-NEFT*RBIS0GORJEP*RBI3062137629821*TREASURY OFFICE--"/>
    <s v="TRANSFER FROM 3199970044309"/>
    <m/>
    <n v="3387"/>
    <n v="95896.450000000099"/>
    <s v="Salary"/>
    <m/>
    <x v="10"/>
    <m/>
    <s v="2021-2022"/>
    <s v="CHECKED"/>
  </r>
  <r>
    <x v="603"/>
    <d v="2021-11-04T00:00:00"/>
    <s v="   TO TRANSFER-UPI/DR/130815757208/Zerodha/ICIC/zerodha.ra/415234--"/>
    <s v="TRANSFER TO 4692556162094"/>
    <n v="5000"/>
    <m/>
    <n v="90896.450000000099"/>
    <s v="Transfer Through UPI App"/>
    <s v="Google Pay App"/>
    <x v="33"/>
    <m/>
    <s v="2021-2022"/>
    <s v="CHECKED"/>
  </r>
  <r>
    <x v="604"/>
    <d v="2021-11-05T00:00:00"/>
    <s v="   TO TRANSFER-UPI/DR/130907979328/billdesk/ICIC/billdesk.e/UPI--"/>
    <s v="TRANSFER TO 4692606162090"/>
    <n v="1995"/>
    <m/>
    <n v="88901.450000000099"/>
    <s v="Electricity Bill"/>
    <s v="Google Pay App"/>
    <x v="36"/>
    <m/>
    <s v="2021-2022"/>
    <s v="CHECKED"/>
  </r>
  <r>
    <x v="605"/>
    <d v="2021-11-16T00:00:00"/>
    <s v="   TO TRANSFER-UPI/DR/132009144519/Zerodha /HDFC/zerodhabro/Coin--"/>
    <s v="TRANSFER TO 5097631162090"/>
    <n v="5000"/>
    <m/>
    <n v="83901.450000000099"/>
    <s v="Transfer Through UPI App"/>
    <s v="Google Pay App"/>
    <x v="33"/>
    <m/>
    <s v="2021-2022"/>
    <s v="CHECKED"/>
  </r>
  <r>
    <x v="606"/>
    <d v="2021-11-19T00:00:00"/>
    <s v="   TO TRANSFER-UPI/DR/132308785609/RELIANCE/CITI/jio@citiba/JIO20--"/>
    <s v="TRANSFER TO 4692614162091"/>
    <n v="11"/>
    <m/>
    <n v="83890.450000000099"/>
    <s v="Mobile Recharge"/>
    <m/>
    <x v="18"/>
    <m/>
    <s v="2021-2022"/>
    <s v="CHECKED"/>
  </r>
  <r>
    <x v="607"/>
    <d v="2021-11-21T00:00:00"/>
    <s v="   TO TRANSFER-UPI/DR/132508025705/Vodafone/PYTM/vilpreraj@/UPI--"/>
    <s v="TRANSFER TO 4692675162099"/>
    <n v="449"/>
    <m/>
    <n v="83441.450000000099"/>
    <s v="Mobile Recharge"/>
    <m/>
    <x v="161"/>
    <m/>
    <s v="2021-2022"/>
    <s v="CHECKED"/>
  </r>
  <r>
    <x v="608"/>
    <d v="2021-11-25T00:00:00"/>
    <s v="   TO TRANSFER-UPI/DR/132908148280/RELIANCE/CITI/jio@citiba/JIO20--"/>
    <s v="TRANSFER TO 5097827162098"/>
    <n v="234.82"/>
    <m/>
    <n v="83206.630000000092"/>
    <s v="Mobile Recharge"/>
    <m/>
    <x v="18"/>
    <m/>
    <s v="2021-2022"/>
    <s v="CHECKED"/>
  </r>
  <r>
    <x v="609"/>
    <d v="2021-11-29T00:00:00"/>
    <s v="   FI Txn @ CSP outlet-002203663990782135 AEPS WDL TXN @KO 1A900867--"/>
    <s v="TRANSFER TO 35749786402                           "/>
    <n v="11000"/>
    <m/>
    <n v="72206.630000000092"/>
    <s v="Cash Withdrwal"/>
    <m/>
    <x v="174"/>
    <m/>
    <s v="2021-2022"/>
    <s v="CHECKED"/>
  </r>
  <r>
    <x v="609"/>
    <d v="2021-11-29T00:00:00"/>
    <s v="   FI Txn @ CSP outlet-002236397365906720 AEPS WDL TXN @KO 1A900867--"/>
    <s v="TRANSFER TO 35749786402                           "/>
    <n v="9000"/>
    <m/>
    <n v="63206.630000000092"/>
    <s v="Cash Withdrwal"/>
    <m/>
    <x v="174"/>
    <m/>
    <s v="2021-2022"/>
    <s v="CHECKED"/>
  </r>
  <r>
    <x v="609"/>
    <d v="2021-11-29T00:00:00"/>
    <s v="   TO TRANSFER-UPI/DR/133323027661/Zerodha /HDFC/zerodhabro/Coin--"/>
    <s v="TRANSFER TO 5097606162090"/>
    <n v="14600"/>
    <m/>
    <n v="48606.630000000092"/>
    <s v="Transfer Through UPI App"/>
    <s v="Google Pay App"/>
    <x v="33"/>
    <m/>
    <s v="2021-2022"/>
    <s v="CHECKED"/>
  </r>
  <r>
    <x v="610"/>
    <d v="2021-12-01T00:00:00"/>
    <s v="   BY TRANSFER-NEFT*RBIS0GORJEP*RBI3352174750391*TREASURY OFFICE--"/>
    <s v="TRANSFER FROM 3199963044309"/>
    <m/>
    <n v="35769"/>
    <n v="84375.630000000092"/>
    <s v="Salary"/>
    <m/>
    <x v="0"/>
    <m/>
    <s v="2021-2022"/>
    <s v="CHECKED"/>
  </r>
  <r>
    <x v="611"/>
    <d v="2021-12-20T00:00:00"/>
    <s v="   TO TRANSFER-UPI/DR/135415392027/razorpay/ICIC/razorpay@i/Paths--"/>
    <s v="TRANSFER TO 5097543162099"/>
    <n v="350"/>
    <m/>
    <n v="84025.630000000092"/>
    <s v="Transfer Through UPI App"/>
    <m/>
    <x v="197"/>
    <m/>
    <s v="2021-2022"/>
    <s v="CHECKED"/>
  </r>
  <r>
    <x v="612"/>
    <d v="2021-12-21T00:00:00"/>
    <s v="   TO TRANSFER-UPI/DR/135510175788/Zerodha /HDFC/zerodhabro/Coin--"/>
    <s v="TRANSFER TO 5097644162095"/>
    <n v="10000"/>
    <m/>
    <n v="74025.630000000092"/>
    <s v="Transfer Through UPI App"/>
    <s v="Google Pay App"/>
    <x v="33"/>
    <m/>
    <s v="2021-2022"/>
    <s v="CHECKED"/>
  </r>
  <r>
    <x v="612"/>
    <d v="2021-12-21T00:00:00"/>
    <s v="   TO TRANSFER-UPI/DR/135510254129/Zerodha/ICIC/zerodha.ra/110284--"/>
    <s v="TRANSFER TO 5097615162090"/>
    <n v="10000"/>
    <m/>
    <n v="64025.630000000092"/>
    <s v="Transfer Through UPI App"/>
    <s v="Google Pay App"/>
    <x v="33"/>
    <m/>
    <s v="2021-2022"/>
    <s v="CHECKED"/>
  </r>
  <r>
    <x v="613"/>
    <d v="2021-12-23T00:00:00"/>
    <s v="   TO TRANSFER-UPI/DR/135705630098/RELIANCE/CITI/jio@citiba/JIO20--"/>
    <s v="TRANSFER TO 5097823162092"/>
    <n v="234.82"/>
    <m/>
    <n v="63790.810000000092"/>
    <s v="Mobile Recharge"/>
    <m/>
    <x v="18"/>
    <m/>
    <s v="2021-2022"/>
    <s v="CHECKED"/>
  </r>
  <r>
    <x v="614"/>
    <d v="2021-12-25T00:00:00"/>
    <s v="   CREDIT INTEREST---"/>
    <m/>
    <m/>
    <n v="454"/>
    <n v="64244.810000000092"/>
    <s v="Credit Interest"/>
    <m/>
    <x v="0"/>
    <m/>
    <s v="2021-2022"/>
    <s v="CHECKED"/>
  </r>
  <r>
    <x v="615"/>
    <d v="2021-12-26T00:00:00"/>
    <s v="   TO TRANSFER-UPI/DR/136011728794/HPGas/ICIC/payphi.hpg/UPI--"/>
    <s v="TRANSFER TO 4692698162092"/>
    <n v="931"/>
    <m/>
    <n v="63313.810000000092"/>
    <s v="Transfer Through UPI App"/>
    <s v="Google Pay App"/>
    <x v="113"/>
    <m/>
    <s v="2021-2022"/>
    <s v="CHECKED"/>
  </r>
  <r>
    <x v="616"/>
    <d v="2022-01-01T00:00:00"/>
    <s v="   TO TRANSFER-UPI/DR/200113569038/AMAZON/UTIB/amazon@apl/You are--"/>
    <s v="TRANSFER TO 5097986162095"/>
    <n v="2505"/>
    <m/>
    <n v="60808.810000000092"/>
    <s v="Electricity Bill"/>
    <s v="Google Pay App"/>
    <x v="36"/>
    <s v="amazon se bill bhra"/>
    <s v="2021-2022"/>
    <s v="CHECKED"/>
  </r>
  <r>
    <x v="616"/>
    <d v="2022-01-01T00:00:00"/>
    <s v="   BY TRANSFER-UPI/CR/200159518274/GOOGLEPAY/UTIB/goog-payme/Earn--"/>
    <s v="TRANSFER FROM 5099198162095"/>
    <m/>
    <n v="3"/>
    <n v="60811.810000000092"/>
    <s v="Earning From UPI App"/>
    <s v="Google Pay App"/>
    <x v="125"/>
    <m/>
    <s v="2021-2022"/>
    <s v="CHECKED"/>
  </r>
  <r>
    <x v="616"/>
    <d v="2022-01-01T00:00:00"/>
    <s v="   TO TRANSFER-UPI/DR/200113768544/EURONETG/ICIC/euronetgpa/UPI--"/>
    <s v="TRANSFER TO 5097981162090"/>
    <n v="25"/>
    <m/>
    <n v="60786.810000000092"/>
    <s v="Mobile Recharge"/>
    <s v="Google Pay App"/>
    <x v="35"/>
    <m/>
    <s v="2021-2022"/>
    <s v="CHECKED"/>
  </r>
  <r>
    <x v="616"/>
    <d v="2022-01-01T00:00:00"/>
    <s v="   BY TRANSFER-NEFT*RBIS0GORJEP*RBI0012230037668*TREASURY OFFICE--"/>
    <s v="TRANSFER FROM 3199416044303"/>
    <m/>
    <n v="35769"/>
    <n v="96555.810000000085"/>
    <s v="Salary"/>
    <m/>
    <x v="0"/>
    <m/>
    <s v="2021-2022"/>
    <s v="CHECKED"/>
  </r>
  <r>
    <x v="617"/>
    <d v="2022-01-07T00:00:00"/>
    <s v="   TO TRANSFER-UPI/DR/200713297661/AMAZON/UTIB/amazon@apl/You are--"/>
    <s v="TRANSFER TO 5097897162095"/>
    <n v="700"/>
    <m/>
    <n v="95855.810000000085"/>
    <s v="Transfer Through UPI App"/>
    <m/>
    <x v="0"/>
    <m/>
    <s v="2021-2022"/>
    <s v="6. pending to check with daily expenses sheet"/>
  </r>
  <r>
    <x v="617"/>
    <d v="2022-01-07T00:00:00"/>
    <s v="   BY TRANSFER-P01220043DB61 HPCL LPG SUBSIDY HPAP34D--"/>
    <s v="TRANSFER FROM 4599408105216"/>
    <m/>
    <n v="9.9499999999999993"/>
    <n v="95865.760000000082"/>
    <s v="Subsidy"/>
    <m/>
    <x v="6"/>
    <m/>
    <s v="2021-2022"/>
    <s v="CHECKED"/>
  </r>
  <r>
    <x v="618"/>
    <d v="2022-01-08T00:00:00"/>
    <s v="   FI Txn @ CSP outlet-001454428796300338 AEPS WDL TXN @KO 1A900867--"/>
    <s v="TRANSFER TO 35749786402                           "/>
    <n v="10000"/>
    <m/>
    <n v="85865.760000000082"/>
    <s v="Cash Withdrwal"/>
    <m/>
    <x v="174"/>
    <m/>
    <s v="2021-2022"/>
    <s v="CHECKED"/>
  </r>
  <r>
    <x v="619"/>
    <d v="2022-01-12T00:00:00"/>
    <s v="   BY TRANSFER-NEFT*YESB0000001*N012220957152111*ZERODHA BROKING--"/>
    <s v="TRANSFER FROM 3199957044306"/>
    <m/>
    <n v="10939.05"/>
    <n v="96804.810000000085"/>
    <s v="Received Through Net Banking"/>
    <m/>
    <x v="0"/>
    <m/>
    <s v="2021-2022"/>
    <s v="2. pending to check zerodha broking"/>
  </r>
  <r>
    <x v="619"/>
    <d v="2022-01-12T00:00:00"/>
    <s v="   TO TRANSFER-UPI/DR/201217089426/Zerodha /HDFC/zerodhabro/Coin--"/>
    <s v="TRANSFER TO 4692519162099"/>
    <n v="5000"/>
    <m/>
    <n v="91804.810000000085"/>
    <s v="Transfer Through UPI App"/>
    <s v="Google Pay App"/>
    <x v="33"/>
    <m/>
    <s v="2021-2022"/>
    <s v="CHECKED"/>
  </r>
  <r>
    <x v="620"/>
    <d v="2022-01-20T00:00:00"/>
    <s v="   TO TRANSFER-UPI/DR/202023789664/PhonePe/YESB/EURONET@yb/Paymen--"/>
    <s v="TRANSFER TO 5097814162093"/>
    <n v="10"/>
    <m/>
    <n v="91794.810000000085"/>
    <s v="Mobile Recharge"/>
    <s v="Google Pay App"/>
    <x v="18"/>
    <m/>
    <s v="2021-2022"/>
    <s v="CHECKED"/>
  </r>
  <r>
    <x v="621"/>
    <d v="2022-01-24T00:00:00"/>
    <s v="   TO TRANSFER-UPI/DR/202414481458/RELIANCE/CITI/jio@citiba/JIO20--"/>
    <s v="TRANSFER TO 5097502162097"/>
    <n v="287.36"/>
    <m/>
    <n v="91507.450000000084"/>
    <s v="Mobile Recharge"/>
    <m/>
    <x v="18"/>
    <m/>
    <s v="2021-2022"/>
    <s v="CHECKED"/>
  </r>
  <r>
    <x v="622"/>
    <d v="2022-01-25T00:00:00"/>
    <s v="   TO TRANSFER-UPI/DR/202518188531/Zerodha /HDFC/zerodhabro/Coin--"/>
    <s v="TRANSFER TO 5097597162096"/>
    <n v="5000"/>
    <m/>
    <n v="86507.450000000084"/>
    <s v="Transfer Through UPI App"/>
    <s v="Google Pay App"/>
    <x v="33"/>
    <m/>
    <s v="2021-2022"/>
    <s v="CHECKED"/>
  </r>
  <r>
    <x v="623"/>
    <d v="2022-01-31T00:00:00"/>
    <s v="   FI Txn @ CSP outlet-001456410090320530 AEPS WDL TXN @KO 1A900867--"/>
    <s v="TRANSFER TO 35749786402                           "/>
    <n v="10000"/>
    <m/>
    <n v="76507.450000000084"/>
    <s v="Cash Withdrwal"/>
    <m/>
    <x v="174"/>
    <m/>
    <s v="2021-2022"/>
    <s v="CHECKED"/>
  </r>
  <r>
    <x v="623"/>
    <d v="2022-01-31T00:00:00"/>
    <s v="   FI Txn @ CSP outlet-001456561210326670 AEPS WDL TXN @KO 1A900867--"/>
    <s v="TRANSFER TO 35749786402                           "/>
    <n v="10000"/>
    <m/>
    <n v="66507.450000000084"/>
    <s v="Cash Withdrwal"/>
    <m/>
    <x v="174"/>
    <m/>
    <s v="2021-2022"/>
    <s v="CHECKED"/>
  </r>
  <r>
    <x v="624"/>
    <d v="2022-02-01T00:00:00"/>
    <s v="   BY TRANSFER-NEFT*RBIS0GORJEP*RBI0332285317207*TREASURY OFFICE--"/>
    <s v="TRANSFER FROM 3199968044304"/>
    <m/>
    <n v="35329"/>
    <n v="101836.45000000008"/>
    <s v="Salary"/>
    <m/>
    <x v="0"/>
    <m/>
    <s v="2021-2022"/>
    <s v="CHECKED"/>
  </r>
  <r>
    <x v="625"/>
    <d v="2022-02-02T00:00:00"/>
    <s v="   TO TRANSFER-UPI/DR/203307370929/Zerodha /HDFC/zerodhabro/Coin--"/>
    <s v="TRANSFER TO 4692519162099"/>
    <n v="5000"/>
    <m/>
    <n v="96836.450000000084"/>
    <s v="Transfer Through UPI App"/>
    <s v="Google Pay App"/>
    <x v="33"/>
    <m/>
    <s v="2021-2022"/>
    <s v="CHECKED"/>
  </r>
  <r>
    <x v="626"/>
    <d v="2022-02-08T00:00:00"/>
    <s v="   FI Txn @ CSP outlet-000251192225292708 AEPS WDL TXN @KO 1A773C89--"/>
    <s v="TRANSFER TO 33424295090                           "/>
    <n v="5000"/>
    <m/>
    <n v="91836.450000000084"/>
    <s v="Cash Withdrwal"/>
    <m/>
    <x v="174"/>
    <m/>
    <s v="2021-2022"/>
    <s v="CHECKED"/>
  </r>
  <r>
    <x v="627"/>
    <d v="2022-02-14T00:00:00"/>
    <s v="   TO TRANSFER-UPI/DR/204511604382/Zerodha /HDFC/zerodhabro/Coin--"/>
    <s v="TRANSFER TO 4692448162098"/>
    <n v="20000"/>
    <m/>
    <n v="71836.450000000084"/>
    <s v="Transfer Through UPI App"/>
    <s v="Google Pay App"/>
    <x v="33"/>
    <m/>
    <s v="2021-2022"/>
    <s v="CHECKED"/>
  </r>
  <r>
    <x v="628"/>
    <d v="2022-02-16T00:00:00"/>
    <s v="   TO TRANSFER-UPI/DR/204710829221/Zerodha /HDFC/zerodhabro/Coin--"/>
    <s v="TRANSFER TO 5097711162090"/>
    <n v="25000"/>
    <m/>
    <n v="46836.450000000084"/>
    <s v="Transfer Through UPI App"/>
    <s v="Google Pay App"/>
    <x v="33"/>
    <m/>
    <s v="2021-2022"/>
    <s v="CHECKED"/>
  </r>
  <r>
    <x v="629"/>
    <d v="2022-02-17T00:00:00"/>
    <s v="   BY TRANSFER-NEFT*UTIB0000004*AXISCN0122748210*NIPPON INDIA BAN--"/>
    <s v="TRANSFER FROM 3199422044305"/>
    <m/>
    <n v="1447.42"/>
    <n v="48283.870000000083"/>
    <s v="Mutual Fund Sold"/>
    <m/>
    <x v="181"/>
    <s v="Dividend"/>
    <s v="2021-2022"/>
    <s v="CHECKED"/>
  </r>
  <r>
    <x v="630"/>
    <d v="2022-02-22T00:00:00"/>
    <s v="   TO TRANSFER-UPI/DR/205311293668/Zerodha /HDFC/zerodhabro/Coin--"/>
    <s v="TRANSFER TO 5097614162091"/>
    <n v="10000"/>
    <m/>
    <n v="38283.870000000083"/>
    <s v="Transfer Through UPI App"/>
    <s v="Google Pay App"/>
    <x v="33"/>
    <m/>
    <s v="2021-2022"/>
    <s v="CHECKED"/>
  </r>
  <r>
    <x v="631"/>
    <d v="2022-02-23T00:00:00"/>
    <s v="   TO TRANSFER-UPI/DR/205407198788/Zerodha/ICIC/zerodha.ra/307422--"/>
    <s v="TRANSFER TO 5097698162092"/>
    <n v="5000"/>
    <m/>
    <n v="33283.870000000083"/>
    <s v="Transfer Through UPI App"/>
    <s v="Google Pay App"/>
    <x v="33"/>
    <m/>
    <s v="2021-2022"/>
    <s v="CHECKED"/>
  </r>
  <r>
    <x v="632"/>
    <d v="2022-02-24T00:00:00"/>
    <s v="   TO TRANSFER-UPI/DR/205512939924/Zerodha /HDFC/zerodhabro/Coin--"/>
    <s v="TRANSFER TO 5097781162097"/>
    <n v="5000"/>
    <m/>
    <n v="28283.870000000083"/>
    <s v="Transfer Through UPI App"/>
    <s v="Google Pay App"/>
    <x v="33"/>
    <m/>
    <s v="2021-2022"/>
    <s v="CHECKED"/>
  </r>
  <r>
    <x v="633"/>
    <d v="2022-02-25T00:00:00"/>
    <s v="   TO TRANSFER-UPI/DR/205606717781/HPGas/ICIC/payphi.hpg/UPI--"/>
    <s v="TRANSFER TO 4692612162093"/>
    <n v="931"/>
    <m/>
    <n v="27352.870000000083"/>
    <s v="Transfer Through UPI App"/>
    <m/>
    <x v="113"/>
    <m/>
    <s v="2021-2022"/>
    <s v="CHECKED"/>
  </r>
  <r>
    <x v="633"/>
    <d v="2022-02-25T00:00:00"/>
    <s v="   TO TRANSFER-UPI/DR/205606771531/billdesk/ICIC/billdesk.e/UPI--"/>
    <s v="TRANSFER TO 5097918162096"/>
    <n v="2057"/>
    <m/>
    <n v="25295.870000000083"/>
    <s v="Electricity Bill"/>
    <s v="Google Pay App"/>
    <x v="36"/>
    <m/>
    <s v="2021-2022"/>
    <s v="CHECKED"/>
  </r>
  <r>
    <x v="633"/>
    <d v="2022-02-25T00:00:00"/>
    <s v="   TO TRANSFER-UPI/DR/205606773239/RELIANCE/CITI/jio@citiba/JIO20--"/>
    <s v="TRANSFER TO 5097909162096"/>
    <n v="243.13"/>
    <m/>
    <n v="25052.740000000082"/>
    <s v="Mobile Recharge"/>
    <s v="Google Pay App"/>
    <x v="18"/>
    <m/>
    <s v="2021-2022"/>
    <s v="CHECKED"/>
  </r>
  <r>
    <x v="634"/>
    <d v="2022-02-28T00:00:00"/>
    <s v="   FI Txn @ CSP outlet-000772758784578034 AEPS WDL TXN @KO 1A900867--"/>
    <s v="TRANSFER TO 35749786402                           "/>
    <n v="6000"/>
    <m/>
    <n v="19052.740000000082"/>
    <s v="Cash Withdrwal"/>
    <m/>
    <x v="174"/>
    <m/>
    <s v="2021-2022"/>
    <s v="CHECKED"/>
  </r>
  <r>
    <x v="635"/>
    <d v="2022-03-01T00:00:00"/>
    <s v="   TO TRANSFER-UPI/DR/206022789349/Jio Mobi/YESB/jio@yesban/JIO20--"/>
    <s v="TRANSFER TO 4898279162097"/>
    <n v="121"/>
    <m/>
    <n v="18931.740000000082"/>
    <s v="Mobile Recharge"/>
    <s v="Google Pay App"/>
    <x v="35"/>
    <m/>
    <s v="2021-2022"/>
    <s v="CHECKED"/>
  </r>
  <r>
    <x v="635"/>
    <d v="2022-03-01T00:00:00"/>
    <s v="   BY TRANSFER-NEFT*RBIS0GORJEP*RBI0602227274462*TREASURY OFFICE--"/>
    <s v="TRANSFER FROM 3199961044301"/>
    <m/>
    <n v="35769"/>
    <n v="54700.740000000078"/>
    <s v="Salary"/>
    <m/>
    <x v="0"/>
    <m/>
    <s v="2021-2022"/>
    <s v="CHECKED"/>
  </r>
  <r>
    <x v="636"/>
    <d v="2022-03-03T00:00:00"/>
    <s v="   TO TRANSFER-UPI/DR/206211195863/Zerodha /HDFC/zerodhabro/Coin--"/>
    <s v="TRANSFER TO 4692542162090"/>
    <n v="5000"/>
    <m/>
    <n v="49700.740000000078"/>
    <s v="Transfer Through UPI App"/>
    <s v="Google Pay App"/>
    <x v="33"/>
    <m/>
    <s v="2021-2022"/>
    <s v="CHECKED"/>
  </r>
  <r>
    <x v="637"/>
    <d v="2022-03-06T00:00:00"/>
    <s v="   TO TRANSFER-UPI/DR/206506158801/Zerodha /HDFC/zerodhabro/Coin--"/>
    <s v="TRANSFER TO 4692695162095"/>
    <n v="5000"/>
    <m/>
    <n v="44700.740000000078"/>
    <s v="Transfer Through UPI App"/>
    <s v="Google Pay App"/>
    <x v="33"/>
    <m/>
    <s v="2021-2022"/>
    <s v="CHECKED"/>
  </r>
  <r>
    <x v="638"/>
    <d v="2022-03-07T00:00:00"/>
    <s v="   TO TRANSFER-UPI/DR/206612131465/Zerodha /HDFC/zerodhabro/Coin--"/>
    <s v="TRANSFER TO 5097514162094"/>
    <n v="10000"/>
    <m/>
    <n v="34700.740000000078"/>
    <s v="Transfer Through UPI App"/>
    <s v="Google Pay App"/>
    <x v="33"/>
    <m/>
    <s v="2021-2022"/>
    <s v="CHECKED"/>
  </r>
  <r>
    <x v="638"/>
    <d v="2022-03-07T00:00:00"/>
    <s v="   FI Txn @ CSP outlet-001376822514081339 AEPS WDL TXN @KO 1A773C89--"/>
    <s v="TRANSFER TO 33424295090                           "/>
    <n v="10000"/>
    <m/>
    <n v="24700.740000000078"/>
    <s v="Cash Withdrwal"/>
    <m/>
    <x v="174"/>
    <m/>
    <s v="2021-2022"/>
    <s v="CHECKED"/>
  </r>
  <r>
    <x v="639"/>
    <d v="2022-03-08T00:00:00"/>
    <s v="   TO TRANSFER-UPI/DR/206705125817/Zerodha /HDFC/zerodhabro/Coin--"/>
    <s v="TRANSFER TO 5097620162092"/>
    <n v="5000"/>
    <m/>
    <n v="19700.740000000078"/>
    <s v="Transfer Through UPI App"/>
    <s v="Google Pay App"/>
    <x v="33"/>
    <m/>
    <s v="2021-2022"/>
    <s v="CHECKED"/>
  </r>
  <r>
    <x v="640"/>
    <d v="2022-03-09T00:00:00"/>
    <s v="   TO TRANSFER-UPI/DR/206820354526/Zerodha /HDFC/zerodhabro/Coin--"/>
    <s v="TRANSFER TO 5097700162091"/>
    <n v="8000"/>
    <m/>
    <n v="11700.740000000078"/>
    <s v="Transfer Through UPI App"/>
    <s v="Google Pay App"/>
    <x v="33"/>
    <m/>
    <s v="2021-2022"/>
    <s v="CHECKED"/>
  </r>
  <r>
    <x v="641"/>
    <d v="2022-03-14T00:00:00"/>
    <s v="   TO TRANSFER-UPI/DR/207306504592/Zerodha/ICIC/zerodha.ra/429304--"/>
    <s v="TRANSFER TO 5097514162094"/>
    <n v="6000"/>
    <m/>
    <n v="5700.740000000078"/>
    <s v="Transfer Through UPI App"/>
    <s v="Google Pay App"/>
    <x v="33"/>
    <m/>
    <s v="2021-2022"/>
    <s v="CHECKED"/>
  </r>
  <r>
    <x v="641"/>
    <d v="2022-03-14T00:00:00"/>
    <s v="   BY TRANSFER-UPI/CR/207377042401/GOOGLEPAY/UTIB/goog-payme/UPI--"/>
    <s v="TRANSFER FROM 4899321162094"/>
    <m/>
    <n v="5"/>
    <n v="5705.740000000078"/>
    <s v="Earning From UPI App"/>
    <s v="Google Pay App"/>
    <x v="125"/>
    <m/>
    <s v="2021-2022"/>
    <s v="CHECKED"/>
  </r>
  <r>
    <x v="642"/>
    <d v="2022-03-16T00:00:00"/>
    <s v="   BY TRANSFER-UPI/CR/207515352802/DIVYA  J/SBIN/divya88jai/UPI--"/>
    <s v="TRANSFER FROM 4693223162097"/>
    <m/>
    <n v="20000"/>
    <n v="25705.740000000078"/>
    <s v="Received Through UPI App"/>
    <s v="Google Pay App"/>
    <x v="28"/>
    <m/>
    <s v="2021-2022"/>
    <s v="CHECKED"/>
  </r>
  <r>
    <x v="642"/>
    <d v="2022-03-16T00:00:00"/>
    <s v="   FI Txn @ CSP outlet-002143445924661261 AEPS WDL TXN @KO 1A900867--"/>
    <s v="TRANSFER TO 35749786402                           "/>
    <n v="20000"/>
    <m/>
    <n v="5705.740000000078"/>
    <s v="Cash Withdrwal"/>
    <m/>
    <x v="174"/>
    <m/>
    <s v="2021-2022"/>
    <s v="CHECKED"/>
  </r>
  <r>
    <x v="643"/>
    <d v="2022-03-17T00:00:00"/>
    <s v="   BULK POSTING-22172586300 ITD TAX REFUND AY 21-22 PAN ANBPJ3859N--"/>
    <m/>
    <m/>
    <n v="150"/>
    <n v="5855.740000000078"/>
    <s v="Retrun from Income Tax Department"/>
    <m/>
    <x v="198"/>
    <m/>
    <s v="2021-2022"/>
    <s v="CHECKED"/>
  </r>
  <r>
    <x v="644"/>
    <d v="2022-03-22T00:00:00"/>
    <s v="   TO TRANSFER-UPI/DR/208109657944/Vodafone/PYTM/vilpreraj@/UPI--"/>
    <s v="TRANSFER TO 4692476162095"/>
    <n v="99"/>
    <m/>
    <n v="5756.740000000078"/>
    <s v="Mobile Recharge"/>
    <s v="Google Pay App"/>
    <x v="161"/>
    <m/>
    <s v="2021-2022"/>
    <s v="CHECKED"/>
  </r>
  <r>
    <x v="645"/>
    <d v="2022-03-24T00:00:00"/>
    <s v="   TO TRANSFER-UPI/DR/208310722107/RELIANCE/CITI/jio@citiba/JIO20--"/>
    <s v="TRANSFER TO 5097801162097"/>
    <n v="234.83"/>
    <m/>
    <n v="5521.9100000000781"/>
    <s v="Mobile Recharge"/>
    <s v="Google Pay App"/>
    <x v="18"/>
    <m/>
    <s v="2021-2022"/>
    <s v="CHECKED"/>
  </r>
  <r>
    <x v="645"/>
    <d v="2022-03-24T00:00:00"/>
    <s v="   CREDIT---"/>
    <m/>
    <m/>
    <n v="2713.72"/>
    <n v="8235.6300000000774"/>
    <s v="Mobile Bill Reimbursement (DOIT)"/>
    <m/>
    <x v="0"/>
    <m/>
    <s v="2021-2022"/>
    <s v="CHECKED"/>
  </r>
  <r>
    <x v="646"/>
    <d v="2022-03-25T00:00:00"/>
    <s v="   CREDIT INTEREST---"/>
    <m/>
    <m/>
    <n v="408"/>
    <n v="8643.6300000000774"/>
    <s v="Credit Interest"/>
    <m/>
    <x v="0"/>
    <m/>
    <s v="2021-2022"/>
    <s v="CHECKED"/>
  </r>
  <r>
    <x v="647"/>
    <d v="2022-03-26T00:00:00"/>
    <s v="   BY TRANSFER-P032204426851 HPCL LPG SUBSIDY HPAP34D--"/>
    <s v="TRANSFER FROM 4599404105210"/>
    <m/>
    <n v="9.9499999999999993"/>
    <n v="8653.5800000000781"/>
    <s v="Subsidy"/>
    <m/>
    <x v="6"/>
    <m/>
    <s v="2021-2022"/>
    <s v="CHECKED"/>
  </r>
  <r>
    <x v="647"/>
    <d v="2022-03-26T00:00:00"/>
    <s v="   BY TRANSFER-P03220440CF04 HPCL LPG SUBSIDY HPAP34D--"/>
    <s v="TRANSFER FROM 4599427105214"/>
    <m/>
    <n v="9.9499999999999993"/>
    <n v="8663.5300000000789"/>
    <s v="Subsidy"/>
    <m/>
    <x v="6"/>
    <m/>
    <s v="2021-2022"/>
    <s v="CHECKED"/>
  </r>
  <r>
    <x v="648"/>
    <d v="2022-04-01T00:00:00"/>
    <s v="   TO TRANSFER-SBILT01042022114327574219-PPF--"/>
    <s v="TRANSFER TO 32500545461                           "/>
    <n v="4000"/>
    <m/>
    <n v="4663.5300000000789"/>
    <s v="PPF"/>
    <s v="YONO"/>
    <x v="0"/>
    <m/>
    <s v="2022-2023"/>
    <s v="CHECKED"/>
  </r>
  <r>
    <x v="649"/>
    <d v="2022-04-02T00:00:00"/>
    <s v="   BY TRANSFER-NEFT*RBIS0GORJEP*RBI0932294518013*TREASURY OFFICE--"/>
    <s v="TRANSFER FROM 3199416044303"/>
    <m/>
    <n v="40000"/>
    <n v="44663.530000000079"/>
    <s v="Salary"/>
    <m/>
    <x v="0"/>
    <m/>
    <s v="2022-2023"/>
    <s v="CHECKED"/>
  </r>
  <r>
    <x v="650"/>
    <d v="2022-04-05T00:00:00"/>
    <s v="   TO TRANSFER-UPI/DR/209510823599/Jio Mobi/YESB/jio@yesban/JIO20--"/>
    <s v="TRANSFER TO 4692468162095"/>
    <n v="61"/>
    <m/>
    <n v="44602.530000000079"/>
    <s v="Mobile Recharge"/>
    <s v="Google Pay App"/>
    <x v="35"/>
    <m/>
    <s v="2022-2023"/>
    <s v="CHECKED"/>
  </r>
  <r>
    <x v="651"/>
    <d v="2022-04-06T00:00:00"/>
    <s v="   BY TRANSFER-NEFT*YESB0000001*N096221115657826*ZERODHA BROKING--"/>
    <s v="TRANSFER FROM 3199969044303"/>
    <m/>
    <n v="4319.71"/>
    <n v="48922.240000000078"/>
    <s v="Received Through Net Banking"/>
    <m/>
    <x v="0"/>
    <m/>
    <s v="2022-2023"/>
    <s v="2. pending to check zerodha broking"/>
  </r>
  <r>
    <x v="652"/>
    <d v="2022-04-18T00:00:00"/>
    <s v="   TO TRANSFER-UPI/DR/210817077721/Jio Mobi/YESB/jio@yesban/JIO20--"/>
    <s v="TRANSFER TO 4692442162094"/>
    <n v="61"/>
    <m/>
    <n v="48861.240000000078"/>
    <s v="Mobile Recharge"/>
    <s v="Google Pay App"/>
    <x v="35"/>
    <m/>
    <s v="2022-2023"/>
    <s v="CHECKED"/>
  </r>
  <r>
    <x v="653"/>
    <d v="2022-04-23T00:00:00"/>
    <s v="   TO TRANSFER-UPI/DR/211322049281/RELIANCE/CITI/jio@citiba/JIO20--"/>
    <s v="TRANSFER TO 5097986162095"/>
    <n v="234.82"/>
    <m/>
    <n v="48626.420000000078"/>
    <s v="Mobile Recharge"/>
    <s v="Google Pay App"/>
    <x v="18"/>
    <m/>
    <s v="2022-2023"/>
    <s v="CHECKED"/>
  </r>
  <r>
    <x v="654"/>
    <d v="2022-04-28T00:00:00"/>
    <s v="   TO TRANSFER-UPI/DR/211815419124/Vodafone/PYTM/vilpreraj@/UPI--"/>
    <s v="TRANSFER TO 4692550162099"/>
    <n v="99"/>
    <m/>
    <n v="48527.420000000078"/>
    <s v="Mobile Recharge"/>
    <s v="Google Pay App"/>
    <x v="161"/>
    <m/>
    <s v="2022-2023"/>
    <s v="CHECKED"/>
  </r>
  <r>
    <x v="655"/>
    <d v="2022-04-30T00:00:00"/>
    <s v="   ATM WDL-ATM CASH 39565 RANGPURI POLLUTION CENMUKTSAR--"/>
    <m/>
    <n v="4000"/>
    <m/>
    <n v="44527.420000000078"/>
    <s v="Cash Withdrwal"/>
    <m/>
    <x v="3"/>
    <m/>
    <s v="2022-2023"/>
    <s v="CHECKED"/>
  </r>
  <r>
    <x v="656"/>
    <d v="2022-05-04T00:00:00"/>
    <s v="   BY TRANSFER-NEFT*RBIS0GORJEP*RBI1252239894213*TREASURY OFFICE--"/>
    <s v="TRANSFER FROM 3199972044308"/>
    <m/>
    <n v="38999"/>
    <n v="83526.420000000071"/>
    <s v="Salary"/>
    <m/>
    <x v="0"/>
    <m/>
    <s v="2022-2023"/>
    <s v="CHECKED"/>
  </r>
  <r>
    <x v="657"/>
    <d v="2022-05-05T00:00:00"/>
    <s v="   TO TRANSFER-UPI/DR/212509561790/billdesk/ICIC/billdesk.e/UPI--"/>
    <s v="TRANSFER TO 5097828162097"/>
    <n v="1536"/>
    <m/>
    <n v="81990.420000000071"/>
    <s v="Electricity Bill"/>
    <s v="Google Pay App"/>
    <x v="36"/>
    <m/>
    <s v="2022-2023"/>
    <s v="CHECKED"/>
  </r>
  <r>
    <x v="658"/>
    <d v="2022-05-06T00:00:00"/>
    <s v="   BY TRANSFER-NEFT*HDFC0000240*N126221945931293*SBI MUTUAL FUND*--"/>
    <s v="TRANSFER FROM 3199972044308"/>
    <m/>
    <n v="75257.710000000006"/>
    <n v="157248.13000000006"/>
    <s v="Mutual Fund Sold"/>
    <m/>
    <x v="199"/>
    <m/>
    <s v="2022-2023"/>
    <s v="CHECKED"/>
  </r>
  <r>
    <x v="658"/>
    <d v="2022-05-06T00:00:00"/>
    <s v="   BY TRANSFER-NEFT*HDFC0000240*N126221945931292*SBI MUTUAL FUND*--"/>
    <s v="TRANSFER FROM 3199413044306"/>
    <m/>
    <n v="80528.75"/>
    <n v="237776.88000000006"/>
    <s v="Mutual Fund Sold"/>
    <m/>
    <x v="200"/>
    <m/>
    <s v="2022-2023"/>
    <s v="CHECKED"/>
  </r>
  <r>
    <x v="659"/>
    <d v="2022-05-07T00:00:00"/>
    <s v="   BY TRANSFER-NEFT*YESB0000001*N127221190124852*ZERODHA BROKING--"/>
    <s v="TRANSFER FROM 3199416044303"/>
    <m/>
    <n v="121537.91"/>
    <n v="359314.79000000004"/>
    <s v="Mutual Fund Sold"/>
    <m/>
    <x v="201"/>
    <m/>
    <s v="2022-2023"/>
    <s v="CHECKED"/>
  </r>
  <r>
    <x v="659"/>
    <d v="2022-05-07T00:00:00"/>
    <s v="   TO TRANSFER-SBILT07052022074038231215-Transfer to fa--"/>
    <s v="TRANSFER TO 20078643908                           "/>
    <n v="350000"/>
    <m/>
    <n v="9314.7900000000373"/>
    <s v="Transfer Through UPI App"/>
    <s v="YONO"/>
    <x v="154"/>
    <m/>
    <s v="2022-2023"/>
    <s v="CHECKED"/>
  </r>
  <r>
    <x v="660"/>
    <d v="2022-05-11T00:00:00"/>
    <s v="   BY TRANSFER-NEFT*RBIS0GORJEP*RBI1322249515311*TREASURY OFFICE--"/>
    <s v="TRANSFER FROM 3199676044305"/>
    <m/>
    <n v="750"/>
    <n v="10064.790000000037"/>
    <s v="Other Bill Reimbursement (DOIT)"/>
    <m/>
    <x v="0"/>
    <m/>
    <s v="2022-2023"/>
    <s v="4. PENDING TO CHECK OTHER BILLS IN OFFICE AND OTHER EXCEL SHEETS"/>
  </r>
  <r>
    <x v="661"/>
    <d v="2022-05-13T00:00:00"/>
    <s v="   TO TRANSFER-UPI/DR/213314771941/GAJENDRA/HDFC/drgajendra/ct sc--"/>
    <s v="TRANSFER TO 5099689162098"/>
    <n v="5900"/>
    <m/>
    <n v="4164.7900000000373"/>
    <s v="Transfer Through UPI App"/>
    <s v="Google Pay App"/>
    <x v="202"/>
    <m/>
    <s v="2022-2023"/>
    <s v="CHECKED"/>
  </r>
  <r>
    <x v="662"/>
    <d v="2022-05-23T00:00:00"/>
    <s v="   BY TRANSFER-NEFT*RBIS0GORJEP*RBI1442254224307*TREASURY OFFICE--"/>
    <s v="TRANSFER FROM 3199972044308"/>
    <m/>
    <n v="21641"/>
    <n v="25805.790000000037"/>
    <s v="Salary"/>
    <m/>
    <x v="19"/>
    <m/>
    <s v="2022-2023"/>
    <s v="CHECKED"/>
  </r>
  <r>
    <x v="662"/>
    <d v="2022-05-23T00:00:00"/>
    <s v="   BY TRANSFER-NEFT*RBIS0GORJEP*RBI1442254441302*TREASURY OFFICE--"/>
    <s v="TRANSFER FROM 3199419044300"/>
    <m/>
    <n v="1615"/>
    <n v="27420.790000000037"/>
    <s v="TA Bill Reimbursement (DOIT)"/>
    <m/>
    <x v="203"/>
    <m/>
    <s v="2022-2023"/>
    <s v="CHECKED"/>
  </r>
  <r>
    <x v="662"/>
    <d v="2022-05-23T00:00:00"/>
    <s v="   BY TRANSFER-NEFT*RBIS0GORJEP*RBI1442254441299*TREASURY OFFICE--"/>
    <s v="TRANSFER FROM 3199959044304"/>
    <m/>
    <n v="1625"/>
    <n v="29045.790000000037"/>
    <s v="TA Bill Reimbursement (DOIT)"/>
    <m/>
    <x v="204"/>
    <m/>
    <s v="2022-2023"/>
    <s v="CHECKED"/>
  </r>
  <r>
    <x v="662"/>
    <d v="2022-05-23T00:00:00"/>
    <s v="   BY TRANSFER-NEFT*RBIS0GORJEP*RBI1442254441303*TREASURY OFFICE--"/>
    <s v="TRANSFER FROM 3199420044306"/>
    <m/>
    <n v="1727"/>
    <n v="30772.790000000037"/>
    <s v="TA Bill Reimbursement (DOIT)"/>
    <m/>
    <x v="205"/>
    <m/>
    <s v="2022-2023"/>
    <s v="CHECKED"/>
  </r>
  <r>
    <x v="662"/>
    <d v="2022-05-23T00:00:00"/>
    <s v="   BY TRANSFER-NEFT*RBIS0GORJEP*RBI1442254441304*TREASURY OFFICE--"/>
    <s v="TRANSFER FROM 3199421044306"/>
    <m/>
    <n v="1581"/>
    <n v="32353.790000000037"/>
    <s v="TA Bill Reimbursement (DOIT)"/>
    <m/>
    <x v="206"/>
    <m/>
    <s v="2022-2023"/>
    <s v="CHECKED"/>
  </r>
  <r>
    <x v="662"/>
    <d v="2022-05-23T00:00:00"/>
    <s v="   BY TRANSFER-NEFT*RBIS0GORJEP*RBI1442254441305*TREASURY OFFICE--"/>
    <s v="TRANSFER FROM 3199958044305"/>
    <m/>
    <n v="1571"/>
    <n v="33924.790000000037"/>
    <s v="TA Bill Reimbursement (DOIT)"/>
    <m/>
    <x v="207"/>
    <m/>
    <s v="2022-2023"/>
    <s v="CHECKED"/>
  </r>
  <r>
    <x v="663"/>
    <d v="2022-05-24T00:00:00"/>
    <s v="   TO TRANSFER-UPI/DR/214406808302/RELIANCE/CITI/jio@citiba/JIO20--"/>
    <s v="TRANSFER TO 4692486162093"/>
    <n v="234.82"/>
    <m/>
    <n v="33689.970000000038"/>
    <s v="Mobile Recharge"/>
    <s v="Google Pay App"/>
    <x v="18"/>
    <m/>
    <s v="2022-2023"/>
    <s v="CHECKED"/>
  </r>
  <r>
    <x v="664"/>
    <d v="2022-05-28T00:00:00"/>
    <s v="   TO TRANSFER-UPI/DR/214813973451/Vodafone/PYTM/vilpreraj@/UPI--"/>
    <s v="TRANSFER TO 5097981162090"/>
    <n v="99"/>
    <m/>
    <n v="33590.970000000038"/>
    <s v="Mobile Recharge"/>
    <s v="Google Pay App"/>
    <x v="161"/>
    <m/>
    <s v="2022-2023"/>
    <s v="CHECKED"/>
  </r>
  <r>
    <x v="665"/>
    <d v="2022-06-01T00:00:00"/>
    <s v="   BY TRANSFER-NEFT*RBIS0GORJEP*RBI1522274458878*TREASURY OFFICE--"/>
    <s v="TRANSFER FROM 3199964044308"/>
    <m/>
    <n v="36549"/>
    <n v="70139.97000000003"/>
    <s v="Salary"/>
    <m/>
    <x v="0"/>
    <m/>
    <s v="2022-2023"/>
    <s v="CHECKED"/>
  </r>
  <r>
    <x v="666"/>
    <d v="2022-06-10T00:00:00"/>
    <s v="   TO TRANSFER-UPI/DR/216112011812/Zerodha /HDFC/zerodhabro/29508--"/>
    <s v="TRANSFER TO 5097879162097"/>
    <n v="5000"/>
    <m/>
    <n v="65139.97000000003"/>
    <s v="Transfer Through UPI App"/>
    <s v="Google Pay App"/>
    <x v="33"/>
    <m/>
    <s v="2022-2023"/>
    <s v="CHECKED"/>
  </r>
  <r>
    <x v="667"/>
    <d v="2022-06-13T00:00:00"/>
    <s v="   TO TRANSFER-UPI/DR/216410624960/Zerodha /HDFC/zerodhabro/89366--"/>
    <s v="TRANSFER TO 4695796162098"/>
    <n v="5000"/>
    <m/>
    <n v="60139.97000000003"/>
    <s v="Transfer Through UPI App"/>
    <s v="Google Pay App"/>
    <x v="33"/>
    <m/>
    <s v="2022-2023"/>
    <s v="CHECKED"/>
  </r>
  <r>
    <x v="668"/>
    <d v="2022-06-22T00:00:00"/>
    <s v="   TO TRANSFER-UPI/DR/217312307524/Zerodha /HDFC/zerodhabro/95583--"/>
    <s v="TRANSFER TO 5097694162096"/>
    <n v="5000"/>
    <m/>
    <n v="55139.97000000003"/>
    <s v="Transfer Through UPI App"/>
    <s v="Google Pay App"/>
    <x v="33"/>
    <m/>
    <s v="2022-2023"/>
    <s v="CHECKED"/>
  </r>
  <r>
    <x v="669"/>
    <d v="2022-06-24T00:00:00"/>
    <s v="   TO TRANSFER-UPI/DR/217520335934/RELIANCE/CITI/jio@citiba/JIO20--"/>
    <s v="TRANSFER TO 4692610162094"/>
    <n v="234.82"/>
    <m/>
    <n v="54905.150000000031"/>
    <s v="Mobile Recharge"/>
    <s v="Google Pay App"/>
    <x v="18"/>
    <m/>
    <s v="2022-2023"/>
    <s v="CHECKED"/>
  </r>
  <r>
    <x v="670"/>
    <d v="2022-06-25T00:00:00"/>
    <s v="   CREDIT INTEREST---"/>
    <m/>
    <m/>
    <n v="294"/>
    <n v="55199.150000000031"/>
    <s v="Credit Interest"/>
    <m/>
    <x v="0"/>
    <m/>
    <s v="2022-2023"/>
    <s v="CHECKED"/>
  </r>
  <r>
    <x v="671"/>
    <d v="2022-06-26T00:00:00"/>
    <s v="   ATM WDL-ATM CASH 75217 COURT ROAD, OPPOSITE BMUKTSAR--"/>
    <m/>
    <n v="6000"/>
    <m/>
    <n v="49199.150000000031"/>
    <s v="Cash Withdrwal"/>
    <m/>
    <x v="3"/>
    <m/>
    <s v="2022-2023"/>
    <s v="CHECKED"/>
  </r>
  <r>
    <x v="672"/>
    <d v="2022-07-01T00:00:00"/>
    <s v="   BY TRANSFER-NEFT*RBIS0GORJEP*RBI1822225334706*TREASURY OFFICE--"/>
    <s v="TRANSFER FROM 3199413044306"/>
    <m/>
    <n v="38649"/>
    <n v="87848.150000000023"/>
    <s v="Salary"/>
    <m/>
    <x v="0"/>
    <m/>
    <s v="2022-2023"/>
    <s v="CHECKED"/>
  </r>
  <r>
    <x v="673"/>
    <d v="2022-07-02T00:00:00"/>
    <s v="   TO TRANSFER-UPI/DR/218309202212/Vodafone/PYTM/vilpreraj@/UPI--"/>
    <s v="TRANSFER TO 4696284162093"/>
    <n v="99"/>
    <m/>
    <n v="87749.150000000023"/>
    <s v="Mobile Recharge"/>
    <s v="Google Pay App"/>
    <x v="161"/>
    <m/>
    <s v="2022-2023"/>
    <s v="CHECKED"/>
  </r>
  <r>
    <x v="674"/>
    <d v="2022-07-04T00:00:00"/>
    <s v="   TO TRANSFER-UPI/DR/218506893798/billdesk/ICIC/billdesk.e/UPI--"/>
    <s v="TRANSFER TO 5097514162094"/>
    <n v="884"/>
    <m/>
    <n v="86865.150000000023"/>
    <s v="Electricity Bill"/>
    <s v="Google Pay App"/>
    <x v="36"/>
    <m/>
    <s v="2022-2023"/>
    <s v="CHECKED"/>
  </r>
  <r>
    <x v="675"/>
    <d v="2022-07-05T00:00:00"/>
    <s v="   FI Txn @ CSP outlet-011749065932395338 AEPS WDL TXN @KO 1A900867--"/>
    <s v="TRANSFER TO 35749786402                           "/>
    <n v="10000"/>
    <m/>
    <n v="76865.150000000023"/>
    <s v="Cash Withdrwal"/>
    <m/>
    <x v="174"/>
    <m/>
    <s v="2022-2023"/>
    <s v="CHECKED"/>
  </r>
  <r>
    <x v="676"/>
    <d v="2022-07-15T00:00:00"/>
    <s v="   FI Txn @ CSP outlet-007494278573484139 AEPS WDL TXN @KO 1A900867--"/>
    <s v="TRANSFER TO 35749786402                           "/>
    <n v="20000"/>
    <m/>
    <n v="56865.150000000023"/>
    <s v="Cash Withdrwal"/>
    <m/>
    <x v="174"/>
    <m/>
    <s v="2022-2023"/>
    <s v="CHECKED"/>
  </r>
  <r>
    <x v="676"/>
    <d v="2022-07-15T00:00:00"/>
    <s v="   BY TRANSFER-UPI/CR/219616638659/SURENDRA/SBIN/surendrabh/UPI--"/>
    <s v="TRANSFER FROM 5099143162099"/>
    <m/>
    <n v="10"/>
    <n v="56875.150000000023"/>
    <s v="Received Through UPI App"/>
    <m/>
    <x v="208"/>
    <m/>
    <s v="2022-2023"/>
    <s v="CHECKED"/>
  </r>
  <r>
    <x v="676"/>
    <d v="2022-07-15T00:00:00"/>
    <s v="   TO TRANSFER-UPI/DR/219616702802/SURENDRA/SBIN/surendrabh/retur--"/>
    <s v="TRANSFER TO 4694249162099"/>
    <n v="10"/>
    <m/>
    <n v="56865.150000000023"/>
    <s v="Transfer Through UPI App"/>
    <s v="Google Pay App"/>
    <x v="209"/>
    <m/>
    <s v="2022-2023"/>
    <s v="CHECKED"/>
  </r>
  <r>
    <x v="677"/>
    <d v="2022-07-25T00:00:00"/>
    <s v="   TO TRANSFER-UPI/DR/220687993890/RELIANCE/CITI/jio@citiba/JIO20--"/>
    <s v="TRANSFER TO 4692446162090"/>
    <n v="234.82"/>
    <m/>
    <n v="56630.330000000024"/>
    <s v="Mobile Recharge"/>
    <s v="Google Pay App"/>
    <x v="18"/>
    <m/>
    <s v="2022-2023"/>
    <s v="CHECKED"/>
  </r>
  <r>
    <x v="677"/>
    <d v="2022-07-25T00:00:00"/>
    <s v="   BY TRANSFER-    clearing chq no 487681--"/>
    <s v="TRANSFER FROM 4898587313014"/>
    <m/>
    <n v="500"/>
    <n v="57130.330000000024"/>
    <s v="Received Through Net Banking"/>
    <m/>
    <x v="0"/>
    <m/>
    <s v="2022-2023"/>
    <s v="5. Pending (check with all sheet one by one)"/>
  </r>
  <r>
    <x v="678"/>
    <d v="2022-08-01T00:00:00"/>
    <s v="   BY TRANSFER-NEFT*RBIS0GORJEP*RBI2132272252863*TREASURY OFFICE--"/>
    <s v="TRANSFER FROM 3199413044306"/>
    <m/>
    <n v="40079"/>
    <n v="97209.330000000016"/>
    <s v="Salary"/>
    <m/>
    <x v="0"/>
    <m/>
    <s v="2022-2023"/>
    <s v="CHECKED"/>
  </r>
  <r>
    <x v="678"/>
    <d v="2022-08-01T00:00:00"/>
    <s v="   FI Txn @ CSP outlet-001199701439472865 AEPS WDL TXN @KO 1A900867--"/>
    <s v="TRANSFER TO 35749786402                           "/>
    <n v="15000"/>
    <m/>
    <n v="82209.330000000016"/>
    <s v="Cash Withdrwal"/>
    <m/>
    <x v="174"/>
    <m/>
    <s v="2022-2023"/>
    <s v="CHECKED"/>
  </r>
  <r>
    <x v="679"/>
    <d v="2022-08-03T00:00:00"/>
    <s v="   BY TRANSFER-UPI/CR/221541953985/RAM  KUMAR/SBIN/9782894204/Pay--"/>
    <s v="TRANSFER FROM 4693203162090"/>
    <m/>
    <n v="600"/>
    <n v="82809.330000000016"/>
    <s v="Transfer Through UPI App"/>
    <m/>
    <x v="60"/>
    <m/>
    <s v="2022-2023"/>
    <s v="CHECKED"/>
  </r>
  <r>
    <x v="680"/>
    <d v="2022-08-04T00:00:00"/>
    <s v="   BY TRANSFER-P0822008F8F0D HPCL LPG SUBSIDY HPAP34D--"/>
    <s v="TRANSFER FROM 4599418105215"/>
    <m/>
    <n v="9.9499999999999993"/>
    <n v="82819.280000000013"/>
    <s v="Subsidy"/>
    <m/>
    <x v="6"/>
    <m/>
    <s v="2022-2023"/>
    <s v="CHECKED"/>
  </r>
  <r>
    <x v="681"/>
    <d v="2022-08-08T00:00:00"/>
    <s v="   TO TRANSFER-UPI/DR/222008484163/Jio Mobi/YESB/jio@yesban/JIO20--"/>
    <s v="TRANSFER TO 4695799162095"/>
    <n v="239"/>
    <m/>
    <n v="82580.280000000013"/>
    <s v="Mobile Recharge"/>
    <s v="Google Pay App"/>
    <x v="35"/>
    <m/>
    <s v="2022-2023"/>
    <s v="CHECKED"/>
  </r>
  <r>
    <x v="682"/>
    <d v="2022-08-09T00:00:00"/>
    <s v="   TO TRANSFER-UPI/DR/222131625507/billdesk/ICIC/billdesk.p/UPI--"/>
    <s v="TRANSFER TO 4695905162098"/>
    <n v="99"/>
    <m/>
    <n v="82481.280000000013"/>
    <s v="Mobile Recharge"/>
    <s v="Google Pay App"/>
    <x v="161"/>
    <m/>
    <s v="2022-2023"/>
    <s v="CHECKED"/>
  </r>
  <r>
    <x v="683"/>
    <d v="2022-08-11T00:00:00"/>
    <s v="   BY TRANSFER-UPI/CR/222356578696/GOOGLEPAY/UTIB/goog-payme/UPI--"/>
    <s v="TRANSFER FROM 4695185162093"/>
    <m/>
    <n v="201"/>
    <n v="82682.280000000013"/>
    <s v="Earning From UPI App"/>
    <s v="Google Pay App"/>
    <x v="44"/>
    <m/>
    <s v="2022-2023"/>
    <s v="CHECKED"/>
  </r>
  <r>
    <x v="684"/>
    <d v="2022-08-18T00:00:00"/>
    <s v="   TO TRANSFER-UPI/DR/223082012083/RAM  KUMAR/SBIN/9782894204/Pay--"/>
    <s v="TRANSFER TO 5099556162099"/>
    <n v="600"/>
    <m/>
    <n v="82082.280000000013"/>
    <s v="Transfer Through UPI App"/>
    <s v="Phone Pe App"/>
    <x v="60"/>
    <m/>
    <s v="2022-2023"/>
    <s v="CHECKED"/>
  </r>
  <r>
    <x v="685"/>
    <d v="2022-08-20T00:00:00"/>
    <s v="   TO TRANSFER-UPI/DR/223285276806/NAVDEEP /PYTM/navdeepath/Adapt--"/>
    <s v="TRANSFER TO 5099704162093"/>
    <n v="100"/>
    <m/>
    <n v="81982.280000000013"/>
    <s v="Transfer Through UPI App"/>
    <s v="Google Pay App"/>
    <x v="210"/>
    <m/>
    <s v="2022-2023"/>
    <s v="1. House Expenses me abhi entry nhi ki hai"/>
  </r>
  <r>
    <x v="685"/>
    <d v="2022-08-20T00:00:00"/>
    <s v="   BY TRANSFER-UPI/CR/223241169457/GOOGLEPAY/UTIB/goog-payme/UPI--"/>
    <s v="TRANSFER FROM 5098680162093"/>
    <m/>
    <n v="5"/>
    <n v="81987.280000000013"/>
    <s v="Earning From UPI App"/>
    <s v="Google Pay App"/>
    <x v="125"/>
    <m/>
    <s v="2022-2023"/>
    <s v="CHECKED"/>
  </r>
  <r>
    <x v="686"/>
    <d v="2022-08-26T00:00:00"/>
    <s v="   FI Txn @ CSP outlet-003348670440469267 AEPS WDL TXN @KO 1A900867--"/>
    <s v="TRANSFER TO 35749786402                           "/>
    <n v="3000"/>
    <m/>
    <n v="78987.280000000013"/>
    <s v="Cash Withdrwal"/>
    <m/>
    <x v="174"/>
    <m/>
    <s v="2022-2023"/>
    <s v="CHECKED"/>
  </r>
  <r>
    <x v="687"/>
    <d v="2022-08-27T00:00:00"/>
    <s v="   TO TRANSFER-UPI/DR/223944224590/RELIANCE/CITI/jio@citiba/JIO20--"/>
    <s v="TRANSFER TO 5098009162090"/>
    <n v="234.82"/>
    <m/>
    <n v="78752.460000000006"/>
    <s v="Mobile Recharge"/>
    <s v="Google Pay App"/>
    <x v="18"/>
    <m/>
    <s v="2022-2023"/>
    <s v="CHECKED"/>
  </r>
  <r>
    <x v="688"/>
    <d v="2022-08-31T00:00:00"/>
    <s v="   TO TRANSFER-UPI/DR/224367089361/Amazon Pay/UTIB/amazonupi@/You--"/>
    <s v="TRANSFER TO 4692509162090"/>
    <n v="954"/>
    <m/>
    <n v="77798.460000000006"/>
    <s v="Transfer Through UPI App"/>
    <s v="Google Pay App"/>
    <x v="211"/>
    <m/>
    <s v="2022-2023"/>
    <s v="CHECKED"/>
  </r>
  <r>
    <x v="688"/>
    <d v="2022-08-31T00:00:00"/>
    <s v="   BY TRANSFER-UPI/CR/224379478410/GOOGLEPAY/UTIB/goog-payme/Earn--"/>
    <s v="TRANSFER FROM 5098999162092"/>
    <m/>
    <n v="23"/>
    <n v="77821.460000000006"/>
    <s v="Earning From UPI App"/>
    <s v="Google Pay App"/>
    <x v="125"/>
    <m/>
    <s v="2022-2023"/>
    <s v="CHECKED"/>
  </r>
  <r>
    <x v="688"/>
    <d v="2022-08-31T00:00:00"/>
    <s v="   TO TRANSFER-UPI/DR/224362117689/Amazon Pay/UTIB/amazonupi@/You--"/>
    <s v="TRANSFER TO 5097700162091"/>
    <n v="899"/>
    <m/>
    <n v="76922.460000000006"/>
    <s v="Transfer Through UPI App"/>
    <s v="Google Pay App"/>
    <x v="212"/>
    <m/>
    <s v="2022-2023"/>
    <s v="CHECKED"/>
  </r>
  <r>
    <x v="688"/>
    <d v="2022-08-31T00:00:00"/>
    <s v="   TO TRANSFER-UPI/DR/224306938417/Amazon Pay/UTIB/amazonupi@/You--"/>
    <s v="TRANSFER TO 4692508162091"/>
    <n v="249"/>
    <m/>
    <n v="76673.460000000006"/>
    <s v="Transfer Through UPI App"/>
    <s v="Google Pay App"/>
    <x v="212"/>
    <m/>
    <s v="2022-2023"/>
    <s v="CHECKED"/>
  </r>
  <r>
    <x v="689"/>
    <d v="2022-09-01T00:00:00"/>
    <s v="   BY TRANSFER-UPI/CR/224483690907/GOOGLEPAY/UTIB/goog-payme/Earn--"/>
    <s v="TRANSFER FROM 4693402162094"/>
    <m/>
    <n v="39"/>
    <n v="76712.460000000006"/>
    <s v="Earning From UPI App"/>
    <s v="Google Pay App"/>
    <x v="125"/>
    <m/>
    <s v="2022-2023"/>
    <s v="CHECKED"/>
  </r>
  <r>
    <x v="689"/>
    <d v="2022-09-01T00:00:00"/>
    <s v="   BY TRANSFER-NEFT*RBIS0GORJEP*RBI2442217668925*TREASURY OFFICE--"/>
    <s v="TRANSFER FROM 3199421044306"/>
    <m/>
    <n v="40079"/>
    <n v="116791.46"/>
    <s v="Salary"/>
    <m/>
    <x v="0"/>
    <m/>
    <s v="2022-2023"/>
    <s v="CHECKED"/>
  </r>
  <r>
    <x v="690"/>
    <d v="2022-09-04T00:00:00"/>
    <s v="   TO TRANSFER-UPI/DR/224760519219/billdesk/ICIC/billdesk.e/UPI--"/>
    <s v="TRANSFER TO 4692669162097"/>
    <n v="1397"/>
    <m/>
    <n v="115394.46"/>
    <s v="Electricity Bill"/>
    <s v="Google Pay App"/>
    <x v="36"/>
    <m/>
    <s v="2022-2023"/>
    <s v="CHECKED"/>
  </r>
  <r>
    <x v="691"/>
    <d v="2022-09-05T00:00:00"/>
    <s v="   FI Txn @ CSP outlet-000504284650938556 AEPS WDL TXN @KO 1A900867--"/>
    <s v="TRANSFER TO 35749786402                           "/>
    <n v="10000"/>
    <m/>
    <n v="105394.46"/>
    <s v="Cash Withdrwal"/>
    <m/>
    <x v="174"/>
    <m/>
    <s v="2022-2023"/>
    <s v="CHECKED"/>
  </r>
  <r>
    <x v="691"/>
    <d v="2022-09-05T00:00:00"/>
    <s v="   TO TRANSFER-UPI/DR/224814470474/RELIANCE/CITI/jio@citiba/JIO20--"/>
    <s v="TRANSFER TO 4692443162093"/>
    <n v="209"/>
    <m/>
    <n v="105185.46"/>
    <s v="Mobile Recharge"/>
    <s v="Google Pay App"/>
    <x v="35"/>
    <m/>
    <s v="2022-2023"/>
    <s v="CHECKED"/>
  </r>
  <r>
    <x v="692"/>
    <d v="2022-09-07T00:00:00"/>
    <s v="   TO TRANSFER-UPI/DR/225053133885/EURONETG/ICIC/euronetgpa/UPI--"/>
    <s v="TRANSFER TO 4692509162090"/>
    <n v="99"/>
    <m/>
    <n v="105086.46"/>
    <s v="Mobile Recharge"/>
    <s v="Google Pay App"/>
    <x v="161"/>
    <m/>
    <s v="2022-2023"/>
    <s v="CHECKED"/>
  </r>
  <r>
    <x v="693"/>
    <d v="2022-09-10T00:00:00"/>
    <s v="   BY TRANSFER-P09220177877B HPCL LPG SUBSIDY HPAP34D--"/>
    <s v="TRANSFER FROM 4599397105215"/>
    <m/>
    <n v="9.9499999999999993"/>
    <n v="105096.41"/>
    <s v="Subsidy"/>
    <m/>
    <x v="6"/>
    <m/>
    <s v="2022-2023"/>
    <s v="CHECKED"/>
  </r>
  <r>
    <x v="694"/>
    <d v="2022-09-17T00:00:00"/>
    <s v="   BY TRANSFER-UPI/CR/226079158217/Amazon P/UTIB/amazon.ref/Refun--"/>
    <s v="TRANSFER FROM 5099188162097"/>
    <m/>
    <n v="954"/>
    <n v="106050.41"/>
    <s v="Received Through Net Banking"/>
    <m/>
    <x v="213"/>
    <m/>
    <s v="2022-2023"/>
    <s v="CHECKED"/>
  </r>
  <r>
    <x v="695"/>
    <d v="2022-09-24T00:00:00"/>
    <s v="   TO TRANSFER-UPI/DR/226796409401/RELIANCE/CITI/jio@citiba/JIO20--"/>
    <s v="TRANSFER TO 4696271162098"/>
    <n v="234.82"/>
    <m/>
    <n v="105815.59"/>
    <s v="Mobile Recharge"/>
    <s v="Google Pay App"/>
    <x v="18"/>
    <m/>
    <s v="2022-2023"/>
    <s v="CHECKED"/>
  </r>
  <r>
    <x v="696"/>
    <d v="2022-09-25T00:00:00"/>
    <s v="   CREDIT INTEREST---"/>
    <m/>
    <m/>
    <n v="558"/>
    <n v="106373.59"/>
    <s v="Credit Interest"/>
    <m/>
    <x v="0"/>
    <m/>
    <s v="2022-2023"/>
    <s v="CHECKED"/>
  </r>
  <r>
    <x v="697"/>
    <d v="2022-10-01T00:00:00"/>
    <s v="   BY TRANSFER-NEFT*RBIS0GORJEP*RBI2742271213876*TREASURY OFFICE--"/>
    <s v="TRANSFER FROM 3199683044306"/>
    <m/>
    <n v="40079"/>
    <n v="146452.59"/>
    <s v="Salary"/>
    <m/>
    <x v="0"/>
    <m/>
    <s v="2022-2023"/>
    <s v="CHECKED"/>
  </r>
  <r>
    <x v="698"/>
    <d v="2022-10-04T00:00:00"/>
    <s v="   TO TRANSFER-UPI/DR/227735916072/Jio Mobi/YESB/jio@yesban/JIO20--"/>
    <s v="TRANSFER TO 4695874162090"/>
    <n v="209"/>
    <m/>
    <n v="146243.59"/>
    <s v="Mobile Recharge"/>
    <s v="Google Pay App"/>
    <x v="35"/>
    <m/>
    <s v="2022-2023"/>
    <s v="CHECKED"/>
  </r>
  <r>
    <x v="699"/>
    <d v="2022-10-05T00:00:00"/>
    <s v="   TO TRANSFER-UPI/DR/227869613024/billdesk/ICIC/billdesk.p/UPI--"/>
    <s v="TRANSFER TO 4692533162091"/>
    <n v="99"/>
    <m/>
    <n v="146144.59"/>
    <s v="Mobile Recharge"/>
    <s v="Google Pay App"/>
    <x v="161"/>
    <m/>
    <s v="2022-2023"/>
    <s v="CHECKED"/>
  </r>
  <r>
    <x v="700"/>
    <d v="2022-10-12T00:00:00"/>
    <s v="   FI Txn @ CSP outlet-003693083812317644 AEPS WDL TXN @KO 1A900867--"/>
    <s v="TRANSFER TO 35749786402                           "/>
    <n v="5000"/>
    <m/>
    <n v="141144.59"/>
    <s v="Cash Withdrwal"/>
    <m/>
    <x v="174"/>
    <m/>
    <s v="2022-2023"/>
    <s v="CHECKED"/>
  </r>
  <r>
    <x v="701"/>
    <d v="2022-10-14T00:00:00"/>
    <s v="   TO TRANSFER-UPI/DR/228796834944/ST BOTAN/ICIC/stbotanica/UPI--"/>
    <s v="TRANSFER TO 4696207162094"/>
    <n v="99"/>
    <m/>
    <n v="141045.59"/>
    <s v="Transfer Through UPI App"/>
    <s v="Google Pay App"/>
    <x v="214"/>
    <m/>
    <s v="2022-2023"/>
    <s v="1. House Expenses me abhi entry nhi ki hai"/>
  </r>
  <r>
    <x v="702"/>
    <d v="2022-10-19T00:00:00"/>
    <s v="   TO TRANSFER-UPI/DR/229232778895/BUNCH MI/HDFC/classplusa/Bunch--"/>
    <s v="TRANSFER TO 4692516162092"/>
    <n v="2052.5500000000002"/>
    <m/>
    <n v="138993.04"/>
    <s v="Transfer Through UPI App"/>
    <m/>
    <x v="215"/>
    <m/>
    <s v="2022-2023"/>
    <s v="CHECKED"/>
  </r>
  <r>
    <x v="703"/>
    <d v="2022-10-20T00:00:00"/>
    <s v="   BY TRANSFER-NEFT*RBIS0GORJEP*RBI2942202240460*TREASURY OFFICE--"/>
    <s v="TRANSFER FROM 3199420044306"/>
    <m/>
    <n v="5080"/>
    <n v="144073.04"/>
    <s v="Salary"/>
    <m/>
    <x v="10"/>
    <m/>
    <s v="2022-2023"/>
    <s v="CHECKED"/>
  </r>
  <r>
    <x v="704"/>
    <d v="2022-10-21T00:00:00"/>
    <s v="   FI Txn @ CSP outlet-004459219045560033 AEPS WDL TXN @KO 1A900867--"/>
    <s v="TRANSFER TO 35749786402                           "/>
    <n v="10000"/>
    <m/>
    <n v="134073.04"/>
    <s v="Cash Withdrwal"/>
    <m/>
    <x v="174"/>
    <m/>
    <s v="2022-2023"/>
    <s v="CHECKED"/>
  </r>
  <r>
    <x v="705"/>
    <d v="2022-10-24T00:00:00"/>
    <s v="   TO TRANSFER-UPI/DR/229759813548/RELIANCE/CITI/jio@citiba/JIO20--"/>
    <s v="TRANSFER TO 4695803162093"/>
    <n v="234.82"/>
    <m/>
    <n v="133838.22"/>
    <s v="Mobile Recharge"/>
    <s v="Google Pay App"/>
    <x v="18"/>
    <m/>
    <s v="2022-2023"/>
    <s v="CHECKED"/>
  </r>
  <r>
    <x v="706"/>
    <d v="2022-11-01T00:00:00"/>
    <s v="   BY TRANSFER-NEFT*RBIS0GORJEP*RBI3062226466961*TREASURY OFFICE--"/>
    <s v="TRANSFER FROM 3199960044301"/>
    <m/>
    <n v="41411"/>
    <n v="175249.22"/>
    <s v="Salary"/>
    <m/>
    <x v="0"/>
    <m/>
    <s v="2022-2023"/>
    <s v="CHECKED"/>
  </r>
  <r>
    <x v="707"/>
    <d v="2022-11-02T00:00:00"/>
    <s v="   TO TRANSFER-UPI/DR/230633742143/AMAZON PAY/UTIB/amazonpay@/You--"/>
    <s v="TRANSFER TO 4696866162093"/>
    <n v="209"/>
    <m/>
    <n v="175040.22"/>
    <s v="Mobile Recharge"/>
    <s v="Google Pay App"/>
    <x v="35"/>
    <m/>
    <s v="2022-2023"/>
    <s v="CHECKED"/>
  </r>
  <r>
    <x v="708"/>
    <d v="2022-11-04T00:00:00"/>
    <s v="   TO TRANSFER-UPI/DR/230832895501/billdesk/ICIC/billdesk.p/UPI--"/>
    <s v="TRANSFER TO 4696200162090"/>
    <n v="99"/>
    <m/>
    <n v="174941.22"/>
    <s v="Mobile Recharge"/>
    <s v="Google Pay App"/>
    <x v="161"/>
    <m/>
    <s v="2022-2023"/>
    <s v="CHECKED"/>
  </r>
  <r>
    <x v="708"/>
    <d v="2022-11-04T00:00:00"/>
    <s v="CHEQUE DEPOSIT---509940"/>
    <s v="TRANSFER TO 61221827151                            / 509940"/>
    <m/>
    <n v="700"/>
    <n v="175641.22"/>
    <s v="Other Bill Reimbursement (DOIT)"/>
    <m/>
    <x v="0"/>
    <m/>
    <s v="2022-2023"/>
    <s v="4. PENDING TO CHECK OTHER BILLS IN OFFICE AND OTHER EXCEL SHEETS"/>
  </r>
  <r>
    <x v="709"/>
    <d v="2022-11-06T00:00:00"/>
    <s v="   TO TRANSFER-UPI/DR/231034668328/Amazon I/YESB/amazon@yap/You a--"/>
    <s v="TRANSFER TO 4696377162099"/>
    <n v="1638"/>
    <m/>
    <n v="174003.22"/>
    <s v="Electricity Bill"/>
    <s v="Google Pay App"/>
    <x v="36"/>
    <s v="amazon pay pr ja kr google pay se bill bhra"/>
    <s v="2022-2023"/>
    <s v="CHECKED"/>
  </r>
  <r>
    <x v="710"/>
    <d v="2022-11-07T00:00:00"/>
    <s v="   BY TRANSFER-UPI/CR/231123919381/GOOGLEPAY/UTIB/goog-payme/UPI--"/>
    <s v="TRANSFER FROM 4693077162091"/>
    <m/>
    <n v="7"/>
    <n v="174010.22"/>
    <s v="Earning From UPI App"/>
    <s v="Google Pay App"/>
    <x v="125"/>
    <m/>
    <s v="2022-2023"/>
    <s v="CHECKED"/>
  </r>
  <r>
    <x v="711"/>
    <d v="2022-11-10T00:00:00"/>
    <s v="   FI Txn @ CSP outlet-006200915751964050 AEPS WDL TXN @KO 1A900867--"/>
    <s v="TRANSFER TO 35749786402                           "/>
    <n v="30000"/>
    <m/>
    <n v="144010.22"/>
    <s v="Cash Withdrwal"/>
    <m/>
    <x v="174"/>
    <m/>
    <s v="2022-2023"/>
    <s v="CHECKED"/>
  </r>
  <r>
    <x v="712"/>
    <d v="2022-11-24T00:00:00"/>
    <s v="   TO TRANSFER-UPI/DR/232817998233/RELIANCE/CITI/jio@citiba/JIO20--"/>
    <s v="TRANSFER TO 4696096162096"/>
    <n v="260.52"/>
    <m/>
    <n v="143749.70000000001"/>
    <s v="Mobile Recharge"/>
    <s v="Google Pay App"/>
    <x v="18"/>
    <m/>
    <s v="2022-2023"/>
    <s v="CHECKED"/>
  </r>
  <r>
    <x v="713"/>
    <d v="2022-12-01T00:00:00"/>
    <s v="   BY TRANSFER-NEFT*RBIS0GORJEP*RBI3352271357880*TREASURY OFFICE--"/>
    <s v="TRANSFER FROM 3199424044303"/>
    <m/>
    <n v="41411"/>
    <n v="185160.7"/>
    <s v="Salary"/>
    <m/>
    <x v="0"/>
    <m/>
    <s v="2022-2023"/>
    <s v="CHECKED"/>
  </r>
  <r>
    <x v="713"/>
    <d v="2022-12-01T00:00:00"/>
    <s v="   TO TRANSFER-UPI/DR/233581449235/Jio Mobi/YESB/jio@yesban/ Paym--"/>
    <s v="TRANSFER TO 4696887162098"/>
    <n v="209"/>
    <m/>
    <n v="184951.7"/>
    <s v="Mobile Recharge"/>
    <s v="Google Pay App"/>
    <x v="35"/>
    <m/>
    <s v="2022-2023"/>
    <s v="CHECKED"/>
  </r>
  <r>
    <x v="714"/>
    <d v="2022-12-09T00:00:00"/>
    <s v="   TO TRANSFER-UPI/DR/234388603969/EURONETG/ICIC/euronetgpa/UPI--"/>
    <s v="TRANSFER TO 4696938162093"/>
    <n v="99"/>
    <m/>
    <n v="184852.7"/>
    <s v="Mobile Recharge"/>
    <s v="Google Pay App"/>
    <x v="161"/>
    <m/>
    <s v="2022-2023"/>
    <s v="CHECKED"/>
  </r>
  <r>
    <x v="715"/>
    <d v="2022-12-23T00:00:00"/>
    <s v="   FI Txn @ CSP outlet-009914464045519426 AEPS WDL TXN @KO 1A900867--"/>
    <s v="TRANSFER TO 35749786402                           "/>
    <n v="7000"/>
    <m/>
    <n v="177852.7"/>
    <s v="Cash Withdrwal"/>
    <m/>
    <x v="174"/>
    <m/>
    <s v="2022-2023"/>
    <s v="CHECKED"/>
  </r>
  <r>
    <x v="716"/>
    <d v="2022-12-25T00:00:00"/>
    <s v="   TO TRANSFER-UPI/DR/235915713846/Jio Plat/YESB/jiopostpai/ Paym--"/>
    <s v="TRANSFER TO 4692675162099"/>
    <n v="237.18"/>
    <m/>
    <n v="177615.52000000002"/>
    <s v="Mobile Recharge"/>
    <s v="Google Pay App"/>
    <x v="18"/>
    <m/>
    <s v="2022-2023"/>
    <s v="CHECKED"/>
  </r>
  <r>
    <x v="716"/>
    <d v="2022-12-25T00:00:00"/>
    <s v="   TO TRANSFER-UPI/DR/235927870787/billdesk/ICIC/billdesk.e/UPI--"/>
    <s v="TRANSFER TO 4692683162099"/>
    <n v="1257"/>
    <m/>
    <n v="176358.52000000002"/>
    <s v="Electricity Bill"/>
    <s v="Google Pay App"/>
    <x v="36"/>
    <m/>
    <s v="2022-2023"/>
    <s v="CHECKED"/>
  </r>
  <r>
    <x v="716"/>
    <d v="2022-12-25T00:00:00"/>
    <s v="   CREDIT INTEREST---"/>
    <m/>
    <m/>
    <n v="1041"/>
    <n v="177399.52000000002"/>
    <s v="Credit Interest"/>
    <m/>
    <x v="0"/>
    <m/>
    <s v="2022-2023"/>
    <s v="CHECKED"/>
  </r>
  <r>
    <x v="717"/>
    <d v="2022-12-29T00:00:00"/>
    <s v="   TO TRANSFER-UPI/DR/236318057364/Jio Mobi/YESB/jio@yesban/JIO20--"/>
    <s v="TRANSFER TO 4696080162093"/>
    <n v="239"/>
    <m/>
    <n v="177160.52000000002"/>
    <s v="Mobile Recharge"/>
    <s v="Google Pay App"/>
    <x v="35"/>
    <m/>
    <s v="2022-2023"/>
    <s v="CHECKED"/>
  </r>
  <r>
    <x v="718"/>
    <d v="2022-12-30T00:00:00"/>
    <s v="   TO TRANSFER-UPI/DR/236425395425/20078643/sbin/2007864390/To Ro--"/>
    <s v="TRANSFER TO 4694280162090"/>
    <n v="1"/>
    <m/>
    <n v="177159.52000000002"/>
    <s v="Transfer Through UPI App"/>
    <s v="Google Pay App"/>
    <x v="154"/>
    <m/>
    <s v="2022-2023"/>
    <s v="8. Family Transfers"/>
  </r>
  <r>
    <x v="718"/>
    <d v="2022-12-30T00:00:00"/>
    <s v="   TO TRANSFER-INB To Rohit Jain--"/>
    <s v="IT00OYKOT8               TRANSFER TO 20078643908  "/>
    <n v="99999"/>
    <m/>
    <n v="77160.520000000019"/>
    <s v="Transfer Through Net Banking"/>
    <m/>
    <x v="154"/>
    <m/>
    <s v="2022-2023"/>
    <s v="8. Family Transfers"/>
  </r>
  <r>
    <x v="719"/>
    <d v="2023-01-02T00:00:00"/>
    <s v="   BY TRANSFER-NEFT*RBIS0GORJEP*RBI0022324529448*TREASURY OFFICE--"/>
    <s v="TRANSFER FROM 3199419044300"/>
    <m/>
    <n v="41411"/>
    <n v="118571.52000000002"/>
    <s v="Salary"/>
    <m/>
    <x v="0"/>
    <m/>
    <s v="2022-2023"/>
    <s v="CHECKED"/>
  </r>
  <r>
    <x v="720"/>
    <d v="2023-01-08T00:00:00"/>
    <s v="   TO TRANSFER-UPI/DR/300837412716/EURONETG/ICIC/euronetgpa/UPI--"/>
    <s v="TRANSFER TO 4692675162099"/>
    <n v="107"/>
    <m/>
    <n v="118464.52000000002"/>
    <s v="Mobile Recharge"/>
    <s v="Google Pay App"/>
    <x v="216"/>
    <m/>
    <s v="2022-2023"/>
    <s v="CHECKED"/>
  </r>
  <r>
    <x v="721"/>
    <d v="2023-01-16T00:00:00"/>
    <s v="   FI Txn @ CSP outlet-012000167402610636 AEPS WDL TXN @KO 1A900867--"/>
    <s v="TRANSFER TO 35749786402                           "/>
    <n v="7000"/>
    <m/>
    <n v="111464.52000000002"/>
    <s v="Cash Withdrwal"/>
    <m/>
    <x v="174"/>
    <m/>
    <s v="2022-2023"/>
    <s v="CHECKED"/>
  </r>
  <r>
    <x v="722"/>
    <d v="2023-01-18T00:00:00"/>
    <s v="   TO TRANSFER-UPI/DR/301822611690/SATISH K/PUNB/kumarsatis/To Sa--"/>
    <s v="TRANSFER TO 5097754162099"/>
    <n v="5000"/>
    <m/>
    <n v="106464.52000000002"/>
    <s v="Transfer Through UPI App"/>
    <s v="Google Pay App"/>
    <x v="217"/>
    <m/>
    <s v="2022-2023"/>
    <s v="CHECKED"/>
  </r>
  <r>
    <x v="723"/>
    <d v="2023-01-20T00:00:00"/>
    <s v="   BY TRANSFER-NEFT*RBIS0GORJEP*RBI0212350770935*TREASURY OFFICE--"/>
    <s v="TRANSFER FROM 3199420044306"/>
    <m/>
    <n v="7116"/>
    <n v="113580.52000000002"/>
    <s v="Salary"/>
    <m/>
    <x v="7"/>
    <m/>
    <s v="2022-2023"/>
    <s v="CHECKED"/>
  </r>
  <r>
    <x v="724"/>
    <d v="2023-01-22T00:00:00"/>
    <s v="   TO TRANSFER-UPI/DR/302291266783/EURONETG/ICIC/euronetgpa/UPI--"/>
    <s v="TRANSFER TO 4696381162093"/>
    <n v="99"/>
    <m/>
    <n v="113481.52000000002"/>
    <s v="Mobile Recharge"/>
    <s v="Google Pay App"/>
    <x v="161"/>
    <m/>
    <s v="2022-2023"/>
    <s v="CHECKED"/>
  </r>
  <r>
    <x v="725"/>
    <d v="2023-01-25T00:00:00"/>
    <s v="   TO TRANSFER-UPI/DR/302559717571/billdesk/ICIC/billdesk.p/UPI--"/>
    <s v="TRANSFER TO 4696858162092"/>
    <n v="255.91"/>
    <m/>
    <n v="113225.61000000002"/>
    <s v="Mobile Recharge"/>
    <s v="Google Pay App"/>
    <x v="18"/>
    <m/>
    <s v="2022-2023"/>
    <s v="CHECKED"/>
  </r>
  <r>
    <x v="726"/>
    <d v="2023-01-26T00:00:00"/>
    <s v="   TO TRANSFER-UPI/DR/302698411264/CHARAN P/FDRL/bharatpe.9/Pay t--"/>
    <s v="TRANSFER TO 5097784162094"/>
    <n v="1400"/>
    <m/>
    <n v="111825.61000000002"/>
    <s v="other"/>
    <m/>
    <x v="0"/>
    <s v="mohit shooes (1000) jeevisha shooes (200) srishti shooes (200)"/>
    <s v="2022-2023"/>
    <s v="1. House Expenses me abhi entry nhi ki hai"/>
  </r>
  <r>
    <x v="727"/>
    <d v="2023-01-27T00:00:00"/>
    <s v="   TO TRANSFER-UPI/DR/302714995587/FASHION /HDFC/fashioncam/Fashi--"/>
    <s v="TRANSFER TO 5097913162091"/>
    <n v="4500"/>
    <m/>
    <n v="107325.61000000002"/>
    <s v="other"/>
    <m/>
    <x v="0"/>
    <s v="mohit cloths"/>
    <s v="2022-2023"/>
    <s v="CHECKED"/>
  </r>
  <r>
    <x v="727"/>
    <d v="2023-01-27T00:00:00"/>
    <s v="   BY TRANSFER-NEFT*RBIS0GORJEP*RBI0282359074210*TREASURY OFFICE--"/>
    <s v="TRANSFER FROM 3199410044308"/>
    <m/>
    <n v="519"/>
    <n v="107844.61000000002"/>
    <s v="TA Bill Reimbursement (DOIT)"/>
    <m/>
    <x v="218"/>
    <m/>
    <s v="2022-2023"/>
    <s v="CHECKED"/>
  </r>
  <r>
    <x v="727"/>
    <d v="2023-01-27T00:00:00"/>
    <s v="   BY TRANSFER-NEFT*RBIS0GORJEP*RBI0282359074209*TREASURY OFFICE--"/>
    <s v="TRANSFER FROM 3199972044308"/>
    <m/>
    <n v="521"/>
    <n v="108365.61000000002"/>
    <s v="TA Bill Reimbursement (DOIT)"/>
    <m/>
    <x v="219"/>
    <m/>
    <s v="2022-2023"/>
    <s v="CHECKED"/>
  </r>
  <r>
    <x v="727"/>
    <d v="2023-01-27T00:00:00"/>
    <s v="   BY TRANSFER-NEFT*RBIS0GORJEP*RBI0282359074208*TREASURY OFFICE--"/>
    <s v="TRANSFER FROM 3199971044309"/>
    <m/>
    <n v="543"/>
    <n v="108908.61000000002"/>
    <s v="TA Bill Reimbursement (DOIT)"/>
    <m/>
    <x v="220"/>
    <m/>
    <s v="2022-2023"/>
    <s v="CHECKED"/>
  </r>
  <r>
    <x v="727"/>
    <d v="2023-01-27T00:00:00"/>
    <s v="   TO TRANSFER-UPI/DR/302724168130/FASHION /HDFC/fashioncam/Fashi--"/>
    <s v="TRANSFER TO 4696936162095"/>
    <n v="1600"/>
    <m/>
    <n v="107308.61000000002"/>
    <s v="other"/>
    <m/>
    <x v="0"/>
    <s v="mohit cloths"/>
    <s v="2022-2023"/>
    <s v="CHECKED"/>
  </r>
  <r>
    <x v="728"/>
    <d v="2023-01-28T00:00:00"/>
    <s v="   TO TRANSFER-UPI/DR/302839670085/Jio Mobi/YESB/jio@yesban/JIO20--"/>
    <s v="TRANSFER TO 5097966162099"/>
    <n v="239"/>
    <m/>
    <n v="107069.61000000002"/>
    <s v="Mobile Recharge"/>
    <s v="Google Pay App"/>
    <x v="35"/>
    <m/>
    <s v="2022-2023"/>
    <s v="CHECKED"/>
  </r>
  <r>
    <x v="728"/>
    <d v="2023-01-28T00:00:00"/>
    <s v="   TO TRANSFER-UPI/DR/302825792640/Amazon Pay/UTIB/amazonupi@/You--"/>
    <s v="TRANSFER TO 4692658162099"/>
    <n v="850"/>
    <m/>
    <n v="106219.61000000002"/>
    <s v="other"/>
    <m/>
    <x v="0"/>
    <s v="Srishti Diapers"/>
    <s v="2022-2023"/>
    <s v="1. House Expenses me abhi entry nhi ki hai"/>
  </r>
  <r>
    <x v="729"/>
    <d v="2023-01-29T00:00:00"/>
    <s v="   TO TRANSFER-UPI/DR/302969015507/SABANA  /SBIN/8560928685/To Aa--"/>
    <s v="TRANSFER TO 5098127162096"/>
    <n v="5000"/>
    <m/>
    <n v="101219.61000000002"/>
    <s v="Transfer Through UPI App"/>
    <s v="Google Pay App"/>
    <x v="165"/>
    <m/>
    <s v="2022-2023"/>
    <s v="CHECKED"/>
  </r>
  <r>
    <x v="729"/>
    <d v="2023-01-29T00:00:00"/>
    <s v="   TO TRANSFER-UPI/DR/302974859966/Krishnae/PYTM/paytmqr281/To Ra--"/>
    <s v="TRANSFER TO 4696997162093"/>
    <n v="5220"/>
    <m/>
    <n v="95999.610000000015"/>
    <s v="Transfer Through UPI App"/>
    <s v="Google Pay App"/>
    <x v="221"/>
    <m/>
    <s v="2022-2023"/>
    <s v="CHECKED"/>
  </r>
  <r>
    <x v="730"/>
    <d v="2023-02-01T00:00:00"/>
    <s v="   BY TRANSFER-NEFT*RBIS0GORJEP*RBI0322374837159*TREASURY OFFICE--"/>
    <s v="TRANSFER FROM 3199967044305"/>
    <m/>
    <n v="43398"/>
    <n v="139397.61000000002"/>
    <s v="Salary"/>
    <m/>
    <x v="0"/>
    <m/>
    <s v="2022-2023"/>
    <s v="CHECKED"/>
  </r>
  <r>
    <x v="731"/>
    <d v="2023-02-02T00:00:00"/>
    <s v="   BY TRANSFER-UPI/CR/303334349093/SATISH  /SBIN/9413062235/Payme--"/>
    <s v="TRANSFER FROM 4897713162094"/>
    <m/>
    <n v="3000"/>
    <n v="142397.61000000002"/>
    <s v="Received Through UPI App"/>
    <m/>
    <x v="222"/>
    <m/>
    <s v="2022-2023"/>
    <s v="CHECKED"/>
  </r>
  <r>
    <x v="732"/>
    <d v="2023-02-13T00:00:00"/>
    <s v="   FI Txn @ CSP outlet-014418179073023274 AEPS WDL TXN @KO 1A900867--"/>
    <s v="TRANSFER TO 35749786402                           "/>
    <n v="7000"/>
    <m/>
    <n v="135397.61000000002"/>
    <s v="Cash Withdrwal"/>
    <m/>
    <x v="174"/>
    <m/>
    <s v="2022-2023"/>
    <s v="CHECKED"/>
  </r>
  <r>
    <x v="733"/>
    <d v="2023-02-15T00:00:00"/>
    <s v="   BY TRANSFER-NEFT*UTIB0000004*AXISCN0209384129*NIPPON INDIA BAN--"/>
    <s v="TRANSFER FROM 4697192044305"/>
    <m/>
    <n v="815.62"/>
    <n v="136213.23000000001"/>
    <s v="Mutual Fund Sold"/>
    <m/>
    <x v="181"/>
    <s v="Dividend"/>
    <s v="2022-2023"/>
    <s v="CHECKED"/>
  </r>
  <r>
    <x v="734"/>
    <d v="2023-02-17T00:00:00"/>
    <s v="   BY TRANSFER-UPI/CR/304849540225/GOOGLEPAY/UTIB/goog-payme/Rewa--"/>
    <s v="TRANSFER FROM 4693431162090"/>
    <m/>
    <n v="201"/>
    <n v="136414.23000000001"/>
    <s v="Earning From UPI App"/>
    <s v="Google Pay App"/>
    <x v="44"/>
    <m/>
    <s v="2022-2023"/>
    <s v="CHECKED"/>
  </r>
  <r>
    <x v="735"/>
    <d v="2023-02-18T00:00:00"/>
    <s v="   TO TRANSFER-UPI/DR/304997022334/Dilli Da/UTIB/gpay-11219/food--"/>
    <s v="TRANSFER TO 5097974162099"/>
    <n v="100"/>
    <m/>
    <n v="136314.23000000001"/>
    <s v="Transfer Through UPI App"/>
    <s v="Google Pay App"/>
    <x v="223"/>
    <m/>
    <s v="2022-2023"/>
    <s v="CHECKED"/>
  </r>
  <r>
    <x v="735"/>
    <d v="2023-02-18T00:00:00"/>
    <s v="   ATM WDL-ATM CASH 1064  SBBJ TIBBI            HANUMANGARH--"/>
    <m/>
    <n v="7000"/>
    <m/>
    <n v="129314.23000000001"/>
    <s v="Cash Withdrwal"/>
    <s v="ATM card"/>
    <x v="15"/>
    <m/>
    <s v="2022-2023"/>
    <s v="CHECKED"/>
  </r>
  <r>
    <x v="736"/>
    <d v="2023-02-19T00:00:00"/>
    <s v="   TO TRANSFER-UPI/DR/305089062518/Amazon I/YESB/amazon@yap/You a--"/>
    <s v="TRANSFER TO 4696371162095"/>
    <n v="869"/>
    <m/>
    <n v="128445.23000000001"/>
    <s v="Transfer Through UPI App"/>
    <s v="Google Pay App"/>
    <x v="224"/>
    <m/>
    <s v="2022-2023"/>
    <s v="CHECKED"/>
  </r>
  <r>
    <x v="737"/>
    <d v="2023-02-24T00:00:00"/>
    <s v="   TO TRANSFER-UPI/DR/305566709675/RELIANCE/CITI/jio@citiba/JIO20--"/>
    <s v="TRANSFER TO 4692611162094"/>
    <n v="239.01"/>
    <m/>
    <n v="128206.22000000002"/>
    <s v="Mobile Recharge"/>
    <s v="Google Pay App"/>
    <x v="18"/>
    <m/>
    <s v="2022-2023"/>
    <s v="CHECKED"/>
  </r>
  <r>
    <x v="738"/>
    <d v="2023-02-26T00:00:00"/>
    <s v="   TO TRANSFER-UPI/DR/342360729811/BALVINDE/SBIN/8094032493/balwi--"/>
    <s v="TRANSFER TO 5099832162096"/>
    <n v="2000"/>
    <m/>
    <n v="126206.22000000002"/>
    <s v="Transfer Through UPI App"/>
    <s v="Phone Pe App"/>
    <x v="225"/>
    <m/>
    <s v="2022-2023"/>
    <s v="CHECKED"/>
  </r>
  <r>
    <x v="739"/>
    <d v="2023-02-27T00:00:00"/>
    <s v="   TO TRANSFER-UPI/DR/305837871949/RELIANCE/CITI/jio@citiba/JIO20--"/>
    <s v="TRANSFER TO 4695797162097"/>
    <n v="719"/>
    <m/>
    <n v="125487.22000000002"/>
    <s v="Mobile Recharge"/>
    <s v="Google Pay App"/>
    <x v="35"/>
    <m/>
    <s v="2022-2023"/>
    <s v="CHECKED"/>
  </r>
  <r>
    <x v="740"/>
    <d v="2023-03-01T00:00:00"/>
    <s v="   BY TRANSFER-NEFT*RBIS0GORJEP*RBI0602325483761*TREASURY OFFICE--"/>
    <s v="TRANSFER FROM 4697209044300"/>
    <m/>
    <n v="43398"/>
    <n v="168885.22000000003"/>
    <s v="Salary"/>
    <m/>
    <x v="0"/>
    <m/>
    <s v="2022-2023"/>
    <s v="CHECKED"/>
  </r>
  <r>
    <x v="740"/>
    <d v="2023-03-01T00:00:00"/>
    <s v="   BY TRANSFER-UPI/CR/306052689160/SATISH  /SBIN/9413062235/Payme--"/>
    <s v="TRANSFER FROM 4695132162095"/>
    <m/>
    <n v="2000"/>
    <n v="170885.22000000003"/>
    <s v="Received Through UPI App"/>
    <s v="Google Pay App"/>
    <x v="222"/>
    <m/>
    <s v="2022-2023"/>
    <s v="CHECKED"/>
  </r>
  <r>
    <x v="741"/>
    <d v="2023-03-02T00:00:00"/>
    <s v="   TO TRANSFER-UPI/DR/306124458894/Vodafone/PYTM/vilpreraj@/80030--"/>
    <s v="TRANSFER TO 4696901162095"/>
    <n v="99"/>
    <m/>
    <n v="170786.22000000003"/>
    <s v="Mobile Recharge"/>
    <s v="Google Pay App"/>
    <x v="161"/>
    <m/>
    <s v="2022-2023"/>
    <s v="CHECKED"/>
  </r>
  <r>
    <x v="741"/>
    <d v="2023-03-02T00:00:00"/>
    <s v="   BY TRANSFER-UPI/CR/306185911988/RAVI KUM/DCBL/8078650547/Payme--"/>
    <s v="TRANSFER FROM 5099094162092"/>
    <m/>
    <n v="7700"/>
    <n v="178486.22000000003"/>
    <s v="Received Through UPI App"/>
    <m/>
    <x v="155"/>
    <m/>
    <s v="2022-2023"/>
    <s v="CHECKED"/>
  </r>
  <r>
    <x v="742"/>
    <d v="2023-03-12T00:00:00"/>
    <s v="   TO TRANSFER-UPI/DR/307174786300/DIVYA  J/SBIN/divya88jai/retur--"/>
    <s v="TRANSFER TO 4695750162090"/>
    <n v="20000"/>
    <m/>
    <n v="158486.22000000003"/>
    <s v="Transfer Through UPI App"/>
    <s v="Google Pay App"/>
    <x v="226"/>
    <m/>
    <s v="2022-2023"/>
    <s v="CHECKED"/>
  </r>
  <r>
    <x v="743"/>
    <d v="2023-03-14T00:00:00"/>
    <s v="   TO TRANSFER-UPI/DR/307335737571/ICCL ZER/HDFC/zerodhamf@/HkhxH--"/>
    <s v="TRANSFER TO 4692491162096"/>
    <n v="30000"/>
    <m/>
    <n v="128486.22000000003"/>
    <s v="Transfer Through UPI App"/>
    <s v="Google Pay App"/>
    <x v="33"/>
    <m/>
    <s v="2022-2023"/>
    <s v="CHECKED"/>
  </r>
  <r>
    <x v="744"/>
    <d v="2023-03-15T00:00:00"/>
    <s v="   BY TRANSFER-NEFT*YESB0000004*YESB30745757067*UTI MUTUAL FUND P--"/>
    <s v="TRANSFER FROM 4697211044307"/>
    <m/>
    <n v="21.95"/>
    <n v="128508.17000000003"/>
    <s v="Mutual Fund Sold"/>
    <m/>
    <x v="227"/>
    <m/>
    <s v="2022-2023"/>
    <s v="CHECKED"/>
  </r>
  <r>
    <x v="745"/>
    <d v="2023-03-18T00:00:00"/>
    <s v="   BY TRANSFER-NEFT*HDFC0000240*N077232377176947*SBI MUTUAL FUND*--"/>
    <s v="TRANSFER FROM 4697175044306"/>
    <m/>
    <n v="46.06"/>
    <n v="128554.23000000003"/>
    <s v="Mutual Fund Sold"/>
    <m/>
    <x v="227"/>
    <m/>
    <s v="2022-2023"/>
    <s v="CHECKED"/>
  </r>
  <r>
    <x v="746"/>
    <d v="2023-03-22T00:00:00"/>
    <s v="   FI Txn @ CSP outlet-001105908139474513 AEPS WDL TXN @KO 1A773C89--"/>
    <s v="TRANSFER TO 37926355256                           "/>
    <n v="5000"/>
    <m/>
    <n v="123554.23000000003"/>
    <s v="Cash Withdrwal"/>
    <m/>
    <x v="174"/>
    <m/>
    <s v="2022-2023"/>
    <s v="CHECKED"/>
  </r>
  <r>
    <x v="747"/>
    <d v="2023-03-25T00:00:00"/>
    <s v="   TO TRANSFER-UPI/DR/308493978223/RELIANCE/CITI/jio@citiba/JIO20--"/>
    <s v="TRANSFER TO 4696956162091"/>
    <n v="262.57"/>
    <m/>
    <n v="123291.66000000002"/>
    <s v="Mobile Recharge"/>
    <s v="Google Pay App"/>
    <x v="18"/>
    <m/>
    <s v="2022-2023"/>
    <s v="CHECKED"/>
  </r>
  <r>
    <x v="747"/>
    <d v="2023-03-25T00:00:00"/>
    <s v="   CREDIT INTEREST---"/>
    <m/>
    <m/>
    <n v="881"/>
    <n v="124172.66000000002"/>
    <s v="Credit Interest"/>
    <m/>
    <x v="0"/>
    <m/>
    <s v="2022-2023"/>
    <s v="CHECKED"/>
  </r>
  <r>
    <x v="748"/>
    <d v="2023-04-01T00:00:00"/>
    <s v="   TO TRANSFER-INB PPF---"/>
    <s v="IF36619944               TRANSFER TO 32500545461  "/>
    <n v="10000"/>
    <m/>
    <n v="114172.66000000002"/>
    <s v="PPF"/>
    <m/>
    <x v="0"/>
    <m/>
    <s v="2023-2024"/>
    <s v="CHECKED"/>
  </r>
  <r>
    <x v="749"/>
    <d v="2023-04-03T00:00:00"/>
    <s v="   BY TRANSFER-NEFT*RBIS0GORJEP*RBI0942390855037*TREASURY OFFICE--"/>
    <s v="TRANSFER FROM 3199418044301"/>
    <m/>
    <n v="43398"/>
    <n v="157570.66000000003"/>
    <s v="Salary"/>
    <m/>
    <x v="0"/>
    <m/>
    <s v="2023-2024"/>
    <s v="CHECKED"/>
  </r>
  <r>
    <x v="750"/>
    <d v="2023-04-10T00:00:00"/>
    <s v="   BY TRANSFER-NEFT*YESB0000004*YESB31007705611*UTI MUTUAL FUND P--"/>
    <s v="TRANSFER FROM 4697223044303"/>
    <m/>
    <n v="8223.91"/>
    <n v="165794.57000000004"/>
    <s v="Mutual Fund Sold"/>
    <m/>
    <x v="178"/>
    <m/>
    <s v="2023-2024"/>
    <s v="CHECKED"/>
  </r>
  <r>
    <x v="751"/>
    <d v="2023-04-11T00:00:00"/>
    <s v="   ATM WDL-ATM CASH 6701  SBBJ TIBBI            HANUMANGARH--"/>
    <m/>
    <n v="15000"/>
    <m/>
    <n v="150794.57000000004"/>
    <s v="Cash Withdrwal"/>
    <s v="ATM card"/>
    <x v="15"/>
    <m/>
    <s v="2023-2024"/>
    <s v="CHECKED"/>
  </r>
  <r>
    <x v="752"/>
    <d v="2023-04-12T00:00:00"/>
    <s v="   TO TRANSFER-UPI/DR/310290352556/EURONETG/ICIC/euronetgpa/UPI--"/>
    <s v="TRANSFER TO 4897692162094"/>
    <n v="99"/>
    <m/>
    <n v="150695.57000000004"/>
    <s v="Mobile Recharge"/>
    <s v="Google Pay App"/>
    <x v="161"/>
    <m/>
    <s v="2023-2024"/>
    <s v="CHECKED"/>
  </r>
  <r>
    <x v="753"/>
    <d v="2023-04-17T00:00:00"/>
    <s v="   BY TRANSFER-UPI/CR/310737656508/SABANA  /SBIN/8560928685/Payme--"/>
    <s v="TRANSFER FROM 4897732162091"/>
    <m/>
    <n v="5000"/>
    <n v="155695.57000000004"/>
    <s v="Received Through UPI App"/>
    <s v="Google Pay App"/>
    <x v="228"/>
    <m/>
    <s v="2023-2024"/>
    <s v="CHECKED"/>
  </r>
  <r>
    <x v="754"/>
    <d v="2023-04-19T00:00:00"/>
    <s v="   BY TRANSFER-NEFT*ICIC0000004*CMS3246406258*BIRLA SUNLIFE MUTUA--"/>
    <s v="TRANSFER FROM 4697254044306"/>
    <m/>
    <n v="33338.870000000003"/>
    <n v="189034.44000000003"/>
    <s v="Mutual Fund Sold"/>
    <m/>
    <x v="229"/>
    <m/>
    <s v="2023-2024"/>
    <s v="CHECKED"/>
  </r>
  <r>
    <x v="755"/>
    <d v="2023-04-20T00:00:00"/>
    <s v="   TO TRANSFER-UPI/DR/311052971231/MANISH  /SBIN/manish.rok/To Ma--"/>
    <s v="TRANSFER TO 4897693162093"/>
    <n v="3000"/>
    <m/>
    <n v="186034.44000000003"/>
    <s v="Transfer Through UPI App"/>
    <s v="Google Pay App"/>
    <x v="230"/>
    <m/>
    <s v="2023-2024"/>
    <s v="CHECKED"/>
  </r>
  <r>
    <x v="756"/>
    <d v="2023-04-22T00:00:00"/>
    <s v="   BY TRANSFER-P042303A3FDC0 HPCL LPG SUBSIDY HPAP34D--"/>
    <s v="TRANSFER FROM 4599418105215"/>
    <m/>
    <n v="9.9499999999999993"/>
    <n v="186044.39000000004"/>
    <s v="Subsidy"/>
    <m/>
    <x v="6"/>
    <m/>
    <s v="2023-2024"/>
    <s v="CHECKED"/>
  </r>
  <r>
    <x v="757"/>
    <d v="2023-04-25T00:00:00"/>
    <s v="   TO TRANSFER-UPI/DR/311517775272/Amar Kir/UTIB/gpay-11216/ratio--"/>
    <s v="TRANSFER TO 4897691162095"/>
    <n v="1065"/>
    <m/>
    <n v="184979.39000000004"/>
    <s v="Transfer Through UPI App"/>
    <s v="Google Pay App"/>
    <x v="231"/>
    <m/>
    <s v="2023-2024"/>
    <s v="CHECKED"/>
  </r>
  <r>
    <x v="757"/>
    <d v="2023-04-25T00:00:00"/>
    <s v="   TO TRANSFER-UPI/DR/311518143942/ASHOK/PYTM/paytmqr281/aata--"/>
    <s v="TRANSFER TO 4897691162095"/>
    <n v="280"/>
    <m/>
    <n v="184699.39000000004"/>
    <s v="Transfer Through UPI App"/>
    <s v="Google Pay App"/>
    <x v="232"/>
    <m/>
    <s v="2023-2024"/>
    <s v="CHECKED"/>
  </r>
  <r>
    <x v="757"/>
    <d v="2023-04-25T00:00:00"/>
    <s v="   TO TRANSFER-UPI/DR/311518310282/VIKRAM S/PYTM/paytmqr281/sabji--"/>
    <s v="TRANSFER TO 4897691162095"/>
    <n v="300"/>
    <m/>
    <n v="184399.39000000004"/>
    <s v="Transfer Through UPI App"/>
    <s v="Google Pay App"/>
    <x v="233"/>
    <m/>
    <s v="2023-2024"/>
    <s v="CHECKED"/>
  </r>
  <r>
    <x v="757"/>
    <d v="2023-04-25T00:00:00"/>
    <s v="   TO TRANSFER-UPI/DR/311518623140/LAVISH C/HDFC/q258761099/medic--"/>
    <s v="TRANSFER TO 4897691162095"/>
    <n v="200"/>
    <m/>
    <n v="184199.39000000004"/>
    <s v="Transfer Through UPI App"/>
    <s v="Google Pay App"/>
    <x v="234"/>
    <m/>
    <s v="2023-2024"/>
    <s v="CHECKED"/>
  </r>
  <r>
    <x v="757"/>
    <d v="2023-04-25T00:00:00"/>
    <s v="   TO TRANSFER-UPI/DR/311518779054/SAURABH/PYTM/paytmqr281/ration--"/>
    <s v="TRANSFER TO 4897691162095"/>
    <n v="350"/>
    <m/>
    <n v="183849.39000000004"/>
    <s v="Transfer Through UPI App"/>
    <s v="Google Pay App"/>
    <x v="231"/>
    <m/>
    <s v="2023-2024"/>
    <s v="CHECKED"/>
  </r>
  <r>
    <x v="757"/>
    <d v="2023-04-25T00:00:00"/>
    <s v="   TO TRANSFER-UPI/DR/311518964214/LALI COL/PYTM/paytmqr281/jeevv--"/>
    <s v="TRANSFER TO 4897691162095"/>
    <n v="310"/>
    <m/>
    <n v="183539.39000000004"/>
    <s v="Transfer Through UPI App"/>
    <s v="Google Pay App"/>
    <x v="235"/>
    <m/>
    <s v="2023-2024"/>
    <s v="CHECKED"/>
  </r>
  <r>
    <x v="757"/>
    <d v="2023-04-25T00:00:00"/>
    <s v="   TO TRANSFER-UPI/DR/311519606834/Jio Plat/YESB/jiopostpai/JIO20--"/>
    <s v="TRANSFER TO 4897691162095"/>
    <n v="235.03"/>
    <m/>
    <n v="183304.36000000004"/>
    <s v="Mobile Recharge"/>
    <s v="Google Pay App"/>
    <x v="18"/>
    <m/>
    <s v="2023-2024"/>
    <s v="CHECKED"/>
  </r>
  <r>
    <x v="758"/>
    <d v="2023-04-26T00:00:00"/>
    <s v="   TO TRANSFER-UPI/DR/311628489944/ICCL ZER/HDFC/zerodhamf@/1k02S--"/>
    <s v="TRANSFER TO 4897692162094"/>
    <n v="21000"/>
    <m/>
    <n v="162304.36000000004"/>
    <s v="Transfer Through UPI App"/>
    <s v="Google Pay App"/>
    <x v="33"/>
    <m/>
    <s v="2023-2024"/>
    <s v="CHECKED"/>
  </r>
  <r>
    <x v="759"/>
    <d v="2023-04-27T00:00:00"/>
    <s v="   TO TRANSFER-UPI/DR/311785929904/Surender/SBIN/9680404767/IT Un--"/>
    <s v="TRANSFER TO 4897693162093"/>
    <n v="200"/>
    <m/>
    <n v="162104.36000000004"/>
    <s v="Transfer Through UPI App"/>
    <s v="Google Pay App"/>
    <x v="236"/>
    <m/>
    <s v="2023-2024"/>
    <s v="CHECKED"/>
  </r>
  <r>
    <x v="760"/>
    <d v="2023-04-30T00:00:00"/>
    <s v="   ATM WDL-ATM CASH 8859  SBBJ TIBBI            HANUMANGARH--"/>
    <m/>
    <n v="7000"/>
    <m/>
    <n v="155104.36000000004"/>
    <s v="Cash Withdrwal"/>
    <s v="ATM card"/>
    <x v="15"/>
    <m/>
    <s v="2023-2024"/>
    <s v="CHECKED"/>
  </r>
  <r>
    <x v="761"/>
    <d v="2023-05-02T00:00:00"/>
    <s v="   TO TRANSFER-UPI/DR/312271869620/ANJALI J/CNRB/anjlijain6/UPI--"/>
    <s v="TRANSFER TO 4897691162095"/>
    <n v="15000"/>
    <m/>
    <n v="140104.36000000004"/>
    <s v="Transfer Through UPI App"/>
    <s v="Google Pay App"/>
    <x v="237"/>
    <m/>
    <s v="2023-2024"/>
    <s v="CHECKED"/>
  </r>
  <r>
    <x v="762"/>
    <d v="2023-05-09T00:00:00"/>
    <s v="   TO TRANSFER-UPI/DR/312917505822/billdesk/ICIC/billdesk.e/UPI--"/>
    <s v="TRANSFER TO 4897691162095"/>
    <n v="707"/>
    <m/>
    <n v="139397.36000000004"/>
    <s v="Electricity Bill"/>
    <s v="Google Pay App"/>
    <x v="36"/>
    <m/>
    <s v="2023-2024"/>
    <s v="CHECKED"/>
  </r>
  <r>
    <x v="763"/>
    <d v="2023-05-10T00:00:00"/>
    <s v="   TO TRANSFER-UPI/DR/313051375286/Mohit  S/SBIN/mohitratho/House--"/>
    <s v="TRANSFER TO 4897692162094"/>
    <n v="4000"/>
    <m/>
    <n v="135397.36000000004"/>
    <s v="Transfer Through UPI App"/>
    <s v="Google Pay App"/>
    <x v="238"/>
    <m/>
    <s v="2023-2024"/>
    <s v="CHECKED"/>
  </r>
  <r>
    <x v="764"/>
    <d v="2023-05-13T00:00:00"/>
    <s v="   BY TRANSFER-UPI/CR/349951185746/PREETI J/HDFC/prettygoth/UPI--"/>
    <s v="TRANSFER FROM 4897737162096"/>
    <m/>
    <n v="15000"/>
    <n v="150397.36000000004"/>
    <s v="Received Through UPI App"/>
    <s v="Google Pay App"/>
    <x v="189"/>
    <m/>
    <s v="2023-2024"/>
    <s v="CHECKED"/>
  </r>
  <r>
    <x v="764"/>
    <d v="2023-05-13T00:00:00"/>
    <s v="   TO TRANSFER-UPI/DR/313356935703/ASHOK/PYTM/paytmqr281/aata--"/>
    <s v="TRANSFER TO 4897695162091"/>
    <n v="280"/>
    <m/>
    <n v="150117.36000000004"/>
    <s v="Transfer Through UPI App"/>
    <s v="Google Pay App"/>
    <x v="232"/>
    <m/>
    <s v="2023-2024"/>
    <s v="CHECKED"/>
  </r>
  <r>
    <x v="764"/>
    <d v="2023-05-13T00:00:00"/>
    <s v="   TO TRANSFER-UPI/DR/313357327452/SAURABH/PYTM/paytmqr281/ration--"/>
    <s v="TRANSFER TO 4897695162091"/>
    <n v="390"/>
    <m/>
    <n v="149727.36000000004"/>
    <s v="Transfer Through UPI App"/>
    <s v="Google Pay App"/>
    <x v="231"/>
    <m/>
    <s v="2023-2024"/>
    <s v="CHECKED"/>
  </r>
  <r>
    <x v="764"/>
    <d v="2023-05-13T00:00:00"/>
    <s v="   BY TRANSFER-UPI/CR/313321653924/GOOGLEPAY/UTIB/goog-payme/UPI--"/>
    <s v="TRANSFER FROM 4897737162096"/>
    <m/>
    <n v="4"/>
    <n v="149731.36000000004"/>
    <s v="Earning From UPI App"/>
    <s v="Google Pay App"/>
    <x v="125"/>
    <m/>
    <s v="2023-2024"/>
    <s v="CHECKED"/>
  </r>
  <r>
    <x v="764"/>
    <d v="2023-05-13T00:00:00"/>
    <s v="   TO TRANSFER-UPI/DR/313367467853/SABANA  /SBIN/8560928685/to aa--"/>
    <s v="TRANSFER TO 4897695162091"/>
    <n v="4000"/>
    <m/>
    <n v="145731.36000000004"/>
    <s v="Transfer Through UPI App"/>
    <s v="Google Pay App"/>
    <x v="165"/>
    <m/>
    <s v="2023-2024"/>
    <s v="CHECKED"/>
  </r>
  <r>
    <x v="765"/>
    <d v="2023-05-15T00:00:00"/>
    <s v="   BY TRANSFER-NEFT*RBIS0GORJEP*RBI1362361175307*TREASURY OFFICE--"/>
    <s v="TRANSFER FROM 3199971044309"/>
    <m/>
    <n v="30429"/>
    <n v="176160.36000000004"/>
    <s v="Salary"/>
    <m/>
    <x v="0"/>
    <m/>
    <s v="2023-2024"/>
    <s v="CHECKED"/>
  </r>
  <r>
    <x v="766"/>
    <d v="2023-05-19T00:00:00"/>
    <s v="   TO TRANSFER-UPI/DR/313963080419/EURONETG/ICIC/euronetgpa/UPI--"/>
    <s v="TRANSFER TO 4897694162092"/>
    <n v="99"/>
    <m/>
    <n v="176061.36000000004"/>
    <s v="Mobile Recharge"/>
    <s v="Google Pay App"/>
    <x v="161"/>
    <m/>
    <s v="2023-2024"/>
    <s v="CHECKED"/>
  </r>
  <r>
    <x v="767"/>
    <d v="2023-05-22T00:00:00"/>
    <s v="   TO TRANSFER-UPI/DR/314290240057/RELIANCE/CITI/jio@citiba/JIO20--"/>
    <s v="TRANSFER TO 4897690162095"/>
    <n v="209"/>
    <m/>
    <n v="175852.36000000004"/>
    <s v="Mobile Recharge"/>
    <s v="Google Pay App"/>
    <x v="35"/>
    <m/>
    <s v="2023-2024"/>
    <s v="CHECKED"/>
  </r>
  <r>
    <x v="768"/>
    <d v="2023-05-24T00:00:00"/>
    <s v="   TO TRANSFER-UPI/DR/314460611045/Jio Post/PYTM/paytm-5381/UPI--"/>
    <s v="TRANSFER TO 4897692162094"/>
    <n v="234.82"/>
    <m/>
    <n v="175617.54000000004"/>
    <s v="Mobile Recharge"/>
    <s v="Google Pay App"/>
    <x v="18"/>
    <m/>
    <s v="2023-2024"/>
    <s v="CHECKED"/>
  </r>
  <r>
    <x v="769"/>
    <d v="2023-05-29T00:00:00"/>
    <s v="   TO TRANSFER-UPI/DR/314902522553/ICCL ZER/HDFC/zerodhamf@/Wzz93--"/>
    <s v="TRANSFER TO 4897690162095"/>
    <n v="11000"/>
    <m/>
    <n v="164617.54000000004"/>
    <s v="Transfer Through UPI App"/>
    <s v="Google Pay App"/>
    <x v="33"/>
    <m/>
    <s v="2023-2024"/>
    <s v="CHECKED"/>
  </r>
  <r>
    <x v="769"/>
    <d v="2023-05-29T00:00:00"/>
    <s v="   TO TRANSFER-UPI/DR/314902522607/ICCL ZER/HDFC/zerodhamf@/zHZbB--"/>
    <s v="TRANSFER TO 4897690162095"/>
    <n v="5000"/>
    <m/>
    <n v="159617.54000000004"/>
    <s v="Transfer Through UPI App"/>
    <s v="Google Pay App"/>
    <x v="33"/>
    <m/>
    <s v="2023-2024"/>
    <s v="CHECKED"/>
  </r>
  <r>
    <x v="770"/>
    <d v="2023-05-31T00:00:00"/>
    <s v="   TO TRANSFER-UPI/DR/315106841699/ICCL ZER/HDFC/zerodhamf@/f3jhV--"/>
    <s v="TRANSFER TO 4897692162094"/>
    <n v="31600"/>
    <m/>
    <n v="128017.54000000004"/>
    <s v="Transfer Through UPI App"/>
    <s v="Google Pay App"/>
    <x v="33"/>
    <m/>
    <s v="2023-2024"/>
    <s v="CHECKED"/>
  </r>
  <r>
    <x v="770"/>
    <d v="2023-05-31T00:00:00"/>
    <s v="   BY TRANSFER-UPI/CR/315193519720/GOOGLEPAY/UTIB/goog-payme/UPI--"/>
    <s v="TRANSFER FROM 4897734162099"/>
    <m/>
    <n v="5"/>
    <n v="128022.54000000004"/>
    <s v="Earning From UPI App"/>
    <s v="Google Pay App"/>
    <x v="125"/>
    <m/>
    <s v="2023-2024"/>
    <s v="CHECKED"/>
  </r>
  <r>
    <x v="770"/>
    <d v="2023-05-31T00:00:00"/>
    <s v="   BY TRANSFER-NEFT*RBIS0GORJEP*RBI1522382766407*TREASURY OFFICE--"/>
    <s v="TRANSFER FROM 3199971044309"/>
    <m/>
    <n v="3495"/>
    <n v="131517.54000000004"/>
    <s v="TA Bill Reimbursement (DOIT)"/>
    <m/>
    <x v="239"/>
    <m/>
    <s v="2023-2024"/>
    <s v="CHECKED"/>
  </r>
  <r>
    <x v="770"/>
    <d v="2023-05-31T00:00:00"/>
    <s v="   BY TRANSFER-NEFT*RBIS0GORJEP*RBI1522382766406*TREASURY OFFICE--"/>
    <s v="TRANSFER FROM 3199970044309"/>
    <m/>
    <n v="294"/>
    <n v="131811.54000000004"/>
    <s v="TA Bill Reimbursement (DOIT)"/>
    <m/>
    <x v="240"/>
    <m/>
    <s v="2023-2024"/>
    <s v="CHECKED"/>
  </r>
  <r>
    <x v="770"/>
    <d v="2023-05-31T00:00:00"/>
    <s v="   BY TRANSFER-NEFT*RBIS0GORJEP*RBI1522382766405*TREASURY OFFICE--"/>
    <s v="TRANSFER FROM 3199413044306"/>
    <m/>
    <n v="1589"/>
    <n v="133400.54000000004"/>
    <s v="TA Bill Reimbursement (DOIT)"/>
    <m/>
    <x v="241"/>
    <m/>
    <s v="2023-2024"/>
    <s v="CHECKED"/>
  </r>
  <r>
    <x v="770"/>
    <d v="2023-05-31T00:00:00"/>
    <s v="   BY TRANSFER-NEFT*RBIS0GORJEP*RBI1522382766404*TREASURY OFFICE--"/>
    <s v="TRANSFER FROM 3199412044307"/>
    <m/>
    <n v="294"/>
    <n v="133694.54000000004"/>
    <s v="TA Bill Reimbursement (DOIT)"/>
    <m/>
    <x v="242"/>
    <m/>
    <s v="2023-2024"/>
    <s v="CHECKED"/>
  </r>
  <r>
    <x v="771"/>
    <d v="2023-06-01T00:00:00"/>
    <s v="   BY TRANSFER-NEFT*RBIS0GORJEP*RBI1532393159736*TREASURY OFFICE--"/>
    <s v="TRANSFER FROM 4697226044300"/>
    <m/>
    <n v="41400"/>
    <n v="175094.54000000004"/>
    <s v="Salary"/>
    <m/>
    <x v="0"/>
    <m/>
    <s v="2023-2024"/>
    <s v="CHECKED"/>
  </r>
  <r>
    <x v="772"/>
    <d v="2023-06-02T00:00:00"/>
    <s v="   TO TRANSFER-UPI/DR/315342908922/IndianCl/ICIC/bsestarmfr/RR1jt--"/>
    <s v="TRANSFER TO 4897694162092"/>
    <n v="84000"/>
    <m/>
    <n v="91094.540000000037"/>
    <s v="Transfer Through UPI App"/>
    <s v="Google Pay App"/>
    <x v="33"/>
    <m/>
    <s v="2023-2024"/>
    <s v="CHECKED"/>
  </r>
  <r>
    <x v="772"/>
    <d v="2023-06-02T00:00:00"/>
    <s v="   BY TRANSFER-NEFT*HDFC0000240*N153232483719209*INDIAN CLEARING--"/>
    <s v="TRANSFER FROM 4697216044302"/>
    <m/>
    <n v="12884.53"/>
    <n v="103979.07000000004"/>
    <s v="Mutual Fund Sold"/>
    <m/>
    <x v="243"/>
    <m/>
    <s v="2023-2024"/>
    <s v="CHECKED"/>
  </r>
  <r>
    <x v="772"/>
    <d v="2023-06-02T00:00:00"/>
    <s v="   BY TRANSFER-NEFT*HDFC0000240*N153232483719207*INDIAN CLEARING--"/>
    <s v="TRANSFER FROM 3199963044309"/>
    <m/>
    <n v="6568.53"/>
    <n v="110547.60000000003"/>
    <s v="Mutual Fund Sold"/>
    <m/>
    <x v="244"/>
    <m/>
    <s v="2023-2024"/>
    <s v="CHECKED"/>
  </r>
  <r>
    <x v="772"/>
    <d v="2023-06-02T00:00:00"/>
    <s v="   BY TRANSFER-NEFT*HDFC0000240*N153232483711546*INDIAN CLEARING--"/>
    <s v="TRANSFER FROM 3199410044308"/>
    <m/>
    <n v="11875.73"/>
    <n v="122423.33000000003"/>
    <s v="Mutual Fund Sold"/>
    <m/>
    <x v="245"/>
    <m/>
    <s v="2023-2024"/>
    <s v="CHECKED"/>
  </r>
  <r>
    <x v="773"/>
    <d v="2023-06-03T00:00:00"/>
    <s v="   BY TRANSFER-UPI/CR/315495262599/AARIF  K/SBIN/aarif1986@/Payme--"/>
    <s v="TRANSFER FROM 4897737162096"/>
    <m/>
    <n v="4000"/>
    <n v="126423.33000000003"/>
    <s v="Received Through UPI App"/>
    <s v="Google Pay App"/>
    <x v="246"/>
    <m/>
    <s v="2023-2024"/>
    <s v="CHECKED"/>
  </r>
  <r>
    <x v="773"/>
    <d v="2023-06-03T00:00:00"/>
    <s v="   BY TRANSFER-UPI/CR/315490949557/AARIF  K/SBIN/aarif1986@/Payme--"/>
    <s v="TRANSFER FROM 4897737162096"/>
    <m/>
    <n v="200"/>
    <n v="126623.33000000003"/>
    <s v="Received Through UPI App"/>
    <s v="Google Pay App"/>
    <x v="246"/>
    <m/>
    <s v="2023-2024"/>
    <s v="CHECKED"/>
  </r>
  <r>
    <x v="774"/>
    <d v="2023-06-05T00:00:00"/>
    <s v="   TO TRANSFER-UPI/DR/315620877177/ICCL ZER/HDFC/zerodhamf@/arXO8--"/>
    <s v="TRANSFER TO 4897690162095"/>
    <n v="65400"/>
    <m/>
    <n v="61223.330000000031"/>
    <s v="Transfer Through UPI App"/>
    <s v="Google Pay App"/>
    <x v="33"/>
    <m/>
    <s v="2023-2024"/>
    <s v="CHECKED"/>
  </r>
  <r>
    <x v="774"/>
    <d v="2023-06-05T00:00:00"/>
    <s v="   TO TRANSFER-UPI/DR/315651858491/IndianCl/ICIC/bsestarmfr/U5rcK--"/>
    <s v="TRANSFER TO 4897690162095"/>
    <n v="50000"/>
    <m/>
    <n v="11223.330000000031"/>
    <s v="Transfer Through UPI App"/>
    <s v="Phone Pe App"/>
    <x v="33"/>
    <m/>
    <s v="2023-2024"/>
    <s v="CHECKED"/>
  </r>
  <r>
    <x v="774"/>
    <d v="2023-06-05T00:00:00"/>
    <s v="   BY TRANSFER-UPI/CR/315669203129/SURENDRA/SBIN/surendrabh/ramku--"/>
    <s v="TRANSFER FROM 4897732162091"/>
    <m/>
    <n v="100"/>
    <n v="11323.330000000031"/>
    <s v="Received Through UPI App"/>
    <s v="Google Pay App"/>
    <x v="247"/>
    <m/>
    <s v="2023-2024"/>
    <s v="CHECKED"/>
  </r>
  <r>
    <x v="775"/>
    <d v="2023-06-06T00:00:00"/>
    <s v="   BY TRANSFER-NEFT*HDFC0000240*N157232489035838*INDIAN CLEARING--"/>
    <s v="TRANSFER FROM 4697216044302"/>
    <m/>
    <n v="32868.81"/>
    <n v="44192.140000000029"/>
    <s v="Mutual Fund Sold"/>
    <m/>
    <x v="248"/>
    <m/>
    <s v="2023-2024"/>
    <s v="CHECKED"/>
  </r>
  <r>
    <x v="775"/>
    <d v="2023-06-06T00:00:00"/>
    <s v="   BY TRANSFER-NEFT*HDFC0000240*N157232489035839*INDIAN CLEARING--"/>
    <s v="TRANSFER FROM 4697217044301"/>
    <m/>
    <n v="11769.5"/>
    <n v="55961.640000000029"/>
    <s v="Mutual Fund Sold"/>
    <m/>
    <x v="179"/>
    <m/>
    <s v="2023-2024"/>
    <s v="CHECKED"/>
  </r>
  <r>
    <x v="775"/>
    <d v="2023-06-06T00:00:00"/>
    <s v="   BY TRANSFER-NEFT*HDFC0000240*N157232489344376*INDIAN CLEARING--"/>
    <s v="TRANSFER FROM 4697257044303"/>
    <m/>
    <n v="36449.18"/>
    <n v="92410.820000000036"/>
    <s v="Mutual Fund Sold"/>
    <m/>
    <x v="183"/>
    <m/>
    <s v="2023-2024"/>
    <s v="CHECKED"/>
  </r>
  <r>
    <x v="776"/>
    <d v="2023-06-07T00:00:00"/>
    <s v="   BY TRANSFER-NEFT*HDFC0000240*N158232491221007*INDIAN CLEARING--"/>
    <s v="TRANSFER FROM 4697239044305"/>
    <m/>
    <n v="28225"/>
    <n v="120635.82000000004"/>
    <s v="Mutual Fund Sold"/>
    <m/>
    <x v="249"/>
    <m/>
    <s v="2023-2024"/>
    <s v="CHECKED"/>
  </r>
  <r>
    <x v="776"/>
    <d v="2023-06-07T00:00:00"/>
    <s v="   BY TRANSFER-NEFT*HDFC0000240*N158232491221006*INDIAN CLEARING--"/>
    <s v="TRANSFER FROM 4697238044306"/>
    <m/>
    <n v="14115.81"/>
    <n v="134751.63000000003"/>
    <s v="Mutual Fund Sold"/>
    <m/>
    <x v="181"/>
    <m/>
    <s v="2023-2024"/>
    <s v="CHECKED"/>
  </r>
  <r>
    <x v="776"/>
    <d v="2023-06-07T00:00:00"/>
    <s v="   BY TRANSFER-NEFT*HDFC0000240*N158232491221009*INDIAN CLEARING--"/>
    <s v="TRANSFER FROM 4697240044301"/>
    <m/>
    <n v="18798.189999999999"/>
    <n v="153549.82000000004"/>
    <s v="Mutual Fund Sold"/>
    <m/>
    <x v="177"/>
    <m/>
    <s v="2023-2024"/>
    <s v="CHECKED"/>
  </r>
  <r>
    <x v="776"/>
    <d v="2023-06-07T00:00:00"/>
    <s v="   BY TRANSFER-NEFT*HDFC0000240*N158232491221010*INDIAN CLEARING--"/>
    <s v="TRANSFER FROM 4697237044307"/>
    <m/>
    <n v="23196.42"/>
    <n v="176746.24000000005"/>
    <s v="Mutual Fund Sold"/>
    <m/>
    <x v="199"/>
    <m/>
    <s v="2023-2024"/>
    <s v="CHECKED"/>
  </r>
  <r>
    <x v="776"/>
    <d v="2023-06-07T00:00:00"/>
    <s v="   BY TRANSFER-NEFT*HDFC0000240*N158232491221005*INDIAN CLEARING--"/>
    <s v="TRANSFER FROM 4697183044306"/>
    <m/>
    <n v="23090.06"/>
    <n v="199836.30000000005"/>
    <s v="Mutual Fund Sold"/>
    <m/>
    <x v="250"/>
    <m/>
    <s v="2023-2024"/>
    <s v="CHECKED"/>
  </r>
  <r>
    <x v="776"/>
    <d v="2023-06-07T00:00:00"/>
    <s v="   BY TRANSFER-NEFT*HDFC0000240*N158232491280401*INDIAN CLEARING--"/>
    <s v="TRANSFER FROM 4697176044305"/>
    <m/>
    <n v="8097.84"/>
    <n v="207934.14000000004"/>
    <s v="Mutual Fund Sold"/>
    <m/>
    <x v="182"/>
    <m/>
    <s v="2023-2024"/>
    <s v="CHECKED"/>
  </r>
  <r>
    <x v="777"/>
    <d v="2023-06-08T00:00:00"/>
    <s v="   TO TRANSFER-UPI/DR/315961042080/IndianCl/ICIC/bsestarmfr/uYsAZ--"/>
    <s v="TRANSFER TO 4897693162093"/>
    <n v="11000"/>
    <m/>
    <n v="196934.14000000004"/>
    <s v="Transfer Through UPI App"/>
    <s v="Google Pay App"/>
    <x v="33"/>
    <m/>
    <s v="2023-2024"/>
    <s v="CHECKED"/>
  </r>
  <r>
    <x v="777"/>
    <d v="2023-06-08T00:00:00"/>
    <s v="   TO TRANSFER-UPI/DR/315961042556/IndianCl/ICIC/bsestarmfr/2HPqz--"/>
    <s v="TRANSFER TO 4897693162093"/>
    <n v="5000"/>
    <m/>
    <n v="191934.14000000004"/>
    <s v="Transfer Through UPI App"/>
    <s v="Google Pay App"/>
    <x v="33"/>
    <m/>
    <s v="2023-2024"/>
    <s v="CHECKED"/>
  </r>
  <r>
    <x v="778"/>
    <d v="2023-06-12T00:00:00"/>
    <s v="   TO TRANSFER-UPI/DR/316324208570/LALI COL/PYTM/paytmqr281/belt--"/>
    <s v="TRANSFER TO 4897690162095"/>
    <n v="300"/>
    <m/>
    <n v="191634.14000000004"/>
    <s v="Transfer Through UPI App"/>
    <s v="Google Pay App"/>
    <x v="0"/>
    <s v="mohit belt"/>
    <s v="2023-2024"/>
    <s v="CHECKED"/>
  </r>
  <r>
    <x v="778"/>
    <d v="2023-06-12T00:00:00"/>
    <s v="   TO TRANSFER-UPI/DR/316342318041/Mohit  S/SBIN/mohitratho/house--"/>
    <s v="TRANSFER TO 4897690162095"/>
    <n v="4000"/>
    <m/>
    <n v="187634.14000000004"/>
    <s v="Transfer Through UPI App"/>
    <s v="Google Pay App"/>
    <x v="238"/>
    <m/>
    <s v="2023-2024"/>
    <s v="CHECKED"/>
  </r>
  <r>
    <x v="779"/>
    <d v="2023-06-13T00:00:00"/>
    <s v="   TO TRANSFER-UPI/DR/316475090056/IndianCl/ICIC/bsestarmfr/2EcN3--"/>
    <s v="TRANSFER TO 4897691162095"/>
    <n v="11000"/>
    <m/>
    <n v="176634.14000000004"/>
    <s v="Transfer Through UPI App"/>
    <s v="Google Pay App"/>
    <x v="33"/>
    <m/>
    <s v="2023-2024"/>
    <s v="CHECKED"/>
  </r>
  <r>
    <x v="780"/>
    <d v="2023-06-14T00:00:00"/>
    <s v="   TO TRANSFER-UPI/DR/316577747314/IndianCl/ICIC/bsestarmfr/6o0Io--"/>
    <s v="TRANSFER TO 4897692162094"/>
    <n v="25000"/>
    <m/>
    <n v="151634.14000000004"/>
    <s v="Transfer Through UPI App"/>
    <s v="Google Pay App"/>
    <x v="33"/>
    <m/>
    <s v="2023-2024"/>
    <s v="CHECKED"/>
  </r>
  <r>
    <x v="780"/>
    <d v="2023-06-14T00:00:00"/>
    <s v="   BY TRANSFER-UPI/CR/316580870650/GOOGLEPAY/UTIB/goog-payme/UPI--"/>
    <s v="TRANSFER FROM 4897734162099"/>
    <m/>
    <n v="6"/>
    <n v="151640.14000000004"/>
    <s v="Earning From UPI App"/>
    <s v="Google Pay App"/>
    <x v="125"/>
    <m/>
    <s v="2023-2024"/>
    <s v="CHECKED"/>
  </r>
  <r>
    <x v="780"/>
    <d v="2023-06-14T00:00:00"/>
    <s v="   TO TRANSFER-UPI/DR/316545146503/ICCL ZER/HDFC/zerodhamf@/RLiAO--"/>
    <s v="TRANSFER TO 4897692162094"/>
    <n v="25000"/>
    <m/>
    <n v="126640.14000000004"/>
    <s v="Transfer Through UPI App"/>
    <s v="Google Pay App"/>
    <x v="33"/>
    <m/>
    <s v="2023-2024"/>
    <s v="CHECKED"/>
  </r>
  <r>
    <x v="780"/>
    <d v="2023-06-14T00:00:00"/>
    <s v="   TO TRANSFER-UPI/DR/316501261909/MANISH  /SBIN/manish.rok/UPI--"/>
    <s v="TRANSFER TO 4897692162094"/>
    <n v="1500"/>
    <m/>
    <n v="125140.14000000004"/>
    <s v="Transfer Through UPI App"/>
    <s v="Google Pay App"/>
    <x v="251"/>
    <m/>
    <s v="2023-2024"/>
    <s v="CHECKED"/>
  </r>
  <r>
    <x v="781"/>
    <d v="2023-06-15T00:00:00"/>
    <s v="   BY TRANSFER-NEFT*HDFC0000240*N166232504903897*INDIAN CLEARING--"/>
    <s v="TRANSFER FROM 4697228044308"/>
    <m/>
    <n v="7455.11"/>
    <n v="132595.25000000003"/>
    <s v="Mutual Fund Sold"/>
    <m/>
    <x v="178"/>
    <m/>
    <s v="2023-2024"/>
    <s v="CHECKED"/>
  </r>
  <r>
    <x v="782"/>
    <d v="2023-06-16T00:00:00"/>
    <s v="   FI Txn @ CSP outlet-019007199949250571 AEPS WDL TXN @KO 1A773C89--"/>
    <s v="TRANSFER TO 37926355256                           "/>
    <n v="5000"/>
    <m/>
    <n v="127595.25000000003"/>
    <s v="Cash Withdrwal"/>
    <m/>
    <x v="174"/>
    <m/>
    <s v="2023-2024"/>
    <s v="CHECKED"/>
  </r>
  <r>
    <x v="782"/>
    <d v="2023-06-16T00:00:00"/>
    <s v="   BY TRANSFER-NEFT*HDFC0000240*N167232506090114*INDIAN CLEARING--"/>
    <s v="TRANSFER FROM 4697200044308"/>
    <m/>
    <n v="23374.65"/>
    <n v="150969.90000000002"/>
    <s v="Mutual Fund Sold"/>
    <m/>
    <x v="252"/>
    <m/>
    <s v="2023-2024"/>
    <s v="CHECKED"/>
  </r>
  <r>
    <x v="782"/>
    <d v="2023-06-16T00:00:00"/>
    <s v="   BY TRANSFER-NEFT*HDFC0000240*N167232506101424*INDIAN CLEARING--"/>
    <s v="TRANSFER FROM 3199969044303"/>
    <m/>
    <n v="21933.1"/>
    <n v="172903.00000000003"/>
    <s v="Mutual Fund Sold"/>
    <m/>
    <x v="249"/>
    <m/>
    <s v="2023-2024"/>
    <s v="CHECKED"/>
  </r>
  <r>
    <x v="783"/>
    <d v="2023-06-19T00:00:00"/>
    <s v="   TO TRANSFER-UPI/DR/317087779239/EURONETG/ICIC/euronetgpa/UPI--"/>
    <s v="TRANSFER TO 4897690162095"/>
    <n v="99"/>
    <m/>
    <n v="172804.00000000003"/>
    <s v="Mobile Recharge"/>
    <s v="Google Pay App"/>
    <x v="161"/>
    <m/>
    <s v="2023-2024"/>
    <s v="CHECKED"/>
  </r>
  <r>
    <x v="783"/>
    <d v="2023-06-19T00:00:00"/>
    <s v="   BY TRANSFER-UPI/CR/317052040118/GOOGLEPAY/UTIB/goog-payme/UPI--"/>
    <s v="TRANSFER FROM 4897732162091"/>
    <m/>
    <n v="6"/>
    <n v="172810.00000000003"/>
    <s v="Earning From UPI App"/>
    <s v="Google Pay App"/>
    <x v="125"/>
    <m/>
    <s v="2023-2024"/>
    <s v="CHECKED"/>
  </r>
  <r>
    <x v="783"/>
    <d v="2023-06-19T00:00:00"/>
    <s v="   BY TRANSFER-UPI/CR/317052040546/GOOGLEPAY/UTIB/goog-payme/UPI--"/>
    <s v="TRANSFER FROM 4897732162091"/>
    <m/>
    <n v="5"/>
    <n v="172815.00000000003"/>
    <s v="Earning From UPI App"/>
    <s v="Google Pay App"/>
    <x v="125"/>
    <m/>
    <s v="2023-2024"/>
    <s v="CHECKED"/>
  </r>
  <r>
    <x v="784"/>
    <d v="2023-06-20T00:00:00"/>
    <s v="   TO TRANSFER-UPI/DR/317122760276/RELIANCE/CITI/jio@citiba/JIO20--"/>
    <s v="TRANSFER TO 4897691162095"/>
    <n v="209"/>
    <m/>
    <n v="172606.00000000003"/>
    <s v="Mobile Recharge"/>
    <s v="Google Pay App"/>
    <x v="35"/>
    <m/>
    <s v="2023-2024"/>
    <s v="CHECKED"/>
  </r>
  <r>
    <x v="785"/>
    <d v="2023-06-23T00:00:00"/>
    <s v="   TO TRANSFER-UPI/DR/317451371970/MUKESH/YESB/bharatpe90/Pay to--"/>
    <s v="TRANSFER TO 4897694162092"/>
    <n v="630"/>
    <m/>
    <n v="171976.00000000003"/>
    <s v="Transfer Through UPI App"/>
    <s v="Google Pay App"/>
    <x v="253"/>
    <m/>
    <s v="2023-2024"/>
    <s v="CHECKED"/>
  </r>
  <r>
    <x v="786"/>
    <d v="2023-06-25T00:00:00"/>
    <s v="   TO TRANSFER-UPI/DR/317697823662/Jio Post/PYTM/paytm-5381/UPI--"/>
    <s v="TRANSFER TO 4897696162090"/>
    <n v="349.11"/>
    <m/>
    <n v="171626.89000000004"/>
    <s v="Mobile Recharge"/>
    <s v="Google Pay App"/>
    <x v="18"/>
    <m/>
    <s v="2023-2024"/>
    <s v="CHECKED"/>
  </r>
  <r>
    <x v="786"/>
    <d v="2023-06-25T00:00:00"/>
    <s v="   CREDIT INTEREST---"/>
    <m/>
    <m/>
    <n v="1067"/>
    <n v="172693.89000000004"/>
    <s v="Credit Interest"/>
    <m/>
    <x v="0"/>
    <m/>
    <s v="2023-2024"/>
    <s v="CHECKED"/>
  </r>
  <r>
    <x v="787"/>
    <d v="2023-06-27T00:00:00"/>
    <s v="   TO TRANSFER-UPI/DR/317875077101/ICCL ZER/HDFC/zerodhamf@/nO9Ki--"/>
    <s v="TRANSFER TO 4897691162095"/>
    <n v="21000"/>
    <m/>
    <n v="151693.89000000004"/>
    <s v="Transfer Through UPI App"/>
    <s v="Google Pay App"/>
    <x v="33"/>
    <m/>
    <s v="2023-2024"/>
    <s v="CHECKED"/>
  </r>
  <r>
    <x v="787"/>
    <d v="2023-06-27T00:00:00"/>
    <s v="   TO TRANSFER-UPI/DR/317875083071/ICCL ZER/HDFC/zerodhamf@/LOnGJ--"/>
    <s v="TRANSFER TO 4897691162095"/>
    <n v="26500"/>
    <m/>
    <n v="125193.89000000004"/>
    <s v="Transfer Through UPI App"/>
    <s v="Google Pay App"/>
    <x v="33"/>
    <m/>
    <s v="2023-2024"/>
    <s v="CHECKED"/>
  </r>
  <r>
    <x v="788"/>
    <d v="2023-06-30T00:00:00"/>
    <s v="   BY TRANSFER-NEFT*HDFC0000240*N181232523132067*INDIAN CLEARING--"/>
    <s v="TRANSFER FROM 3199964044308"/>
    <m/>
    <n v="26523.45"/>
    <n v="151717.34000000005"/>
    <s v="Mutual Fund Sold"/>
    <m/>
    <x v="254"/>
    <m/>
    <s v="2023-2024"/>
    <s v="CHECKED"/>
  </r>
  <r>
    <x v="789"/>
    <d v="2023-07-01T00:00:00"/>
    <s v="   BY TRANSFER-NEFT*RBIS0GORJEP*RBI1822339315129*TREASURY OFFICE--"/>
    <s v="TRANSFER FROM 4697179044302"/>
    <m/>
    <n v="44790"/>
    <n v="196507.34000000005"/>
    <s v="Salary"/>
    <m/>
    <x v="0"/>
    <m/>
    <s v="2023-2024"/>
    <s v="CHECKED"/>
  </r>
  <r>
    <x v="790"/>
    <d v="2023-07-03T00:00:00"/>
    <s v="   TO TRANSFER-UPI/DR/318425913416/IndianCl/ICIC/bsestarmfr/Wmyxj--"/>
    <s v="TRANSFER TO 4897690162095"/>
    <n v="12000"/>
    <m/>
    <n v="184507.34000000005"/>
    <s v="Transfer Through UPI App"/>
    <s v="Google Pay App"/>
    <x v="33"/>
    <m/>
    <s v="2023-2024"/>
    <s v="CHECKED"/>
  </r>
  <r>
    <x v="791"/>
    <d v="2023-07-05T00:00:00"/>
    <s v="   BY TRANSFER-NEFT*HDFC0000240*N186232532094258*INDIAN CLEARING--"/>
    <s v="TRANSFER FROM 3199682044307"/>
    <m/>
    <n v="11663.94"/>
    <n v="196171.28000000006"/>
    <s v="Mutual Fund Sold"/>
    <m/>
    <x v="255"/>
    <m/>
    <s v="2023-2024"/>
    <s v="CHECKED"/>
  </r>
  <r>
    <x v="792"/>
    <d v="2023-07-06T00:00:00"/>
    <s v="   TO TRANSFER-UPI/DR/318765576224/HP PAY D/HDFC/hppaydirec/HP GA--"/>
    <s v="TRANSFER TO 4897693162093"/>
    <n v="1134"/>
    <m/>
    <n v="195037.28000000006"/>
    <s v="Transfer Through UPI App"/>
    <s v="Google Pay App"/>
    <x v="113"/>
    <m/>
    <s v="2023-2024"/>
    <s v="CHECKED"/>
  </r>
  <r>
    <x v="793"/>
    <d v="2023-07-07T00:00:00"/>
    <s v="   TO TRANSFER-UPI/DR/318837834486/IndianCl/ICIC/bsestarmfr/AL7GZ--"/>
    <s v="TRANSFER TO 4897694162092"/>
    <n v="78100"/>
    <m/>
    <n v="116937.28000000006"/>
    <s v="Transfer Through UPI App"/>
    <s v="Google Pay App"/>
    <x v="33"/>
    <m/>
    <s v="2023-2024"/>
    <s v="CHECKED"/>
  </r>
  <r>
    <x v="794"/>
    <d v="2023-07-10T00:00:00"/>
    <s v="   TO TRANSFER-UPI/DR/319131062184/ASHOK/PYTM/paytmqr281/aata--"/>
    <s v="TRANSFER TO 4897690162095"/>
    <n v="280"/>
    <m/>
    <n v="116657.28000000006"/>
    <s v="Transfer Through UPI App"/>
    <s v="Google Pay App"/>
    <x v="232"/>
    <m/>
    <s v="2023-2024"/>
    <s v="CHECKED"/>
  </r>
  <r>
    <x v="794"/>
    <d v="2023-07-10T00:00:00"/>
    <s v="   TO TRANSFER-UPI/DR/319132186064/billdesk/ICIC/billdesk.e/UPI--"/>
    <s v="TRANSFER TO 4897690162095"/>
    <n v="1472"/>
    <m/>
    <n v="115185.28000000006"/>
    <s v="Electricity Bill"/>
    <s v="Google Pay App"/>
    <x v="36"/>
    <m/>
    <s v="2023-2024"/>
    <s v="CHECKED"/>
  </r>
  <r>
    <x v="794"/>
    <d v="2023-07-10T00:00:00"/>
    <s v="   TO TRANSFER-UPI/DR/319132224870/Mohit  S/SBIN/mohitratho/House--"/>
    <s v="TRANSFER TO 4897690162095"/>
    <n v="4000"/>
    <m/>
    <n v="111185.28000000006"/>
    <s v="Transfer Through UPI App"/>
    <s v="Google Pay App"/>
    <x v="238"/>
    <m/>
    <s v="2023-2024"/>
    <s v="CHECKED"/>
  </r>
  <r>
    <x v="794"/>
    <d v="2023-07-10T00:00:00"/>
    <s v="   TO TRANSFER-UPI/DR/319132270051/RANJEET /PUNB/ranjeet.ku/UPI--"/>
    <s v="TRANSFER TO 4897690162095"/>
    <n v="280"/>
    <m/>
    <n v="110905.28000000006"/>
    <s v="Transfer Through UPI App"/>
    <s v="Google Pay App"/>
    <x v="256"/>
    <m/>
    <s v="2023-2024"/>
    <s v="CHECKED"/>
  </r>
  <r>
    <x v="795"/>
    <d v="2023-07-11T00:00:00"/>
    <s v="   BY TRANSFER-NEFT*HDFC0000240*N192232544022655*INDIAN CLEARING--"/>
    <s v="TRANSFER FROM 3199412044307"/>
    <m/>
    <n v="5032.8900000000003"/>
    <n v="115938.17000000006"/>
    <s v="Mutual Fund Sold"/>
    <m/>
    <x v="244"/>
    <m/>
    <s v="2023-2024"/>
    <s v="CHECKED"/>
  </r>
  <r>
    <x v="795"/>
    <d v="2023-07-11T00:00:00"/>
    <s v="   BY TRANSFER-NEFT*HDFC0000240*N192232544021949*INDIAN CLEARING--"/>
    <s v="TRANSFER FROM 4697205044304"/>
    <m/>
    <n v="2345.08"/>
    <n v="118283.25000000006"/>
    <s v="Mutual Fund Sold"/>
    <m/>
    <x v="179"/>
    <m/>
    <s v="2023-2024"/>
    <s v="CHECKED"/>
  </r>
  <r>
    <x v="795"/>
    <d v="2023-07-11T00:00:00"/>
    <s v="   BY TRANSFER-NEFT*HDFC0000240*N192232544041098*INDIAN CLEARING--"/>
    <s v="TRANSFER FROM 4697219044309"/>
    <m/>
    <n v="43530.86"/>
    <n v="161814.11000000004"/>
    <s v="Mutual Fund Sold"/>
    <m/>
    <x v="199"/>
    <m/>
    <s v="2023-2024"/>
    <s v="CHECKED"/>
  </r>
  <r>
    <x v="795"/>
    <d v="2023-07-11T00:00:00"/>
    <s v="   BY TRANSFER-NEFT*HDFC0000240*N192232544127685*INDIAN CLEARING--"/>
    <s v="TRANSFER FROM 4697175044306"/>
    <m/>
    <n v="9242.56"/>
    <n v="171056.67000000004"/>
    <s v="Mutual Fund Sold"/>
    <m/>
    <x v="257"/>
    <m/>
    <s v="2023-2024"/>
    <s v="CHECKED"/>
  </r>
  <r>
    <x v="795"/>
    <d v="2023-07-11T00:00:00"/>
    <s v="   BY TRANSFER-NEFT*HDFC0000240*N192232544126237*INDIAN CLEARING--"/>
    <s v="TRANSFER FROM 3199957044306"/>
    <m/>
    <n v="4772.22"/>
    <n v="175828.89000000004"/>
    <s v="Mutual Fund Sold"/>
    <m/>
    <x v="182"/>
    <m/>
    <s v="2023-2024"/>
    <s v="CHECKED"/>
  </r>
  <r>
    <x v="795"/>
    <d v="2023-07-11T00:00:00"/>
    <s v="   BY TRANSFER-NEFT*HDFC0000240*N192232544126239*INDIAN CLEARING--"/>
    <s v="TRANSFER FROM 4697188044301"/>
    <m/>
    <n v="19157.61"/>
    <n v="194986.50000000006"/>
    <s v="Mutual Fund Sold"/>
    <m/>
    <x v="245"/>
    <m/>
    <s v="2023-2024"/>
    <s v="CHECKED"/>
  </r>
  <r>
    <x v="795"/>
    <d v="2023-07-11T00:00:00"/>
    <s v="   BY TRANSFER-NEFT*RBIS0GORJEP*RBI1932371051933*TREASURY OFFICE--"/>
    <s v="TRANSFER FROM 3199421044306"/>
    <m/>
    <n v="12261"/>
    <n v="207247.50000000006"/>
    <s v="Salary"/>
    <m/>
    <x v="7"/>
    <m/>
    <s v="2023-2024"/>
    <s v="CHECKED"/>
  </r>
  <r>
    <x v="796"/>
    <d v="2023-07-15T00:00:00"/>
    <s v="   TO TRANSFER-UPI/DR/319622584033/ICCL ZER/HDFC/zerodhamf@/3T1oB--"/>
    <s v="TRANSFER TO 4897695162091"/>
    <n v="15000"/>
    <m/>
    <n v="192247.50000000006"/>
    <s v="Transfer Through UPI App"/>
    <s v="Google Pay App"/>
    <x v="33"/>
    <m/>
    <s v="2023-2024"/>
    <s v="CHECKED"/>
  </r>
  <r>
    <x v="797"/>
    <d v="2023-07-18T00:00:00"/>
    <s v="   TO TRANSFER-UPI/DR/319972999114/RELIANCE/CITI/jio@citiba/JIO20--"/>
    <s v="TRANSFER TO 4897691162095"/>
    <n v="209"/>
    <m/>
    <n v="192038.50000000006"/>
    <s v="Mobile Recharge"/>
    <s v="Google Pay App"/>
    <x v="35"/>
    <m/>
    <s v="2023-2024"/>
    <s v="CHECKED"/>
  </r>
  <r>
    <x v="798"/>
    <d v="2023-07-24T00:00:00"/>
    <s v="   TO TRANSFER-UPI/DR/320545185824/ICCL ZER/HDFC/zerodhamf@/7eVXx--"/>
    <s v="TRANSFER TO 4897690162095"/>
    <n v="10000"/>
    <m/>
    <n v="182038.50000000006"/>
    <s v="Transfer Through UPI App"/>
    <s v="Phone Pe App"/>
    <x v="33"/>
    <m/>
    <s v="2023-2024"/>
    <s v="CHECKED"/>
  </r>
  <r>
    <x v="798"/>
    <d v="2023-07-24T00:00:00"/>
    <s v="   TO TRANSFER-UPI/DR/320545184377/ICCL ZER/HDFC/zerodhamf@/0uupB--"/>
    <s v="TRANSFER TO 4897690162095"/>
    <n v="10000"/>
    <m/>
    <n v="172038.50000000006"/>
    <s v="Transfer Through UPI App"/>
    <s v="Phone Pe App"/>
    <x v="33"/>
    <m/>
    <s v="2023-2024"/>
    <s v="CHECKED"/>
  </r>
  <r>
    <x v="798"/>
    <d v="2023-07-24T00:00:00"/>
    <s v="   TO TRANSFER-UPI/DR/320583087883/IndianCl/ICIC/bsestarmfr/pNYcX--"/>
    <s v="TRANSFER TO 4897690162095"/>
    <n v="4000"/>
    <m/>
    <n v="168038.50000000006"/>
    <s v="Transfer Through UPI App"/>
    <s v="Phone Pe App"/>
    <x v="33"/>
    <m/>
    <s v="2023-2024"/>
    <s v="CHECKED"/>
  </r>
  <r>
    <x v="798"/>
    <d v="2023-07-24T00:00:00"/>
    <s v="   BY TRANSFER-P0723041A2CD0 HPCL LPG SUBSIDY HPAP34D--"/>
    <s v="TRANSFER FROM 4697706105213"/>
    <m/>
    <n v="9.9499999999999993"/>
    <n v="168048.45000000007"/>
    <s v="Subsidy"/>
    <m/>
    <x v="6"/>
    <m/>
    <s v="2023-2024"/>
    <s v="CHECKED"/>
  </r>
  <r>
    <x v="799"/>
    <d v="2023-07-25T00:00:00"/>
    <s v="   TO TRANSFER-UPI/DR/320698354645/Jio Post/PYTM/paytm-5381/UPI--"/>
    <s v="TRANSFER TO 4897691162095"/>
    <n v="277.98"/>
    <m/>
    <n v="167770.47000000006"/>
    <s v="Mobile Recharge"/>
    <s v="Google Pay App"/>
    <x v="18"/>
    <m/>
    <s v="2023-2024"/>
    <s v="CHECKED"/>
  </r>
  <r>
    <x v="799"/>
    <d v="2023-07-25T00:00:00"/>
    <s v="   TO TRANSFER-UPI/DR/320698377994/Vi/PYTM/vilpreraj@/recharge--"/>
    <s v="TRANSFER TO 4897691162095"/>
    <n v="99"/>
    <m/>
    <n v="167671.47000000006"/>
    <s v="Mobile Recharge"/>
    <s v="Google Pay App"/>
    <x v="161"/>
    <m/>
    <s v="2023-2024"/>
    <s v="CHECKED"/>
  </r>
  <r>
    <x v="800"/>
    <d v="2023-07-29T00:00:00"/>
    <s v="   TO TRANSFER-INB Central Board of Direct T--"/>
    <s v="230729190001931IK0CJPNQP3               TRANSFER T"/>
    <n v="8740"/>
    <m/>
    <n v="158931.47000000006"/>
    <s v="Income Tax"/>
    <m/>
    <x v="0"/>
    <m/>
    <s v="2023-2024"/>
    <s v="CHECKED"/>
  </r>
  <r>
    <x v="801"/>
    <d v="2023-08-01T00:00:00"/>
    <s v="   BY TRANSFER-NEFT*RBIS0GORJEP*RBI2132301089749*TREASURY OFFICE--"/>
    <s v="TRANSFER FROM 3199957044306"/>
    <m/>
    <n v="3390"/>
    <n v="162321.47000000006"/>
    <s v="Salary"/>
    <m/>
    <x v="7"/>
    <m/>
    <s v="2023-2024"/>
    <s v="CHECKED"/>
  </r>
  <r>
    <x v="802"/>
    <d v="2023-08-02T00:00:00"/>
    <s v="   TO TRANSFER-UPI/DR/321409112368/IndianCl/ICIC/bsestarmfr/ACWsY--"/>
    <s v="TRANSFER TO 4897692162094"/>
    <n v="19000"/>
    <m/>
    <n v="143321.47000000006"/>
    <s v="Transfer Through UPI App"/>
    <s v="Google Pay App"/>
    <x v="33"/>
    <m/>
    <s v="2023-2024"/>
    <s v="CHECKED"/>
  </r>
  <r>
    <x v="802"/>
    <d v="2023-08-02T00:00:00"/>
    <s v="   TO TRANSFER-UPI/DR/321468075399/ICCL ZER/HDFC/zerodhamf@/jbaNN--"/>
    <s v="TRANSFER TO 4897692162094"/>
    <n v="10000"/>
    <m/>
    <n v="133321.47000000006"/>
    <s v="Transfer Through UPI App"/>
    <s v="Google Pay App"/>
    <x v="33"/>
    <m/>
    <s v="2023-2024"/>
    <s v="CHECKED"/>
  </r>
  <r>
    <x v="802"/>
    <d v="2023-08-02T00:00:00"/>
    <s v="   TO TRANSFER-UPI/DR/321409113404/IndianCl/ICIC/bsestarmfr/FALcc--"/>
    <s v="TRANSFER TO 4897692162094"/>
    <n v="8000"/>
    <m/>
    <n v="125321.47000000006"/>
    <s v="Transfer Through UPI App"/>
    <s v="Google Pay App"/>
    <x v="33"/>
    <m/>
    <s v="2023-2024"/>
    <s v="CHECKED"/>
  </r>
  <r>
    <x v="802"/>
    <d v="2023-08-02T00:00:00"/>
    <s v="   FI Txn @ CSP outlet-001611677302165320 AEPS WDL TXN @KO 1A773C89--"/>
    <s v="TRANSFER TO 37926355256                           "/>
    <n v="10000"/>
    <m/>
    <n v="115321.47000000006"/>
    <s v="Cash Withdrwal"/>
    <m/>
    <x v="174"/>
    <m/>
    <s v="2023-2024"/>
    <s v="CHECKED"/>
  </r>
  <r>
    <x v="803"/>
    <d v="2023-08-03T00:00:00"/>
    <s v="   BY TRANSFER-UPI/CR/321509248607/MANISH  /SBIN/manish.rok/UPI--"/>
    <s v="TRANSFER FROM 4897735162098"/>
    <m/>
    <n v="1500"/>
    <n v="116821.47000000006"/>
    <s v="Received Through UPI App"/>
    <s v="Google Pay App"/>
    <x v="258"/>
    <m/>
    <s v="2023-2024"/>
    <s v="CHECKED"/>
  </r>
  <r>
    <x v="804"/>
    <d v="2023-08-04T00:00:00"/>
    <s v="   TO TRANSFER-UPI/DR/321651302716/ASHOK/PYTM/paytmqr281/aata--"/>
    <s v="TRANSFER TO 4897694162092"/>
    <n v="280"/>
    <m/>
    <n v="116541.47000000006"/>
    <s v="Transfer Through UPI App"/>
    <s v="Google Pay App"/>
    <x v="232"/>
    <m/>
    <s v="2023-2024"/>
    <s v="CHECKED"/>
  </r>
  <r>
    <x v="805"/>
    <d v="2023-08-07T00:00:00"/>
    <s v="   BY TRANSFER-NEFT*RBIS0GORJEP*RBI2202319112600*TREASURY OFFICE--"/>
    <s v="TRANSFER FROM 4697193044304"/>
    <m/>
    <n v="46300"/>
    <n v="162841.47000000006"/>
    <s v="Salary"/>
    <m/>
    <x v="0"/>
    <m/>
    <s v="2023-2024"/>
    <s v="CHECKED"/>
  </r>
  <r>
    <x v="805"/>
    <d v="2023-08-07T00:00:00"/>
    <s v="   TO TRANSFER-UPI/DR/321945181754/ANKUSH C/PYTM/paytmqrlt0/ratio--"/>
    <s v="TRANSFER TO 4897690162095"/>
    <n v="80"/>
    <m/>
    <n v="162761.47000000006"/>
    <s v="Transfer Through UPI App"/>
    <s v="Google Pay App"/>
    <x v="259"/>
    <m/>
    <s v="2023-2024"/>
    <s v="CHECKED"/>
  </r>
  <r>
    <x v="806"/>
    <d v="2023-08-08T00:00:00"/>
    <s v="   BY TRANSFER-UPI/CR/322092066013/GOOGLEPAY/UTIB/goog-payme/UPI--"/>
    <s v="TRANSFER FROM 4897733162090"/>
    <m/>
    <n v="5"/>
    <n v="162766.47000000006"/>
    <s v="Earning From UPI App"/>
    <s v="Google Pay App"/>
    <x v="125"/>
    <m/>
    <s v="2023-2024"/>
    <s v="CHECKED"/>
  </r>
  <r>
    <x v="806"/>
    <d v="2023-08-08T00:00:00"/>
    <s v="   TO TRANSFER-UPI/DR/322085504722/ICCL ZER/HDFC/zerodhamf@/D4W9X--"/>
    <s v="TRANSFER TO 4897691162095"/>
    <n v="10000"/>
    <m/>
    <n v="152766.47000000006"/>
    <s v="Transfer Through UPI App"/>
    <s v="Google Pay App"/>
    <x v="33"/>
    <m/>
    <s v="2023-2024"/>
    <s v="CHECKED"/>
  </r>
  <r>
    <x v="807"/>
    <d v="2023-08-10T00:00:00"/>
    <s v="   BY TRANSFER-NEFT*RBIS0GORJEP*RBI2232324188946*TREASURY OFFICE--"/>
    <s v="TRANSFER FROM 4697252044308"/>
    <m/>
    <n v="1976"/>
    <n v="154742.47000000006"/>
    <s v="TA Bill Reimbursement (DOIT)"/>
    <m/>
    <x v="260"/>
    <m/>
    <s v="2023-2024"/>
    <s v="CHECKED"/>
  </r>
  <r>
    <x v="807"/>
    <d v="2023-08-10T00:00:00"/>
    <s v="   BY TRANSFER-NEFT*RBIS0GORJEP*RBI2232324188945*TREASURY OFFICE--"/>
    <s v="TRANSFER FROM 4697251044309"/>
    <m/>
    <n v="2934"/>
    <n v="157676.47000000006"/>
    <s v="TA Bill Reimbursement (DOIT)"/>
    <m/>
    <x v="261"/>
    <m/>
    <s v="2023-2024"/>
    <s v="CHECKED"/>
  </r>
  <r>
    <x v="808"/>
    <d v="2023-08-11T00:00:00"/>
    <s v="   TO TRANSFER-UPI/DR/322393386493/ICCL ZER/HDFC/zerodhamf@/5c1uA--"/>
    <s v="TRANSFER TO 4897694162092"/>
    <n v="30000"/>
    <m/>
    <n v="127676.47000000006"/>
    <s v="Transfer Through UPI App"/>
    <s v="Google Pay App"/>
    <x v="33"/>
    <m/>
    <s v="2023-2024"/>
    <s v="CHECKED"/>
  </r>
  <r>
    <x v="809"/>
    <d v="2023-08-12T00:00:00"/>
    <s v="   TO TRANSFER-UPI/DR/322477435039/Mohit  S/SBIN/mohitratho/UPI--"/>
    <s v="TRANSFER TO 4897695162091"/>
    <n v="4000"/>
    <m/>
    <n v="123676.47000000006"/>
    <s v="Transfer Through UPI App"/>
    <s v="Google Pay App"/>
    <x v="238"/>
    <m/>
    <s v="2023-2024"/>
    <s v="CHECKED"/>
  </r>
  <r>
    <x v="809"/>
    <d v="2023-08-12T00:00:00"/>
    <s v="   BY TRANSFER-UPI/CR/322460106794/GOOGLEPAY/UTIB/goog-payme/UPI--"/>
    <s v="TRANSFER FROM 4897737162096"/>
    <m/>
    <n v="5"/>
    <n v="123681.47000000006"/>
    <s v="Earning From UPI App"/>
    <s v="Google Pay App"/>
    <x v="125"/>
    <m/>
    <s v="2023-2024"/>
    <s v="CHECKED"/>
  </r>
  <r>
    <x v="809"/>
    <d v="2023-08-12T00:00:00"/>
    <s v="   TO TRANSFER-UPI/DR/322402739959/Mr  VIKR/YESB/q883942769/sabji--"/>
    <s v="TRANSFER TO 4897695162091"/>
    <n v="435"/>
    <m/>
    <n v="123246.47000000006"/>
    <s v="Transfer Through UPI App"/>
    <s v="Google Pay App"/>
    <x v="233"/>
    <m/>
    <s v="2023-2024"/>
    <s v="CHECKED"/>
  </r>
  <r>
    <x v="810"/>
    <d v="2023-08-17T00:00:00"/>
    <s v="   TO TRANSFER-UPI/DR/322957687638/RELIANCE/CITI/jio@citiba/JIO20--"/>
    <s v="TRANSFER TO 4897693162093"/>
    <n v="666"/>
    <m/>
    <n v="122580.47000000006"/>
    <s v="Mobile Recharge"/>
    <s v="Google Pay App"/>
    <x v="35"/>
    <m/>
    <s v="2023-2024"/>
    <s v="CHECKED"/>
  </r>
  <r>
    <x v="811"/>
    <d v="2023-08-20T00:00:00"/>
    <s v="   TO TRANSFER-UPI/DR/323283046447/ASHOK/PYTM/paytmqr281/aata--"/>
    <s v="TRANSFER TO 4897696162090"/>
    <n v="224"/>
    <m/>
    <n v="122356.47000000006"/>
    <s v="Transfer Through Net Banking"/>
    <s v="Google Pay App"/>
    <x v="232"/>
    <m/>
    <s v="2023-2024"/>
    <s v="CHECKED"/>
  </r>
  <r>
    <x v="811"/>
    <d v="2023-08-20T00:00:00"/>
    <s v="   BY TRANSFER-UPI/CR/323294112818/GOOGLEPAY/UTIB/goog-payme/UPI--"/>
    <s v="TRANSFER FROM 4897738162095"/>
    <m/>
    <n v="6"/>
    <n v="122362.47000000006"/>
    <s v="Earning From UPI App"/>
    <s v="Google Pay App"/>
    <x v="125"/>
    <m/>
    <s v="2023-2024"/>
    <s v="CHECKED"/>
  </r>
  <r>
    <x v="812"/>
    <d v="2023-08-26T00:00:00"/>
    <s v="   TO TRANSFER-UPI/DR/323897708857/billdesk/ICIC/billdesk.p/UPI--"/>
    <s v="TRANSFER TO 4897695162091"/>
    <n v="235.16"/>
    <m/>
    <n v="122127.31000000006"/>
    <s v="Mobile Recharge"/>
    <s v="Google Pay App"/>
    <x v="18"/>
    <m/>
    <s v="2023-2024"/>
    <s v="CHECKED"/>
  </r>
  <r>
    <x v="813"/>
    <d v="2023-08-28T00:00:00"/>
    <s v="   TO TRANSFER-UPI/DR/324083299203/IndianCl/ICIC/bsestarmfr/PK4be--"/>
    <s v="TRANSFER TO 4897690162095"/>
    <n v="33000"/>
    <m/>
    <n v="89127.310000000056"/>
    <s v="Transfer Through UPI App"/>
    <s v="Google Pay App"/>
    <x v="33"/>
    <m/>
    <s v="2023-2024"/>
    <s v="CHECKED"/>
  </r>
  <r>
    <x v="813"/>
    <d v="2023-08-28T00:00:00"/>
    <s v="   TO TRANSFER-UPI/DR/324033488306/ICCL ZER/HDFC/zerodhamf@/nMmYK--"/>
    <s v="TRANSFER TO 4897690162095"/>
    <n v="5000"/>
    <m/>
    <n v="84127.310000000056"/>
    <s v="Transfer Through UPI App"/>
    <s v="Google Pay App"/>
    <x v="33"/>
    <m/>
    <s v="2023-2024"/>
    <s v="CHECKED"/>
  </r>
  <r>
    <x v="814"/>
    <d v="2023-08-29T00:00:00"/>
    <s v="   TO TRANSFER-UPI/DR/324199130534/Vi/PYTM/vilpreraj@/mohit 80--"/>
    <s v="TRANSFER TO 4897691162095"/>
    <n v="99"/>
    <m/>
    <n v="84028.310000000056"/>
    <s v="Mobile Recharge"/>
    <s v="Google Pay App"/>
    <x v="161"/>
    <m/>
    <s v="2023-2024"/>
    <s v="CHECKED"/>
  </r>
  <r>
    <x v="815"/>
    <d v="2023-09-01T00:00:00"/>
    <s v="   BY TRANSFER-NEFT*RBIS0GORJEP*RBI2442355303356*TREASURY OFFICE--"/>
    <s v="TRANSFER FROM 3199412044307"/>
    <m/>
    <n v="46300"/>
    <n v="130328.31000000006"/>
    <s v="Salary"/>
    <m/>
    <x v="0"/>
    <m/>
    <s v="2023-2024"/>
    <s v="CHECKED"/>
  </r>
  <r>
    <x v="816"/>
    <d v="2023-09-03T00:00:00"/>
    <s v="   TO TRANSFER-UPI/DR/324664711426/Google I/utib/gpaybillpa/UPI--"/>
    <s v="TRANSFER TO 4897696162090"/>
    <n v="25"/>
    <m/>
    <n v="130303.31000000006"/>
    <s v="Mobile Recharge"/>
    <s v="Google Pay App"/>
    <x v="262"/>
    <m/>
    <s v="2023-2024"/>
    <s v="CHECKED"/>
  </r>
  <r>
    <x v="817"/>
    <d v="2023-09-04T00:00:00"/>
    <s v="   TO TRANSFER-UPI/DR/324701132903/MANENDER/PUNB/monasandhu/jeevi--"/>
    <s v="TRANSFER TO 4897690162095"/>
    <n v="9000"/>
    <m/>
    <n v="121303.31000000006"/>
    <s v="Kids School Fee"/>
    <s v="Google Pay App"/>
    <x v="263"/>
    <m/>
    <s v="2023-2024"/>
    <s v="CHECKED"/>
  </r>
  <r>
    <x v="818"/>
    <d v="2023-09-05T00:00:00"/>
    <s v="   TO TRANSFER-UPI/DR/324843355793/ASHOK/PYTM/paytmqr281/aata--"/>
    <s v="TRANSFER TO 4897691162095"/>
    <n v="280"/>
    <m/>
    <n v="121023.31000000006"/>
    <s v="Transfer Through UPI App"/>
    <s v="Google Pay App"/>
    <x v="232"/>
    <m/>
    <s v="2023-2024"/>
    <s v="CHECKED"/>
  </r>
  <r>
    <x v="819"/>
    <d v="2023-09-09T00:00:00"/>
    <s v="   TO TRANSFER-UPI/DR/325286208162/Google I/utib/gpaybillpa/UPI--"/>
    <s v="TRANSFER TO 4897695162091"/>
    <n v="790"/>
    <m/>
    <n v="120233.31000000006"/>
    <s v="Electricity Bill"/>
    <s v="Google Pay App"/>
    <x v="36"/>
    <m/>
    <s v="2023-2024"/>
    <s v="CHECKED"/>
  </r>
  <r>
    <x v="819"/>
    <d v="2023-09-09T00:00:00"/>
    <s v="   TO TRANSFER-UPI/DR/325286381105/Mohit  S/SBIN/mohitratho/UPI--"/>
    <s v="TRANSFER TO 4897695162091"/>
    <n v="4000"/>
    <m/>
    <n v="116233.31000000006"/>
    <s v="Transfer Through UPI App"/>
    <s v="Google Pay App"/>
    <x v="238"/>
    <m/>
    <s v="2023-2024"/>
    <s v="CHECKED"/>
  </r>
  <r>
    <x v="820"/>
    <d v="2023-09-11T00:00:00"/>
    <s v="   TO TRANSFER-UPI/DR/325431690986/Mr ROHIT/PYTM/paytmqrbpf/cold--"/>
    <s v="TRANSFER TO 4897690162095"/>
    <n v="110"/>
    <m/>
    <n v="116123.31000000006"/>
    <s v="Transfer Through UPI App"/>
    <s v="Google Pay App"/>
    <x v="264"/>
    <m/>
    <s v="2023-2024"/>
    <s v="CHECKED"/>
  </r>
  <r>
    <x v="820"/>
    <d v="2023-09-11T00:00:00"/>
    <s v="   BY TRANSFER-UPI/CR/325460542892/GOOGLEPAY/UTIB/goog-payme/UPI--"/>
    <s v="TRANSFER FROM 4897732162091"/>
    <m/>
    <n v="6"/>
    <n v="116129.31000000006"/>
    <s v="Earning From UPI App"/>
    <s v="Google Pay App"/>
    <x v="125"/>
    <m/>
    <s v="2023-2024"/>
    <s v="CHECKED"/>
  </r>
  <r>
    <x v="821"/>
    <d v="2023-09-13T00:00:00"/>
    <s v="   TO TRANSFER-UPI/DR/325625395411/HP PAY D/HDFC/hppaydirec/HP Ga--"/>
    <s v="TRANSFER TO 4897692162094"/>
    <n v="934"/>
    <m/>
    <n v="115195.31000000006"/>
    <s v="Transfer Through UPI App"/>
    <s v="Google Pay App"/>
    <x v="113"/>
    <m/>
    <s v="2023-2024"/>
    <s v="CHECKED"/>
  </r>
  <r>
    <x v="822"/>
    <d v="2023-09-20T00:00:00"/>
    <s v="   BY TRANSFER-P09230430C694 HPCL LPG SUBSIDY HPAP34D--"/>
    <s v="TRANSFER FROM 4697671105210"/>
    <m/>
    <n v="9.9499999999999993"/>
    <n v="115205.26000000005"/>
    <s v="Subsidy"/>
    <m/>
    <x v="6"/>
    <m/>
    <s v="2023-2024"/>
    <s v="CHECKED"/>
  </r>
  <r>
    <x v="823"/>
    <d v="2023-09-23T00:00:00"/>
    <s v="   TO TRANSFER-UPI/DR/326697263021/ASHOK/PYTM/paytmqr281/aata--"/>
    <s v="TRANSFER TO 4897695162091"/>
    <n v="290"/>
    <m/>
    <n v="114915.26000000005"/>
    <s v="Transfer Through UPI App"/>
    <s v="Google Pay App"/>
    <x v="232"/>
    <m/>
    <s v="2023-2024"/>
    <s v="CHECKED"/>
  </r>
  <r>
    <x v="824"/>
    <d v="2023-09-24T00:00:00"/>
    <s v="   TO TRANSFER-UPI/DR/363309680432/Jio Post/PYTM/paytm-5381/OidPT--"/>
    <s v="TRANSFER TO 4897696162090"/>
    <n v="234.82"/>
    <m/>
    <n v="114680.44000000005"/>
    <s v="Mobile Recharge"/>
    <s v="Google Pay App"/>
    <x v="18"/>
    <m/>
    <s v="2023-2024"/>
    <s v="CHECKED"/>
  </r>
  <r>
    <x v="825"/>
    <d v="2023-09-25T00:00:00"/>
    <s v="   CREDIT INTEREST---"/>
    <m/>
    <m/>
    <n v="957"/>
    <n v="115637.44000000005"/>
    <s v="Credit Interest"/>
    <m/>
    <x v="0"/>
    <m/>
    <s v="2023-2024"/>
    <s v="CHECKED"/>
  </r>
  <r>
    <x v="826"/>
    <d v="2023-09-28T00:00:00"/>
    <s v="   TO TRANSFER-UPI/DR/327154260379/EURONETG/ICIC/euronetgpa/UPI--"/>
    <s v="TRANSFER TO 4897693162093"/>
    <n v="25"/>
    <m/>
    <n v="115612.44000000005"/>
    <s v="Transfer Through UPI App"/>
    <s v="Google Pay App"/>
    <x v="262"/>
    <m/>
    <s v="2023-2024"/>
    <s v="CHECKED"/>
  </r>
  <r>
    <x v="827"/>
    <d v="2023-09-30T00:00:00"/>
    <s v="   TO TRANSFER-UPI/DR/327396525736/ANKUSH M/PUNB/ankusharor/milk--"/>
    <s v="TRANSFER TO 4897695162091"/>
    <n v="3300"/>
    <m/>
    <n v="112312.44000000005"/>
    <s v="Transfer Through UPI App"/>
    <s v="Google Pay App"/>
    <x v="265"/>
    <m/>
    <s v="2023-2024"/>
    <s v="CHECKED"/>
  </r>
  <r>
    <x v="828"/>
    <d v="2023-10-03T00:00:00"/>
    <s v="   BY TRANSFER-NEFT*RBIS0GORJEP*RBI2762307137471*TREASURY OFFICE--"/>
    <s v="TRANSFER FROM 3199423044304"/>
    <m/>
    <n v="46300"/>
    <n v="158612.44000000006"/>
    <s v="Salary"/>
    <m/>
    <x v="0"/>
    <m/>
    <s v="2023-2024"/>
    <s v="CHECKED"/>
  </r>
  <r>
    <x v="829"/>
    <d v="2023-10-05T00:00:00"/>
    <s v="   FI Txn @ CSP outlet-007148026356642555 AEPS WDL TXN @KO 1A900867--"/>
    <s v="TRANSFER TO 35749786402                           "/>
    <n v="10000"/>
    <m/>
    <n v="148612.44000000006"/>
    <s v="Cash Withdrwal"/>
    <m/>
    <x v="174"/>
    <m/>
    <s v="2023-2024"/>
    <s v="CHECKED"/>
  </r>
  <r>
    <x v="830"/>
    <d v="2023-10-10T00:00:00"/>
    <s v="   TO TRANSFER-UPI/DR/328331567383/Mohit  S/SBIN/mohitratho/UPI--"/>
    <s v="TRANSFER TO 4897691162095"/>
    <n v="4000"/>
    <m/>
    <n v="144612.44000000006"/>
    <s v="Transfer Through UPI App"/>
    <s v="Google Pay App"/>
    <x v="238"/>
    <m/>
    <s v="2023-2024"/>
    <s v="CHECKED"/>
  </r>
  <r>
    <x v="831"/>
    <d v="2023-10-11T00:00:00"/>
    <s v="   TO TRANSFER-UPI/DR/328485513372/ANKUSH C/PYTM/paytmqr1ri/UPI--"/>
    <s v="TRANSFER TO 4897692162094"/>
    <n v="230"/>
    <m/>
    <n v="144382.44000000006"/>
    <s v="Transfer Through UPI App"/>
    <s v="Google Pay App"/>
    <x v="231"/>
    <m/>
    <s v="2023-2024"/>
    <s v="CHECKED"/>
  </r>
  <r>
    <x v="832"/>
    <d v="2023-10-12T00:00:00"/>
    <s v="   TO TRANSFER-UPI/DR/328523677250/Mr  VIKR/YESB/q883942769/sbji--"/>
    <s v="TRANSFER TO 4897693162093"/>
    <n v="160"/>
    <m/>
    <n v="144222.44000000006"/>
    <s v="Transfer Through UPI App"/>
    <s v="Google Pay App"/>
    <x v="233"/>
    <m/>
    <s v="2023-2024"/>
    <s v="CHECKED"/>
  </r>
  <r>
    <x v="833"/>
    <d v="2023-10-21T00:00:00"/>
    <s v="   TO TRANSFER-UPI/DR/329471615185/VI/ICIC/vi586.rzp@/UPI--"/>
    <s v="TRANSFER TO 4897695162091"/>
    <n v="99"/>
    <m/>
    <n v="144123.44000000006"/>
    <s v="Mobile Recharge"/>
    <s v="Google Pay App"/>
    <x v="161"/>
    <m/>
    <s v="2023-2024"/>
    <s v="CHECKED"/>
  </r>
  <r>
    <x v="834"/>
    <d v="2023-10-25T00:00:00"/>
    <s v="   TO TRANSFER-UPI/DR/329809264896/Jio Post/PYTM/paytm-5381/OidPT--"/>
    <s v="TRANSFER TO 4897692162094"/>
    <n v="234.82"/>
    <m/>
    <n v="143888.62000000005"/>
    <s v="Mobile Recharge"/>
    <s v="Google Pay App"/>
    <x v="18"/>
    <m/>
    <s v="2023-2024"/>
    <s v="CHECKED"/>
  </r>
  <r>
    <x v="834"/>
    <d v="2023-10-25T00:00:00"/>
    <s v="   TO TRANSFER-UPI/DR/329865136525/IndianCl/ICIC/bsestarmfr/NbkNo--"/>
    <s v="TRANSFER TO 4897692162094"/>
    <n v="29000"/>
    <m/>
    <n v="114888.62000000005"/>
    <s v="Transfer Through UPI App"/>
    <s v="Google Pay App"/>
    <x v="33"/>
    <m/>
    <s v="2023-2024"/>
    <s v="CHECKED"/>
  </r>
  <r>
    <x v="835"/>
    <d v="2023-10-26T00:00:00"/>
    <s v="   TO TRANSFER-UPI/DR/329969046265/IndianCl/ICIC/bsestarmfr/bCefA--"/>
    <s v="TRANSFER TO 4897693162093"/>
    <n v="30000"/>
    <m/>
    <n v="84888.620000000054"/>
    <s v="Transfer Through UPI App"/>
    <s v="Google Pay App"/>
    <x v="33"/>
    <m/>
    <s v="2023-2024"/>
    <s v="CHECKED"/>
  </r>
  <r>
    <x v="835"/>
    <d v="2023-10-26T00:00:00"/>
    <s v="   TO TRANSFER-UPI/DR/329969062856/IndianCl/ICIC/bsestarmfr/n16Xs--"/>
    <s v="TRANSFER TO 4897693162093"/>
    <n v="27000"/>
    <m/>
    <n v="57888.620000000054"/>
    <s v="Transfer Through UPI App"/>
    <s v="Google Pay App"/>
    <x v="33"/>
    <m/>
    <s v="2023-2024"/>
    <s v="CHECKED"/>
  </r>
  <r>
    <x v="835"/>
    <d v="2023-10-26T00:00:00"/>
    <s v="   TO TRANSFER-UPI/DR/329969069056/IndianCl/ICIC/bsestarmfr/eVxLs--"/>
    <s v="TRANSFER TO 4897693162093"/>
    <n v="15000"/>
    <m/>
    <n v="42888.620000000054"/>
    <s v="Transfer Through UPI App"/>
    <s v="Google Pay App"/>
    <x v="33"/>
    <m/>
    <s v="2023-2024"/>
    <s v="CHECKED"/>
  </r>
  <r>
    <x v="836"/>
    <d v="2023-10-30T00:00:00"/>
    <s v="   TO TRANSFER-UPI/DR/330393268359/SURENDRA/SBIN/surendrapa/bee h--"/>
    <s v="TRANSFER TO 4897690162095"/>
    <n v="140"/>
    <m/>
    <n v="42748.620000000054"/>
    <s v="Transfer Through UPI App"/>
    <s v="Google Pay App"/>
    <x v="266"/>
    <m/>
    <s v="2023-2024"/>
    <s v="CHECKED"/>
  </r>
  <r>
    <x v="836"/>
    <d v="2023-10-30T00:00:00"/>
    <s v="   TO TRANSFER-UPI/DR/330394438660/SURENDER/ICIC/bana.suren/Khadi--"/>
    <s v="TRANSFER TO 4897690162095"/>
    <n v="90"/>
    <m/>
    <n v="42658.620000000054"/>
    <s v="Transfer Through UPI App"/>
    <s v="Google Pay App"/>
    <x v="267"/>
    <m/>
    <s v="2023-2024"/>
    <s v="CHECKED"/>
  </r>
  <r>
    <x v="837"/>
    <d v="2023-10-31T00:00:00"/>
    <s v="   TO TRANSFER-UPI/DR/330423225918/ANKUSH M/PUNB/ankusharor/milk--"/>
    <s v="TRANSFER TO 4897691162095"/>
    <n v="3600"/>
    <m/>
    <n v="39058.620000000054"/>
    <s v="Transfer Through UPI App"/>
    <s v="Google Pay App"/>
    <x v="265"/>
    <m/>
    <s v="2023-2024"/>
    <s v="CHECKED"/>
  </r>
  <r>
    <x v="838"/>
    <d v="2023-11-01T00:00:00"/>
    <s v="   BY TRANSFER-NEFT*RBIS0GORJEP*RBI3052368009107*TREASURY OFFICE--"/>
    <s v="TRANSFER FROM 3199412044307"/>
    <m/>
    <n v="44300"/>
    <n v="83358.620000000054"/>
    <s v="Salary"/>
    <m/>
    <x v="0"/>
    <m/>
    <s v="2023-2024"/>
    <s v="CHECKED"/>
  </r>
  <r>
    <x v="839"/>
    <d v="2023-11-02T00:00:00"/>
    <s v="   TO TRANSFER-INB PPF--"/>
    <s v="IF39096072               TRANSFER TO 32500545461  "/>
    <n v="40000"/>
    <m/>
    <n v="43358.620000000054"/>
    <s v="PPF"/>
    <m/>
    <x v="0"/>
    <m/>
    <s v="2023-2024"/>
    <s v="CHECKED"/>
  </r>
  <r>
    <x v="840"/>
    <d v="2023-11-03T00:00:00"/>
    <s v="   TO TRANSFER-UPI/DR/330797744820/IndianCl/ICIC/bsestarmfr/8Ydtx--"/>
    <s v="TRANSFER TO 4897694162092"/>
    <n v="5000"/>
    <m/>
    <n v="38358.620000000054"/>
    <s v="Transfer Through UPI App"/>
    <s v="Google Pay App"/>
    <x v="33"/>
    <m/>
    <s v="2023-2024"/>
    <s v="CHECKED"/>
  </r>
  <r>
    <x v="841"/>
    <d v="2023-11-04T00:00:00"/>
    <s v="   TO TRANSFER-UPI/DR/330871190533/HP PAY D/HDFC/hppaydirec/HP Ga--"/>
    <s v="TRANSFER TO 4897695162091"/>
    <n v="934"/>
    <m/>
    <n v="37424.620000000054"/>
    <s v="Transfer Through UPI App"/>
    <s v="Google Pay App"/>
    <x v="113"/>
    <m/>
    <s v="2023-2024"/>
    <s v="CHECKED"/>
  </r>
  <r>
    <x v="841"/>
    <d v="2023-11-04T00:00:00"/>
    <s v="   TO TRANSFER-UPI/DR/330896765594/ASHOK/PYTM/paytmqr281/aata--"/>
    <s v="TRANSFER TO 4897695162091"/>
    <n v="300"/>
    <m/>
    <n v="37124.620000000054"/>
    <s v="Transfer Through UPI App"/>
    <s v="Google Pay App"/>
    <x v="232"/>
    <m/>
    <s v="2023-2024"/>
    <s v="CHECKED"/>
  </r>
  <r>
    <x v="841"/>
    <d v="2023-11-04T00:00:00"/>
    <s v="   TO TRANSFER-UPI/DR/330802119307/billdesk/ICIC/billdesk.r/UPI--"/>
    <s v="TRANSFER TO 4897695162091"/>
    <n v="299"/>
    <m/>
    <n v="36825.620000000054"/>
    <s v="Transfer Through UPI App"/>
    <s v="Google Pay App"/>
    <x v="262"/>
    <m/>
    <s v="2023-2024"/>
    <s v="CHECKED"/>
  </r>
  <r>
    <x v="842"/>
    <d v="2023-11-06T00:00:00"/>
    <s v="   TO TRANSFER-UPI/DR/367626202083/SURENDER/ICIC/bana.suren/Payme--"/>
    <s v="TRANSFER TO 4897690162095"/>
    <n v="360"/>
    <m/>
    <n v="36465.620000000054"/>
    <s v="Transfer Through UPI App"/>
    <s v="Phone Pe App"/>
    <x v="268"/>
    <m/>
    <s v="2023-2024"/>
    <s v="CHECKED"/>
  </r>
  <r>
    <x v="842"/>
    <d v="2023-11-06T00:00:00"/>
    <s v="   TO TRANSFER-UPI/DR/367640171535/PhonePe/YESB/BBPSBP@ybl/Paymen--"/>
    <s v="TRANSFER TO 4897690162095"/>
    <n v="3361"/>
    <m/>
    <n v="33104.620000000054"/>
    <s v="Electricity Bill"/>
    <s v="Phone Pe App"/>
    <x v="36"/>
    <m/>
    <s v="2023-2024"/>
    <s v="CHECKED"/>
  </r>
  <r>
    <x v="843"/>
    <d v="2023-11-08T00:00:00"/>
    <s v="   TO TRANSFER-UPI/DR/331246025447/WWW VODA/HDFC/vodafone1./vi re--"/>
    <s v="TRANSFER TO 4897692162094"/>
    <n v="199"/>
    <m/>
    <n v="32905.620000000054"/>
    <s v="Mobile Recharge"/>
    <s v="Google Pay App"/>
    <x v="161"/>
    <m/>
    <s v="2023-2024"/>
    <s v="CHECKED"/>
  </r>
  <r>
    <x v="844"/>
    <d v="2023-11-09T00:00:00"/>
    <s v="   BY TRANSFER-NEFT*RBIS0GORJEP*RBI3142391816182*TREASURY OFFICE--"/>
    <s v="TRANSFER FROM 4697206044303"/>
    <m/>
    <n v="5080"/>
    <n v="37985.620000000054"/>
    <s v="Salary"/>
    <m/>
    <x v="10"/>
    <m/>
    <s v="2023-2024"/>
    <s v="CHECKED"/>
  </r>
  <r>
    <x v="845"/>
    <d v="2023-11-10T00:00:00"/>
    <s v="   TO TRANSFER-UPI/DR/331410415221/RELIANCE/CITI/jio@citiba/JIO20--"/>
    <s v="TRANSFER TO 4897694162092"/>
    <n v="666"/>
    <m/>
    <n v="37319.620000000054"/>
    <s v="Mobile Recharge"/>
    <s v="Google Pay App"/>
    <x v="35"/>
    <m/>
    <s v="2023-2024"/>
    <s v="CHECKED"/>
  </r>
  <r>
    <x v="845"/>
    <d v="2023-11-10T00:00:00"/>
    <s v="   BY TRANSFER-P112301C1A7C6 HPCL LPG SUBSIDY HPAP34D--"/>
    <s v="TRANSFER FROM 4599412105211"/>
    <m/>
    <n v="9.9499999999999993"/>
    <n v="37329.570000000051"/>
    <s v="Subsidy"/>
    <m/>
    <x v="6"/>
    <m/>
    <s v="2023-2024"/>
    <s v="CHECKED"/>
  </r>
  <r>
    <x v="845"/>
    <d v="2023-11-10T00:00:00"/>
    <s v="   TO TRANSFER-UPI/DR/331431267877/SANGEETA/PYTM/paytmqr281/barta--"/>
    <s v="TRANSFER TO 4897694162092"/>
    <n v="2240"/>
    <m/>
    <n v="35089.570000000051"/>
    <s v="Transfer Through UPI App"/>
    <s v="Google Pay App"/>
    <x v="269"/>
    <m/>
    <s v="2023-2024"/>
    <s v="CHECKED"/>
  </r>
  <r>
    <x v="846"/>
    <d v="2023-11-11T00:00:00"/>
    <s v="   TO TRANSFER-UPI/DR/331552917849/New Grov/UTIB/9888220051/shoes--"/>
    <s v="TRANSFER TO 4897695162091"/>
    <n v="560"/>
    <m/>
    <n v="34529.570000000051"/>
    <s v="Transfer Through UPI App"/>
    <s v="Google Pay App"/>
    <x v="270"/>
    <m/>
    <s v="2023-2024"/>
    <s v="6. pending to check with daily expenses sheet"/>
  </r>
  <r>
    <x v="846"/>
    <d v="2023-11-11T00:00:00"/>
    <s v="   TO TRANSFER-UPI/DR/331558952672/NEELAM R/PUNB/q169828214/cloth--"/>
    <s v="TRANSFER TO 4897695162091"/>
    <n v="1530"/>
    <m/>
    <n v="32999.570000000051"/>
    <s v="Transfer Through UPI App"/>
    <s v="Google Pay App"/>
    <x v="271"/>
    <m/>
    <s v="2023-2024"/>
    <s v="6. pending to check with daily expenses sheet"/>
  </r>
  <r>
    <x v="847"/>
    <d v="2023-11-12T00:00:00"/>
    <s v="   TO TRANSFER-UPI/DR/331602380550/UTTAM GA/PYTM/paytmqr281/cloth--"/>
    <s v="TRANSFER TO 4897696162090"/>
    <n v="2110"/>
    <m/>
    <n v="30889.570000000051"/>
    <s v="Transfer Through UPI App"/>
    <s v="Google Pay App"/>
    <x v="271"/>
    <m/>
    <s v="2023-2024"/>
    <s v="6. pending to check with daily expenses sheet"/>
  </r>
  <r>
    <x v="847"/>
    <d v="2023-11-12T00:00:00"/>
    <s v="   TO TRANSFER-UPI/DR/331602607082/NARAYAN /PYTM/paytmqr281/juice--"/>
    <s v="TRANSFER TO 4897696162090"/>
    <n v="100"/>
    <m/>
    <n v="30789.570000000051"/>
    <s v="Transfer Through UPI App"/>
    <s v="Google Pay App"/>
    <x v="272"/>
    <m/>
    <s v="2023-2024"/>
    <s v="CHECKED"/>
  </r>
  <r>
    <x v="847"/>
    <d v="2023-11-12T00:00:00"/>
    <s v="   ATM WDL-ATM CASH 1011  RANGPURI POLLUTION CENMUKTSAR--"/>
    <m/>
    <n v="10000"/>
    <m/>
    <n v="20789.570000000051"/>
    <s v="Cash Withdrwal"/>
    <m/>
    <x v="3"/>
    <m/>
    <s v="2023-2024"/>
    <s v="CHECKED"/>
  </r>
  <r>
    <x v="847"/>
    <d v="2023-11-12T00:00:00"/>
    <s v="   TO TRANSFER-UPI/DR/331618732580/Mohit  S/SBIN/mohitratho/UPI--"/>
    <s v="TRANSFER TO 4897696162090"/>
    <n v="4000"/>
    <m/>
    <n v="16789.570000000051"/>
    <s v="Transfer Through UPI App"/>
    <s v="Google Pay App"/>
    <x v="238"/>
    <m/>
    <s v="2023-2024"/>
    <s v="CHECKED"/>
  </r>
  <r>
    <x v="848"/>
    <d v="2023-11-14T00:00:00"/>
    <s v="   TO TRANSFER-UPI/DR/331868906741/Brand St/PYTM/paytmqr281/diape--"/>
    <s v="TRANSFER TO 4897691162095"/>
    <n v="800"/>
    <m/>
    <n v="15989.570000000051"/>
    <s v="Transfer Through UPI App"/>
    <s v="Google Pay App"/>
    <x v="273"/>
    <m/>
    <s v="2023-2024"/>
    <s v="CHECKED"/>
  </r>
  <r>
    <x v="848"/>
    <d v="2023-11-14T00:00:00"/>
    <s v="   TO TRANSFER-UPI/DR/331870030562/SACHDEVA/HDFC/vyapar.169/stati--"/>
    <s v="TRANSFER TO 4897691162095"/>
    <n v="575"/>
    <m/>
    <n v="15414.570000000051"/>
    <s v="Transfer Through UPI App"/>
    <s v="Google Pay App"/>
    <x v="274"/>
    <m/>
    <s v="2023-2024"/>
    <s v="6. pending to check with daily expenses sheet"/>
  </r>
  <r>
    <x v="848"/>
    <d v="2023-11-14T00:00:00"/>
    <s v="   TO TRANSFER-UPI/DR/331871013477/PARKASH /PYTM/paytmqr281/biscu--"/>
    <s v="TRANSFER TO 4897691162095"/>
    <n v="640"/>
    <m/>
    <n v="14774.570000000051"/>
    <s v="Transfer Through UPI App"/>
    <s v="Google Pay App"/>
    <x v="275"/>
    <m/>
    <s v="2023-2024"/>
    <s v="6. pending to check with daily expenses sheet"/>
  </r>
  <r>
    <x v="848"/>
    <d v="2023-11-14T00:00:00"/>
    <s v="   BY TRANSFER-UPI/CR/331833922089/GOOGLEPAY/UTIB/goog-payme/UPI--"/>
    <s v="TRANSFER FROM 4897733162090"/>
    <m/>
    <n v="4"/>
    <n v="14778.570000000051"/>
    <s v="Earning From UPI App"/>
    <s v="Google Pay App"/>
    <x v="125"/>
    <m/>
    <s v="2023-2024"/>
    <s v="CHECKED"/>
  </r>
  <r>
    <x v="849"/>
    <d v="2023-11-15T00:00:00"/>
    <s v="   TO TRANSFER-UPI/DR/331910393055/NARAYAN /PYTM/paytmqr281/juice--"/>
    <s v="TRANSFER TO 4897692162094"/>
    <n v="100"/>
    <m/>
    <n v="14678.570000000051"/>
    <s v="Transfer Through UPI App"/>
    <s v="Google Pay App"/>
    <x v="272"/>
    <m/>
    <s v="2023-2024"/>
    <s v="CHECKED"/>
  </r>
  <r>
    <x v="850"/>
    <d v="2023-11-16T00:00:00"/>
    <s v="   TO TRANSFER-UPI/DR/332030138003/Reliance/PYTM/paytm-6391/petro--"/>
    <s v="TRANSFER TO 4897693162093"/>
    <n v="800.25"/>
    <m/>
    <n v="13878.320000000051"/>
    <s v="Transfer Through UPI App"/>
    <s v="Google Pay App"/>
    <x v="276"/>
    <m/>
    <s v="2023-2024"/>
    <s v="CHECKED"/>
  </r>
  <r>
    <x v="851"/>
    <d v="2023-11-26T00:00:00"/>
    <s v="   TO TRANSFER-UPI/DR/333087163308/ASHOK/PYTM/paytmqr281/aata--"/>
    <s v="TRANSFER TO 4897696162090"/>
    <n v="300"/>
    <m/>
    <n v="13578.320000000051"/>
    <s v="Transfer Through UPI App"/>
    <s v="Google Pay App"/>
    <x v="232"/>
    <m/>
    <s v="2023-2024"/>
    <s v="CHECKED"/>
  </r>
  <r>
    <x v="852"/>
    <d v="2023-11-27T00:00:00"/>
    <s v="   TO TRANSFER-UPI/DR/333101820848/Jio Post/PYTM/paytm-5381/jio p--"/>
    <s v="TRANSFER TO 4897690162095"/>
    <n v="234.82"/>
    <m/>
    <n v="13343.500000000051"/>
    <s v="Mobile Recharge"/>
    <s v="Google Pay App"/>
    <x v="18"/>
    <m/>
    <s v="2023-2024"/>
    <s v="CHECKED"/>
  </r>
  <r>
    <x v="853"/>
    <d v="2023-11-28T00:00:00"/>
    <s v="   TO TRANSFER-UPI/DR/333262543247/MANENDER/PUNB/monasandhu/jeevi--"/>
    <s v="TRANSFER TO 4897691162095"/>
    <n v="5000"/>
    <m/>
    <n v="8343.5000000000509"/>
    <s v="Kids School Fee"/>
    <s v="Google Pay App"/>
    <x v="263"/>
    <m/>
    <s v="2023-2024"/>
    <s v="CHECKED"/>
  </r>
  <r>
    <x v="854"/>
    <d v="2023-11-30T00:00:00"/>
    <s v="   TO TRANSFER-UPI/DR/333431247574/ANKUSH M/PUNB/ankusharor/milk--"/>
    <s v="TRANSFER TO 4897693162093"/>
    <n v="2560"/>
    <m/>
    <n v="5783.5000000000509"/>
    <s v="Transfer Through UPI App"/>
    <s v="Google Pay App"/>
    <x v="265"/>
    <m/>
    <s v="2023-2024"/>
    <s v="CHECKED"/>
  </r>
  <r>
    <x v="855"/>
    <d v="2023-12-01T00:00:00"/>
    <s v="   BY TRANSFER-NEFT*RBIS0GORJEP*RBI3352326388812*TREASURY OFFICE--"/>
    <s v="TRANSFER FROM 3199414044305"/>
    <m/>
    <n v="45732"/>
    <n v="51515.500000000051"/>
    <s v="Salary"/>
    <m/>
    <x v="0"/>
    <m/>
    <s v="2023-2024"/>
    <s v="CHECKED"/>
  </r>
  <r>
    <x v="855"/>
    <d v="2023-12-01T00:00:00"/>
    <s v="   TO TRANSFER-UPI/DR/333581125281/Sonu Kum/PUNB/8000822137/to ra--"/>
    <s v="TRANSFER TO 4897694162092"/>
    <n v="2000"/>
    <m/>
    <n v="49515.500000000051"/>
    <s v="Transfer Through UPI App"/>
    <s v="Google Pay App"/>
    <x v="277"/>
    <m/>
    <s v="2023-2024"/>
    <s v="CHECKED"/>
  </r>
  <r>
    <x v="855"/>
    <d v="2023-12-01T00:00:00"/>
    <s v="   TO TRANSFER-UPI/DR/333562078195/SAURABH/PYTM/paytmqrc9j/ration--"/>
    <s v="TRANSFER TO 4897694162092"/>
    <n v="1145"/>
    <m/>
    <n v="48370.500000000051"/>
    <s v="Transfer Through UPI App"/>
    <s v="Google Pay App"/>
    <x v="231"/>
    <m/>
    <s v="2023-2024"/>
    <s v="CHECKED"/>
  </r>
  <r>
    <x v="856"/>
    <d v="2023-12-02T00:00:00"/>
    <s v="   FI Txn @ CSP outlet-000018161980888375 AEPS WDL TXN @KO 1A773C89--"/>
    <s v="TRANSFER TO 41308219010                           "/>
    <n v="30000"/>
    <m/>
    <n v="18370.500000000051"/>
    <s v="Cash Withdrwal"/>
    <m/>
    <x v="174"/>
    <m/>
    <s v="2023-2024"/>
    <s v="CHECKED"/>
  </r>
  <r>
    <x v="856"/>
    <d v="2023-12-02T00:00:00"/>
    <s v="   TO TRANSFER-UPI/DR/333693452696/Mr  VIKR/YESB/q028962466/sbji--"/>
    <s v="TRANSFER TO 4897695162091"/>
    <n v="550"/>
    <m/>
    <n v="17820.500000000051"/>
    <s v="Transfer Through UPI App"/>
    <s v="Google Pay App"/>
    <x v="278"/>
    <m/>
    <s v="2023-2024"/>
    <s v="CHECKED"/>
  </r>
  <r>
    <x v="857"/>
    <d v="2023-12-08T00:00:00"/>
    <s v="   TO TRANSFER-UPI/DR/334281720509/Vi/PYTM/vilpreraj@/voda pho--"/>
    <s v="TRANSFER TO 4897694162092"/>
    <n v="199"/>
    <m/>
    <n v="17621.500000000051"/>
    <s v="Mobile Recharge"/>
    <s v="Google Pay App"/>
    <x v="161"/>
    <m/>
    <s v="2023-2024"/>
    <s v="CHECKED"/>
  </r>
  <r>
    <x v="858"/>
    <d v="2023-12-09T00:00:00"/>
    <s v="   TO TRANSFER-UPI/DR/334319057192/LAVISH C/HDFC/lavishchug/medic--"/>
    <s v="TRANSFER TO 4897695162091"/>
    <n v="500"/>
    <m/>
    <n v="17121.500000000051"/>
    <s v="Transfer Through UPI App"/>
    <s v="Google Pay App"/>
    <x v="279"/>
    <m/>
    <s v="2023-2024"/>
    <s v="CHECKED"/>
  </r>
  <r>
    <x v="859"/>
    <d v="2023-12-10T00:00:00"/>
    <s v="   TO TRANSFER-UPI/DR/334455692179/Mohit  S/SBIN/mohitratho/UPI--"/>
    <s v="TRANSFER TO 4897696162090"/>
    <n v="4000"/>
    <m/>
    <n v="13121.500000000051"/>
    <s v="Transfer Through UPI App"/>
    <s v="Google Pay App"/>
    <x v="238"/>
    <m/>
    <s v="2023-2024"/>
    <s v="CHECKED"/>
  </r>
  <r>
    <x v="860"/>
    <d v="2023-12-11T00:00:00"/>
    <s v="   BY TRANSFER-UPI/CR/371187446440/RAM  KUMAR/SBIN/mr.ram.sai/Pay--"/>
    <s v="TRANSFER FROM 4897732162091"/>
    <m/>
    <n v="12000"/>
    <n v="25121.500000000051"/>
    <s v="Transfer Through Net Banking"/>
    <m/>
    <x v="280"/>
    <m/>
    <s v="2023-2024"/>
    <s v="CHECKED"/>
  </r>
  <r>
    <x v="861"/>
    <d v="2023-12-16T00:00:00"/>
    <s v="   TO TRANSFER-UPI/DR/335056077950/Balchand/PYTM/paytmqrngn/groce--"/>
    <s v="TRANSFER TO 4897695162091"/>
    <n v="20"/>
    <m/>
    <n v="25101.500000000051"/>
    <s v="Transfer Through UPI App"/>
    <s v="Google Pay App"/>
    <x v="281"/>
    <m/>
    <s v="2023-2024"/>
    <s v="CHECKED"/>
  </r>
  <r>
    <x v="862"/>
    <d v="2023-12-17T00:00:00"/>
    <s v="   TO TRANSFER-UPI/DR/335179657310/SAURABH/PYTM/paytmqrc9j/grocer--"/>
    <s v="TRANSFER TO 4897696162090"/>
    <n v="800"/>
    <m/>
    <n v="24301.500000000051"/>
    <s v="Transfer Through UPI App"/>
    <s v="Google Pay App"/>
    <x v="231"/>
    <m/>
    <s v="2023-2024"/>
    <s v="CHECKED"/>
  </r>
  <r>
    <x v="863"/>
    <d v="2023-12-24T00:00:00"/>
    <s v="   TO TRANSFER-UPI/DR/335817112339/Jio Post/PYTM/paytm-5381/Jio M--"/>
    <s v="TRANSFER TO 4897696162090"/>
    <n v="234.82"/>
    <m/>
    <n v="24066.680000000051"/>
    <s v="Mobile Recharge"/>
    <s v="Google Pay App"/>
    <x v="18"/>
    <m/>
    <s v="2023-2024"/>
    <s v="CHECKED"/>
  </r>
  <r>
    <x v="864"/>
    <d v="2023-12-25T00:00:00"/>
    <s v="   TO TRANSFER-UPI/DR/335970299770/Jio Prep/PYTM/paytm-jiom/recha--"/>
    <s v="TRANSFER TO 4897690162095"/>
    <n v="239"/>
    <m/>
    <n v="23827.680000000051"/>
    <s v="Mobile Recharge"/>
    <s v="Google Pay App"/>
    <x v="262"/>
    <m/>
    <s v="2023-2024"/>
    <s v="CHECKED"/>
  </r>
  <r>
    <x v="864"/>
    <d v="2023-12-25T00:00:00"/>
    <s v="   CREDIT INTEREST---"/>
    <m/>
    <m/>
    <n v="419"/>
    <n v="24246.680000000051"/>
    <s v="Credit Interest"/>
    <m/>
    <x v="0"/>
    <m/>
    <s v="2023-2024"/>
    <s v="CHECKED"/>
  </r>
  <r>
    <x v="865"/>
    <d v="2023-12-31T00:00:00"/>
    <s v="   TO TRANSFER-UPI/DR/336579541626/ANKUSH M/PUNB/ankusharor/Milk--"/>
    <s v="TRANSFER TO 4897696162090"/>
    <n v="2092.5"/>
    <m/>
    <n v="22154.180000000051"/>
    <s v="Transfer Through UPI App"/>
    <s v="Google Pay App"/>
    <x v="265"/>
    <m/>
    <s v="2023-2024"/>
    <s v="CHECKED"/>
  </r>
  <r>
    <x v="866"/>
    <d v="2024-01-01T00:00:00"/>
    <s v="   BY TRANSFER-NEFT*RBIS0GORJEP*RBI0012475117277*TREASURY OFFICE--"/>
    <s v="TRANSFER FROM 4697224044302"/>
    <m/>
    <n v="45732"/>
    <n v="67886.180000000051"/>
    <s v="Salary"/>
    <m/>
    <x v="0"/>
    <m/>
    <s v="2023-2024"/>
    <s v="CHECKED"/>
  </r>
  <r>
    <x v="867"/>
    <d v="2024-01-03T00:00:00"/>
    <s v="   TO TRANSFER-UPI/DR/400310802544/billdesk/ICIC/billdesk.e/UPI--"/>
    <s v="TRANSFER TO 4897692162094"/>
    <n v="1033"/>
    <m/>
    <n v="66853.180000000051"/>
    <s v="Electricity Bill"/>
    <s v="Google Pay App"/>
    <x v="36"/>
    <m/>
    <s v="2023-2024"/>
    <s v="CHECKED"/>
  </r>
  <r>
    <x v="868"/>
    <d v="2024-01-09T00:00:00"/>
    <s v="   BY TRANSFER-UPI/CR/400917689659/GOOGLEPAY/UTIB/goog-payme/Rewa--"/>
    <s v="TRANSFER FROM 4897733162090"/>
    <m/>
    <n v="6"/>
    <n v="66859.180000000051"/>
    <s v="Earning From UPI App"/>
    <s v="Google Pay App"/>
    <x v="125"/>
    <m/>
    <s v="2023-2024"/>
    <s v="CHECKED"/>
  </r>
  <r>
    <x v="868"/>
    <d v="2024-01-09T00:00:00"/>
    <s v="   BY TRANSFER-SBILT09012024132935817598-Mohit jain--"/>
    <s v="TRANSFER FROM 20078643908                         "/>
    <m/>
    <n v="50000"/>
    <n v="116859.18000000005"/>
    <s v="Received Through UPI App"/>
    <s v="Google Pay App"/>
    <x v="151"/>
    <m/>
    <s v="2023-2024"/>
    <s v="CHECKED"/>
  </r>
  <r>
    <x v="869"/>
    <d v="2024-01-10T00:00:00"/>
    <s v="   TO TRANSFER-UPI/DR/401070211567/Mohit  S/SBIN/mohitratho/UPI--"/>
    <s v="TRANSFER TO 4897692162094"/>
    <n v="4000"/>
    <m/>
    <n v="112859.18000000005"/>
    <s v="Transfer Through UPI App"/>
    <s v="Google Pay App"/>
    <x v="238"/>
    <m/>
    <s v="2023-2024"/>
    <s v="CHECKED"/>
  </r>
  <r>
    <x v="870"/>
    <d v="2024-01-16T00:00:00"/>
    <s v="   TO TRANSFER-UPI/DR/401692035161/ASHOK/PYTM/paytmqr281/aata--"/>
    <s v="TRANSFER TO 4897691162095"/>
    <n v="150"/>
    <m/>
    <n v="112709.18000000005"/>
    <s v="Transfer Through UPI App"/>
    <s v="Google Pay App"/>
    <x v="232"/>
    <m/>
    <s v="2023-2024"/>
    <s v="1. House Expenses me abhi entry nhi ki hai"/>
  </r>
  <r>
    <x v="871"/>
    <d v="2024-01-31T00:00:00"/>
    <s v="   TO TRANSFER-UPI/DR/403134238342/Jio Post/PYTM/paytm-5381/jio b--"/>
    <s v="TRANSFER TO 4897692162094"/>
    <n v="234.82"/>
    <m/>
    <n v="112474.36000000004"/>
    <s v="Mobile Recharge"/>
    <m/>
    <x v="18"/>
    <m/>
    <s v="2023-2024"/>
    <s v="CHECKED"/>
  </r>
  <r>
    <x v="871"/>
    <d v="2024-01-31T00:00:00"/>
    <s v="   TO TRANSFER-UPI/DR/403134904689/ASHOK/PYTM/paytmqr281/Aata--"/>
    <s v="TRANSFER TO 4897692162094"/>
    <n v="300"/>
    <m/>
    <n v="112174.36000000004"/>
    <s v="Transfer Through UPI App"/>
    <s v="Google Pay App"/>
    <x v="232"/>
    <m/>
    <s v="2023-2024"/>
    <s v="CHECKED"/>
  </r>
  <r>
    <x v="872"/>
    <d v="2024-02-01T00:00:00"/>
    <s v="   BY TRANSFER-NEFT*RBIS0GORJEP*RBI0322443069289*TREASURY OFFICE--"/>
    <s v="TRANSFER FROM 4697252044308"/>
    <m/>
    <n v="45732"/>
    <n v="157906.36000000004"/>
    <s v="Salary"/>
    <m/>
    <x v="0"/>
    <m/>
    <s v="2023-2024"/>
    <s v="CHECKED"/>
  </r>
  <r>
    <x v="873"/>
    <d v="2024-02-02T00:00:00"/>
    <s v="   CREDIT-65133  chq 510030 raj comp--"/>
    <m/>
    <m/>
    <n v="2713.72"/>
    <n v="160620.08000000005"/>
    <s v="Mobile Bill Reimbursement (DOIT)"/>
    <m/>
    <x v="0"/>
    <m/>
    <s v="2023-2024"/>
    <s v="CHECKED"/>
  </r>
  <r>
    <x v="874"/>
    <d v="2024-02-04T00:00:00"/>
    <s v="   TO TRANSFER-UPI/DR/403574642599/RELIANCE/CITI/jio@citiba/JIO20--"/>
    <s v="TRANSFER TO 4897696162090"/>
    <n v="209"/>
    <m/>
    <n v="160411.08000000005"/>
    <s v="Mobile Recharge"/>
    <s v="Google Pay App"/>
    <x v="35"/>
    <m/>
    <s v="2023-2024"/>
    <s v="CHECKED"/>
  </r>
  <r>
    <x v="875"/>
    <d v="2024-02-06T00:00:00"/>
    <s v="   BY TRANSFER-UPI/CR/403792320383/GOOGLEPAY/UTIB/goog-payme/UPI--"/>
    <s v="TRANSFER FROM 4897733162090"/>
    <m/>
    <n v="6"/>
    <n v="160417.08000000005"/>
    <s v="Earning From UPI App"/>
    <s v="Google Pay App"/>
    <x v="125"/>
    <m/>
    <s v="2023-2024"/>
    <s v="CHECKED"/>
  </r>
  <r>
    <x v="875"/>
    <d v="2024-02-06T00:00:00"/>
    <s v="   TO TRANSFER-UPI/DR/403765678320/Jio Prep/PYTM/paytm-jiom/UPI--"/>
    <s v="TRANSFER TO 4897691162095"/>
    <n v="121"/>
    <m/>
    <n v="160296.08000000005"/>
    <s v="Mobile Recharge"/>
    <s v="Google Pay App"/>
    <x v="262"/>
    <m/>
    <s v="2023-2024"/>
    <s v="CHECKED"/>
  </r>
  <r>
    <x v="875"/>
    <d v="2024-02-06T00:00:00"/>
    <s v="   TO TRANSFER-UPI/DR/403774700905/SAURABH/PYTM/paytmqr13c/ration--"/>
    <s v="TRANSFER TO 4897691162095"/>
    <n v="573"/>
    <m/>
    <n v="159723.08000000005"/>
    <s v="Transfer Through UPI App"/>
    <s v="Google Pay App"/>
    <x v="231"/>
    <m/>
    <s v="2023-2024"/>
    <s v="CHECKED"/>
  </r>
  <r>
    <x v="876"/>
    <d v="2024-02-10T00:00:00"/>
    <s v="   TO TRANSFER-UPI/DR/404116193733/Mohit  S/SBIN/mohitratho/UPI--"/>
    <s v="TRANSFER TO 4897695162091"/>
    <n v="4000"/>
    <m/>
    <n v="155723.08000000005"/>
    <s v="Transfer Through UPI App"/>
    <s v="Google Pay App"/>
    <x v="238"/>
    <m/>
    <s v="2023-2024"/>
    <s v="CHECKED"/>
  </r>
  <r>
    <x v="876"/>
    <d v="2024-02-10T00:00:00"/>
    <s v="   TO TRANSFER-UPI/DR/404128038742/KAMAL AU/YESB/q61449915@/UPI--"/>
    <s v="TRANSFER TO 4897695162091"/>
    <n v="690"/>
    <m/>
    <n v="155033.08000000005"/>
    <s v="Transfer Through UPI App"/>
    <s v="Google Pay App"/>
    <x v="282"/>
    <m/>
    <s v="2023-2024"/>
    <s v="CHECKED"/>
  </r>
  <r>
    <x v="876"/>
    <d v="2024-02-10T00:00:00"/>
    <s v="   TO TRANSFER-UPI/DR/404145764838/billdesk/ICIC/billdesk.w/UPI--"/>
    <s v="TRANSFER TO 4897695162091"/>
    <n v="153"/>
    <m/>
    <n v="154880.08000000005"/>
    <s v="Water Bill"/>
    <s v="Google Pay App"/>
    <x v="0"/>
    <m/>
    <s v="2023-2024"/>
    <s v="CHECKED"/>
  </r>
  <r>
    <x v="877"/>
    <d v="2024-02-11T00:00:00"/>
    <s v="   FI Txn @ CSP outlet-006286280608365182 AEPS WDL TXN @KO 1A900867--"/>
    <s v="TRANSFER TO 35749786402                           "/>
    <n v="10000"/>
    <m/>
    <n v="144880.08000000005"/>
    <s v="Cash Withdrwal"/>
    <m/>
    <x v="174"/>
    <m/>
    <s v="2023-2024"/>
    <s v="CHECKED"/>
  </r>
  <r>
    <x v="878"/>
    <d v="2024-02-12T00:00:00"/>
    <s v="   TO TRANSFER-UPI/DR/404300406221/SURENDRA/SBIN/surendrapa/tea p--"/>
    <s v="TRANSFER TO 4897690162095"/>
    <n v="435"/>
    <m/>
    <n v="144445.08000000005"/>
    <s v="Transfer Through UPI App"/>
    <s v="Google Pay App"/>
    <x v="283"/>
    <m/>
    <s v="2023-2024"/>
    <s v="6. pending to check with daily expenses sheet"/>
  </r>
  <r>
    <x v="879"/>
    <d v="2024-02-14T00:00:00"/>
    <s v="   TO TRANSFER-UPI/DR/404585591139/RAJENDER/SBIN/rajendrash/UPI--"/>
    <s v="TRANSFER TO 4897692162094"/>
    <n v="10000"/>
    <m/>
    <n v="134445.08000000005"/>
    <s v="Transfer Through UPI App"/>
    <s v="Google Pay App"/>
    <x v="284"/>
    <m/>
    <s v="2023-2024"/>
    <s v="CHECKED"/>
  </r>
  <r>
    <x v="879"/>
    <d v="2024-02-14T00:00:00"/>
    <s v="   TO TRANSFER-UPI/DR/404507433212/SAURABH/PYTM/paytmqr13c/ration--"/>
    <s v="TRANSFER TO 4897692162094"/>
    <n v="1724"/>
    <m/>
    <n v="132721.08000000005"/>
    <s v="Transfer Through UPI App"/>
    <s v="Google Pay App"/>
    <x v="231"/>
    <m/>
    <s v="2023-2024"/>
    <s v="CHECKED"/>
  </r>
  <r>
    <x v="880"/>
    <d v="2024-02-15T00:00:00"/>
    <s v="   TO TRANSFER-UPI/DR/404638215697/EMITRA/UTIB/emitraonli/Payment--"/>
    <s v="TRANSFER TO 4897693162093"/>
    <n v="610"/>
    <m/>
    <n v="132111.08000000005"/>
    <s v="Transfer Through UPI App"/>
    <s v="Google Pay App"/>
    <x v="285"/>
    <m/>
    <s v="2023-2024"/>
    <s v="CHECKED"/>
  </r>
  <r>
    <x v="880"/>
    <d v="2024-02-15T00:00:00"/>
    <s v="   TO TRANSFER-UPI/DR/404656145956/Mr ROHIT/YESB/q461457191/Bday--"/>
    <s v="TRANSFER TO 4897693162093"/>
    <n v="720"/>
    <m/>
    <n v="131391.08000000005"/>
    <s v="Transfer Through UPI App"/>
    <s v="Google Pay App"/>
    <x v="286"/>
    <m/>
    <s v="2023-2024"/>
    <s v="CHECKED"/>
  </r>
  <r>
    <x v="881"/>
    <d v="2024-02-16T00:00:00"/>
    <s v="   TO TRANSFER-UPI/DR/404767915027/61195523/sbin/6119552351/UPI--"/>
    <s v="TRANSFER TO 4897694162092"/>
    <n v="2000"/>
    <m/>
    <n v="129391.08000000005"/>
    <s v="Transfer Through UPI App"/>
    <s v="Google Pay App"/>
    <x v="287"/>
    <m/>
    <s v="2023-2024"/>
    <s v="CHECKED"/>
  </r>
  <r>
    <x v="881"/>
    <d v="2024-02-16T00:00:00"/>
    <s v="   TO TRANSFER-UPI/DR/404796435420/SATISH K/PUNB/kumarsatis/satee--"/>
    <s v="TRANSFER TO 4897694162092"/>
    <n v="2000"/>
    <m/>
    <n v="127391.08000000005"/>
    <s v="Transfer Through UPI App"/>
    <s v="Google Pay App"/>
    <x v="288"/>
    <m/>
    <s v="2023-2024"/>
    <s v="CHECKED"/>
  </r>
  <r>
    <x v="882"/>
    <d v="2024-02-17T00:00:00"/>
    <s v="   TO TRANSFER-UPI/DR/404807423185/HP PAY D/HDFC/hppaydirec/HP Ga--"/>
    <s v="TRANSFER TO 4897695162091"/>
    <n v="934"/>
    <m/>
    <n v="126457.08000000005"/>
    <s v="Transfer Through UPI App"/>
    <s v="Google Pay App"/>
    <x v="113"/>
    <m/>
    <s v="2023-2024"/>
    <s v="CHECKED"/>
  </r>
  <r>
    <x v="882"/>
    <d v="2024-02-17T00:00:00"/>
    <s v="   TO TRANSFER-UPI/DR/404822913508/ASHOK/YESB/q282193224/aata--"/>
    <s v="TRANSFER TO 4897695162091"/>
    <n v="300"/>
    <m/>
    <n v="126157.08000000005"/>
    <s v="Transfer Through UPI App"/>
    <s v="Google Pay App"/>
    <x v="232"/>
    <m/>
    <s v="2023-2024"/>
    <s v="CHECKED"/>
  </r>
  <r>
    <x v="882"/>
    <d v="2024-02-17T00:00:00"/>
    <s v="   TO TRANSFER-UPI/DR/404824582353/MADAN  LAL/SBIN/madanbhai9/gad--"/>
    <s v="TRANSFER TO 4897695162091"/>
    <n v="350"/>
    <m/>
    <n v="125807.08000000005"/>
    <s v="Transfer Through UPI App"/>
    <s v="Google Pay App"/>
    <x v="289"/>
    <m/>
    <s v="2023-2024"/>
    <s v="CHECKED"/>
  </r>
  <r>
    <x v="883"/>
    <d v="2024-02-18T00:00:00"/>
    <s v="   TO TRANSFER-UPI/DR/404946290719/SATISH K/PUNB/kumarsatis/satee--"/>
    <s v="TRANSFER TO 4897696162090"/>
    <n v="1000"/>
    <m/>
    <n v="124807.08000000005"/>
    <s v="Transfer Through UPI App"/>
    <s v="Google Pay App"/>
    <x v="288"/>
    <m/>
    <s v="2023-2024"/>
    <s v="CHECKED"/>
  </r>
  <r>
    <x v="884"/>
    <d v="2024-02-22T00:00:00"/>
    <s v="   BY TRANSFER-NEFT*UTIB0000004*AXISCN0525071062*NIPPON INDIA BAN--"/>
    <s v="TRANSFER FROM 3199963044309"/>
    <m/>
    <n v="1460.35"/>
    <n v="126267.43000000005"/>
    <s v="Mutual Fund Sold"/>
    <m/>
    <x v="181"/>
    <s v="Dividend"/>
    <s v="2023-2024"/>
    <s v="CHECKED"/>
  </r>
  <r>
    <x v="885"/>
    <d v="2024-02-26T00:00:00"/>
    <s v="   TO TRANSFER-UPI/DR/405771894482/Jio Post/PYTM/paytm-5381/73400--"/>
    <s v="TRANSFER TO 4897690162095"/>
    <n v="234.82"/>
    <m/>
    <n v="126032.61000000004"/>
    <s v="Mobile Recharge"/>
    <s v="Google Pay App"/>
    <x v="18"/>
    <m/>
    <s v="2023-2024"/>
    <s v="CHECKED"/>
  </r>
  <r>
    <x v="885"/>
    <d v="2024-02-26T00:00:00"/>
    <s v="   TO TRANSFER-UPI/DR/442327179185/Amazon I/YESB/amazon@yap/You a--"/>
    <s v="TRANSFER TO 4897690162095"/>
    <n v="499"/>
    <m/>
    <n v="125533.61000000004"/>
    <s v="Transfer Through UPI App"/>
    <s v="Google Pay App"/>
    <x v="290"/>
    <m/>
    <s v="2023-2024"/>
    <s v="CHECKED"/>
  </r>
  <r>
    <x v="886"/>
    <d v="2024-02-28T00:00:00"/>
    <s v="   TO TRANSFER-UPI/DR/405906300764/IndianCl/ICIC/bsestarmfr/QoOAY--"/>
    <s v="TRANSFER TO 4897692162094"/>
    <n v="3000"/>
    <m/>
    <n v="122533.61000000004"/>
    <s v="Transfer Through UPI App"/>
    <s v="Google Pay App"/>
    <x v="33"/>
    <m/>
    <s v="2023-2024"/>
    <s v="CHECKED"/>
  </r>
  <r>
    <x v="886"/>
    <d v="2024-02-28T00:00:00"/>
    <s v="   TO TRANSFER-UPI/DR/405987487612/EMITRA/YESB/emitraonli/Payment--"/>
    <s v="TRANSFER TO 4897692162094"/>
    <n v="410"/>
    <m/>
    <n v="122123.61000000004"/>
    <s v="Transfer Through UPI App"/>
    <s v="Google Pay App"/>
    <x v="291"/>
    <s v="cash taken"/>
    <s v="2023-2024"/>
    <s v="CHECKED"/>
  </r>
  <r>
    <x v="887"/>
    <d v="2024-03-01T00:00:00"/>
    <s v="   TO TRANSFER-UPI/DR/406113349124/NATIONAL/ICIC/nationalpe/20103--"/>
    <s v="TRANSFER TO 4897694162092"/>
    <n v="50000"/>
    <m/>
    <n v="72123.610000000044"/>
    <s v="Transfer Through UPI App"/>
    <s v="Google Pay App"/>
    <x v="292"/>
    <m/>
    <s v="2023-2024"/>
    <s v="CHECKED"/>
  </r>
  <r>
    <x v="887"/>
    <d v="2024-03-01T00:00:00"/>
    <s v="   BY TRANSFER-NEFT*RBIS0GORJEP*RBI0612401485717*TREASURY OFFICE--"/>
    <s v="TRANSFER FROM 4697181044308"/>
    <m/>
    <n v="45732"/>
    <n v="117855.61000000004"/>
    <s v="Salary"/>
    <m/>
    <x v="0"/>
    <m/>
    <s v="2023-2024"/>
    <s v="CHECKED"/>
  </r>
  <r>
    <x v="887"/>
    <d v="2024-03-01T00:00:00"/>
    <s v="   BY TRANSFER-UPI/CR/406119775312/SATISH  /SBIN/9413062235/Payme--"/>
    <s v="TRANSFER FROM 4897736162097"/>
    <m/>
    <n v="3000"/>
    <n v="120855.61000000004"/>
    <s v="Received Through UPI App"/>
    <s v="Google Pay App"/>
    <x v="288"/>
    <m/>
    <s v="2023-2024"/>
    <s v="CHECKED"/>
  </r>
  <r>
    <x v="888"/>
    <d v="2024-03-04T00:00:00"/>
    <s v="   BY TRANSFER-P032400540085 HPCL LPG SUBSIDY HPAP34D--"/>
    <s v="TRANSFER FROM 4599421105210"/>
    <m/>
    <n v="9.9499999999999993"/>
    <n v="120865.56000000004"/>
    <s v="Subsidy"/>
    <m/>
    <x v="6"/>
    <m/>
    <s v="2023-2024"/>
    <s v="CHECKED"/>
  </r>
  <r>
    <x v="888"/>
    <d v="2024-03-04T00:00:00"/>
    <s v="   TO TRANSFER-UPI/DR/406419322820/SAURABH/PYTM/paytmqr13c/grocer--"/>
    <s v="TRANSFER TO 4897690162095"/>
    <n v="350"/>
    <m/>
    <n v="120515.56000000004"/>
    <s v="Transfer Through UPI App"/>
    <s v="Google Pay App"/>
    <x v="231"/>
    <m/>
    <s v="2023-2024"/>
    <s v="CHECKED"/>
  </r>
  <r>
    <x v="889"/>
    <d v="2024-03-05T00:00:00"/>
    <s v="   TO TRANSFER-UPI/DR/406571276382/Mr  VIKR/YESB/q095711324/sabji--"/>
    <s v="TRANSFER TO 4897691162095"/>
    <n v="100"/>
    <m/>
    <n v="120415.56000000004"/>
    <s v="Transfer Through UPI App"/>
    <s v="Google Pay App"/>
    <x v="233"/>
    <m/>
    <s v="2023-2024"/>
    <s v="CHECKED"/>
  </r>
  <r>
    <x v="890"/>
    <d v="2024-03-07T00:00:00"/>
    <s v="   TO TRANSFER-UPI/DR/406747071364/RELIANCE/CITI/jio@citiba/JIO20--"/>
    <s v="TRANSFER TO 4897693162093"/>
    <n v="209"/>
    <m/>
    <n v="120206.56000000004"/>
    <s v="Mobile Recharge"/>
    <s v="Google Pay App"/>
    <x v="35"/>
    <m/>
    <s v="2023-2024"/>
    <s v="CHECKED"/>
  </r>
  <r>
    <x v="890"/>
    <d v="2024-03-07T00:00:00"/>
    <s v="   TO TRANSFER-UPI/DR/406763959276/ASHOK/YESB/q282193224/aata--"/>
    <s v="TRANSFER TO 4897693162093"/>
    <n v="240"/>
    <m/>
    <n v="119966.56000000004"/>
    <s v="Transfer Through UPI App"/>
    <s v="Google Pay App"/>
    <x v="232"/>
    <m/>
    <s v="2023-2024"/>
    <s v="CHECKED"/>
  </r>
  <r>
    <x v="891"/>
    <d v="2024-03-08T00:00:00"/>
    <s v="   TO TRANSFER-UPI/DR/406814757897/WWW VODA/HDFC/vodafone1./recha--"/>
    <s v="TRANSFER TO 4897694162092"/>
    <n v="1799"/>
    <m/>
    <n v="118167.56000000004"/>
    <s v="Mobile Recharge"/>
    <s v="Google Pay App"/>
    <x v="161"/>
    <m/>
    <s v="2023-2024"/>
    <s v="CHECKED"/>
  </r>
  <r>
    <x v="892"/>
    <d v="2024-03-10T00:00:00"/>
    <s v="   TO TRANSFER-UPI/DR/407095242570/Mohit  S/SBIN/mohitratho/UPI--"/>
    <s v="TRANSFER TO 4897696162090"/>
    <n v="4000"/>
    <m/>
    <n v="114167.56000000004"/>
    <s v="Transfer Through UPI App"/>
    <s v="Google Pay App"/>
    <x v="238"/>
    <m/>
    <s v="2023-2024"/>
    <s v="CHECKED"/>
  </r>
  <r>
    <x v="893"/>
    <d v="2024-03-11T00:00:00"/>
    <s v="   TO TRANSFER-UPI/DR/407130410839/Pargat  /SBIN/pargatsing/pen--"/>
    <s v="TRANSFER TO 4897690162095"/>
    <n v="50"/>
    <m/>
    <n v="114117.56000000004"/>
    <s v="Transfer Through UPI App"/>
    <s v="Google Pay App"/>
    <x v="293"/>
    <m/>
    <s v="2023-2024"/>
    <s v="CHECKED"/>
  </r>
  <r>
    <x v="894"/>
    <d v="2024-03-13T00:00:00"/>
    <s v="   TO TRANSFER-UPI/DR/407352826844/SAURABH/PYTM/paytmqr13c/ration--"/>
    <s v="TRANSFER TO 4897692162094"/>
    <n v="510"/>
    <m/>
    <n v="113607.56000000004"/>
    <s v="Transfer Through UPI App"/>
    <s v="Google Pay App"/>
    <x v="231"/>
    <m/>
    <s v="2023-2024"/>
    <s v="CHECKED"/>
  </r>
  <r>
    <x v="895"/>
    <d v="2024-03-18T00:00:00"/>
    <s v="   TO TRANSFER-UPI/DR/407888365901/Jio Prep/YESB/paytm-jiom/40318--"/>
    <s v="TRANSFER TO 4897690162095"/>
    <n v="299"/>
    <m/>
    <n v="113308.56000000004"/>
    <s v="Transfer Through UPI App"/>
    <s v="Google Pay App"/>
    <x v="262"/>
    <m/>
    <s v="2023-2024"/>
    <s v="CHECKED"/>
  </r>
  <r>
    <x v="896"/>
    <d v="2024-03-19T00:00:00"/>
    <s v="   TO TRANSFER-UPI/DR/407937050022/Mr  VIKR/YESB/q028962466/sabji--"/>
    <s v="TRANSFER TO 4897691162095"/>
    <n v="190"/>
    <m/>
    <n v="113118.56000000004"/>
    <s v="Transfer Through UPI App"/>
    <s v="Google Pay App"/>
    <x v="233"/>
    <m/>
    <s v="2023-2024"/>
    <s v="CHECKED"/>
  </r>
  <r>
    <x v="897"/>
    <d v="2024-03-20T00:00:00"/>
    <s v="   TO TRANSFER-UPI/DR/408081343778/ASHOK/YESB/q282193224/aata--"/>
    <s v="TRANSFER TO 4897692162094"/>
    <n v="240"/>
    <m/>
    <n v="112878.56000000004"/>
    <s v="Transfer Through UPI App"/>
    <s v="Google Pay App"/>
    <x v="232"/>
    <m/>
    <s v="2023-2024"/>
    <s v="CHECKED"/>
  </r>
  <r>
    <x v="897"/>
    <d v="2024-03-20T00:00:00"/>
    <s v="   TO TRANSFER-UPI/DR/408085574734/GORU CHH/HDFC/8619927011/Mobil--"/>
    <s v="TRANSFER TO 4897692162094"/>
    <n v="24000"/>
    <m/>
    <n v="88878.560000000041"/>
    <s v="Transfer Through UPI App"/>
    <s v="Google Pay App"/>
    <x v="294"/>
    <m/>
    <s v="2023-2024"/>
    <s v="CHECKED"/>
  </r>
  <r>
    <x v="898"/>
    <d v="2024-03-22T00:00:00"/>
    <s v="   FI Txn @ CSP outlet-008689554045090043 AEPS WDL TXN @KO 1A900867--"/>
    <s v="TRANSFER TO 35749786402                           "/>
    <n v="5000"/>
    <m/>
    <n v="83878.560000000041"/>
    <s v="Cash Withdrwal"/>
    <m/>
    <x v="174"/>
    <m/>
    <s v="2023-2024"/>
    <s v="CHECKED"/>
  </r>
  <r>
    <x v="899"/>
    <d v="2024-03-25T00:00:00"/>
    <s v="   TO TRANSFER-UPI/DR/408524833037/Jio Post/YESB/paytm-5381/40325--"/>
    <s v="TRANSFER TO 4897690162095"/>
    <n v="234.82"/>
    <m/>
    <n v="83643.740000000034"/>
    <s v="Mobile Recharge"/>
    <s v="Google Pay App"/>
    <x v="18"/>
    <m/>
    <s v="2023-2024"/>
    <s v="CHECKED"/>
  </r>
  <r>
    <x v="899"/>
    <d v="2024-03-25T00:00:00"/>
    <s v="   CREDIT INTEREST---"/>
    <m/>
    <m/>
    <n v="742"/>
    <n v="84385.740000000034"/>
    <s v="Credit Interest"/>
    <m/>
    <x v="0"/>
    <m/>
    <s v="2023-2024"/>
    <s v="CHECKED"/>
  </r>
  <r>
    <x v="900"/>
    <d v="2024-03-26T00:00:00"/>
    <s v="   TO TRANSFER-UPI/DR/408661517631/Mr  VIKR/YESB/q028962466/sabji--"/>
    <s v="TRANSFER TO 4897691162095"/>
    <n v="115"/>
    <m/>
    <n v="84270.740000000034"/>
    <s v="Transfer Through UPI App"/>
    <s v="Google Pay App"/>
    <x v="233"/>
    <m/>
    <s v="2023-2024"/>
    <s v="CHECKED"/>
  </r>
  <r>
    <x v="901"/>
    <d v="2024-03-28T00:00:00"/>
    <s v="   CREDIT-65613  RAJCOMP CHQ 282453 DT 27032024--"/>
    <m/>
    <m/>
    <n v="2720"/>
    <n v="86990.740000000034"/>
    <s v="Other Bill Reimbursement (DOIT)"/>
    <m/>
    <x v="295"/>
    <m/>
    <s v="2023-2024"/>
    <s v="4. PENDING TO CHECK OTHER BILLS IN OFFICE AND OTHER EXCEL SHEETS"/>
  </r>
  <r>
    <x v="902"/>
    <d v="2024-03-30T00:00:00"/>
    <s v="   TO TRANSFER-UPI/DR/409020695342/FASHION /HDFC/fashioncam/mohit--"/>
    <s v="TRANSFER TO 4897695162091"/>
    <n v="2999"/>
    <m/>
    <n v="83991.740000000034"/>
    <s v="Transfer Through UPI App"/>
    <s v="Google Pay App"/>
    <x v="296"/>
    <m/>
    <s v="2023-2024"/>
    <s v="CHECKED"/>
  </r>
  <r>
    <x v="902"/>
    <d v="2024-03-30T00:00:00"/>
    <s v="   TO TRANSFER-UPI/DR/409022448513/DHEERAJ /FDRL/bharatpe.9/Pay t--"/>
    <s v="TRANSFER TO 4897695162091"/>
    <n v="1400"/>
    <m/>
    <n v="82591.740000000034"/>
    <s v="Transfer Through UPI App"/>
    <s v="Google Pay App"/>
    <x v="297"/>
    <m/>
    <s v="2023-2024"/>
    <s v="6. pending to check with daily expenses sheet"/>
  </r>
  <r>
    <x v="903"/>
    <d v="2024-03-31T00:00:00"/>
    <s v="   TO TRANSFER-UPI/DR/409158300091/Mr  VIKR/YESB/q028962466/sabji--"/>
    <s v="TRANSFER TO 4897696162090"/>
    <n v="210"/>
    <m/>
    <n v="82381.740000000034"/>
    <s v="Transfer Through UPI App"/>
    <s v="Google Pay App"/>
    <x v="233"/>
    <m/>
    <s v="2023-2024"/>
    <s v="CHECKED"/>
  </r>
  <r>
    <x v="903"/>
    <d v="2024-03-31T00:00:00"/>
    <s v="   TO TRANSFER-UPI/DR/409170064691/ANKUSH M/PUNB/ankusharor/Milk--"/>
    <s v="TRANSFER TO 4897696162090"/>
    <n v="2430"/>
    <m/>
    <n v="79951.740000000034"/>
    <s v="Transfer Through UPI App"/>
    <s v="Google Pay App"/>
    <x v="265"/>
    <m/>
    <s v="2023-2024"/>
    <s v="CHECKED"/>
  </r>
  <r>
    <x v="904"/>
    <d v="2024-04-02T00:00:00"/>
    <s v="   TO TRANSFER-INB PPF--"/>
    <s v="IF40712540               TRANSFER TO 32500545461  "/>
    <n v="20000"/>
    <m/>
    <n v="59951.740000000034"/>
    <s v="PPF"/>
    <m/>
    <x v="0"/>
    <m/>
    <s v="2024-2025"/>
    <s v="CHECKED"/>
  </r>
  <r>
    <x v="904"/>
    <d v="2024-04-02T00:00:00"/>
    <s v="   BY TRANSFER-NEFT*RBIS0GORJEP*RBI0942488539689*TREASURY OFFICE--"/>
    <s v="TRANSFER FROM 3199969044303"/>
    <m/>
    <n v="49164"/>
    <n v="109115.74000000003"/>
    <s v="Salary"/>
    <m/>
    <x v="0"/>
    <m/>
    <s v="2024-2025"/>
    <s v="CHECKED"/>
  </r>
  <r>
    <x v="905"/>
    <d v="2024-04-03T00:00:00"/>
    <s v="   TO TRANSFER-UPI/DR/409454040557/SURENDRA/SBIN/surendrapa/suren--"/>
    <s v="TRANSFER TO 4897692162094"/>
    <n v="3000"/>
    <m/>
    <n v="106115.74000000003"/>
    <s v="Transfer Through UPI App"/>
    <s v="Google Pay App"/>
    <x v="298"/>
    <m/>
    <s v="2024-2025"/>
    <s v="CHECKED"/>
  </r>
  <r>
    <x v="905"/>
    <d v="2024-04-03T00:00:00"/>
    <s v="   TO TRANSFER-UPI/DR/409454123517/NEELAM  /SBIN/9462578272/To Su--"/>
    <s v="TRANSFER TO 4897692162094"/>
    <n v="3000"/>
    <m/>
    <n v="103115.74000000003"/>
    <s v="Transfer Through UPI App"/>
    <s v="Google Pay App"/>
    <x v="298"/>
    <m/>
    <s v="2024-2025"/>
    <s v="CHECKED"/>
  </r>
  <r>
    <x v="905"/>
    <d v="2024-04-03T00:00:00"/>
    <s v="   TO TRANSFER-UPI/DR/409467347608/Mr  VIKR/YESB/q028962466/sbji--"/>
    <s v="TRANSFER TO 4897692162094"/>
    <n v="175"/>
    <m/>
    <n v="102940.74000000003"/>
    <s v="Transfer Through UPI App"/>
    <s v="Google Pay App"/>
    <x v="233"/>
    <m/>
    <s v="2024-2025"/>
    <s v="CHECKED"/>
  </r>
  <r>
    <x v="905"/>
    <d v="2024-04-03T00:00:00"/>
    <s v="   TO TRANSFER-UPI/DR/409468132091/MANENDER/PUNB/monasandhu/SHK J--"/>
    <s v="TRANSFER TO 4897692162094"/>
    <n v="18000"/>
    <m/>
    <n v="84940.740000000034"/>
    <s v="Kids School Fee"/>
    <s v="Google Pay App"/>
    <x v="263"/>
    <s v="UKG Class Fee and Van Fee"/>
    <s v="2024-2025"/>
    <s v="CHECKED"/>
  </r>
  <r>
    <x v="905"/>
    <d v="2024-04-03T00:00:00"/>
    <s v="   TO TRANSFER-UPI/DR/409468598134/HARDEEP /SBIN/gia.tibbi1/Jeevi--"/>
    <s v="TRANSFER TO 4897692162094"/>
    <n v="1200"/>
    <m/>
    <n v="83740.740000000034"/>
    <s v="Transfer Through UPI App"/>
    <s v="Google Pay App"/>
    <x v="299"/>
    <m/>
    <s v="2024-2025"/>
    <s v="6. pending to check with daily expenses sheet"/>
  </r>
  <r>
    <x v="906"/>
    <d v="2024-04-05T00:00:00"/>
    <s v="   TO TRANSFER-UPI/DR/409654787094/SURENDER/ICIC/bana.suren/tea p--"/>
    <s v="TRANSFER TO 4897694162092"/>
    <n v="480"/>
    <m/>
    <n v="83260.740000000034"/>
    <s v="Transfer Through UPI App"/>
    <s v="Google Pay App"/>
    <x v="300"/>
    <m/>
    <s v="2024-2025"/>
    <s v="6. pending to check with daily expenses sheet"/>
  </r>
  <r>
    <x v="906"/>
    <d v="2024-04-05T00:00:00"/>
    <s v="   BY TRANSFER-UPI/CR/409655831232/SURENDRA/SBIN/surendrapa/UPI--"/>
    <s v="TRANSFER FROM 4897736162097"/>
    <m/>
    <n v="6000"/>
    <n v="89260.740000000034"/>
    <s v="Received Through UPI App"/>
    <s v="Google Pay App"/>
    <x v="298"/>
    <m/>
    <s v="2024-2025"/>
    <s v="CHECKED"/>
  </r>
  <r>
    <x v="907"/>
    <d v="2024-04-06T00:00:00"/>
    <s v="   TO TRANSFER-UPI/DR/409787540279/Jio Prep/YESB/paytm-jiom/40406--"/>
    <s v="TRANSFER TO 4897695162091"/>
    <n v="209"/>
    <m/>
    <n v="89051.740000000034"/>
    <s v="Mobile Recharge"/>
    <s v="Google Pay App"/>
    <x v="35"/>
    <m/>
    <s v="2024-2025"/>
    <s v="CHECKED"/>
  </r>
  <r>
    <x v="907"/>
    <d v="2024-04-06T00:00:00"/>
    <s v="   TO TRANSFER-UPI/DR/409787746763/HP PAY D/HDFC/hppaydirec/UPI--"/>
    <s v="TRANSFER TO 4897695162091"/>
    <n v="834"/>
    <m/>
    <n v="88217.740000000034"/>
    <s v="Transfer Through UPI App"/>
    <s v="Google Pay App"/>
    <x v="113"/>
    <m/>
    <s v="2024-2025"/>
    <s v="CHECKED"/>
  </r>
  <r>
    <x v="908"/>
    <d v="2024-04-07T00:00:00"/>
    <s v="   TO TRANSFER-UPI/DR/409864995525/SAURABH/YESB/paytmqr13c/ration--"/>
    <s v="TRANSFER TO 4897696162090"/>
    <n v="1835"/>
    <m/>
    <n v="86382.740000000034"/>
    <s v="Transfer Through UPI App"/>
    <s v="Google Pay App"/>
    <x v="231"/>
    <m/>
    <s v="2024-2025"/>
    <s v="CHECKED"/>
  </r>
  <r>
    <x v="909"/>
    <d v="2024-04-11T00:00:00"/>
    <s v="   TO TRANSFER-UPI/DR/410261683334/Mohit  S/SBIN/mohitratho/UPI--"/>
    <s v="TRANSFER TO 4897693162093"/>
    <n v="4000"/>
    <m/>
    <n v="82382.740000000034"/>
    <s v="Transfer Through UPI App"/>
    <s v="Google Pay App"/>
    <x v="238"/>
    <m/>
    <s v="2024-2025"/>
    <s v="CHECKED"/>
  </r>
  <r>
    <x v="910"/>
    <d v="2024-04-12T00:00:00"/>
    <s v="   TO TRANSFER-UPI/DR/410383300722/ANKUSH C/YESB/paytmqr1kh/ratio--"/>
    <s v="TRANSFER TO 4897694162092"/>
    <n v="675"/>
    <m/>
    <n v="81707.740000000034"/>
    <s v="Transfer Through UPI App"/>
    <s v="Google Pay App"/>
    <x v="231"/>
    <m/>
    <s v="2024-2025"/>
    <s v="CHECKED"/>
  </r>
  <r>
    <x v="911"/>
    <d v="2024-04-16T00:00:00"/>
    <s v="   TO TRANSFER-UPI/DR/410768203671/MANENDER/PUNB/monasandhu/Srish--"/>
    <s v="TRANSFER TO 4897691162095"/>
    <n v="15000"/>
    <m/>
    <n v="66707.740000000034"/>
    <s v="Kids School Fee"/>
    <s v="Google Pay App"/>
    <x v="301"/>
    <s v="Nursary Class Fee and Van Fee"/>
    <s v="2024-2025"/>
    <s v="CHECKED"/>
  </r>
  <r>
    <x v="911"/>
    <d v="2024-04-16T00:00:00"/>
    <s v="   FI Txn @ CSP outlet-008277904800271173 AEPS WDL TXN @KO 1A773C89--"/>
    <s v="TRANSFER TO 41308219010                           "/>
    <n v="5000"/>
    <m/>
    <n v="61707.740000000034"/>
    <s v="Cash Withdrwal"/>
    <m/>
    <x v="174"/>
    <m/>
    <s v="2024-2025"/>
    <s v="CHECKED"/>
  </r>
  <r>
    <x v="911"/>
    <d v="2024-04-16T00:00:00"/>
    <s v="   TO TRANSFER-UPI/DR/410790595993/LALI COL/YESB/bharatpe90/Pay t--"/>
    <s v="TRANSFER TO 4897691162095"/>
    <n v="2700"/>
    <m/>
    <n v="59007.740000000034"/>
    <s v="Transfer Through UPI App"/>
    <s v="Google Pay App"/>
    <x v="302"/>
    <m/>
    <s v="2024-2025"/>
    <s v="6. pending to check with daily expenses sheet"/>
  </r>
  <r>
    <x v="912"/>
    <d v="2024-04-18T00:00:00"/>
    <s v="   BY TRANSFER-UPI/CR/447551839151/MANISH  /SBIN/9462176031/Payme--"/>
    <s v="TRANSFER FROM 4897735162098"/>
    <m/>
    <n v="1"/>
    <n v="59008.740000000034"/>
    <s v="Received Through UPI App"/>
    <s v="Google Pay App"/>
    <x v="303"/>
    <m/>
    <s v="2024-2025"/>
    <s v="CHECKED"/>
  </r>
  <r>
    <x v="912"/>
    <d v="2024-04-18T00:00:00"/>
    <s v="   BY TRANSFER-UPI/CR/447523768694/MANISH  /SBIN/9462176031/Payme--"/>
    <s v="TRANSFER FROM 4897735162098"/>
    <m/>
    <n v="25000"/>
    <n v="84008.740000000034"/>
    <s v="Received Through UPI App"/>
    <s v="Google Pay App"/>
    <x v="304"/>
    <m/>
    <s v="2024-2025"/>
    <s v="CHECKED"/>
  </r>
  <r>
    <x v="913"/>
    <d v="2024-04-19T00:00:00"/>
    <s v="   TO TRANSFER-UPI/DR/411054038214/SBIMOPS/SBIN/sbimops@sb/Collec--"/>
    <s v="TRANSFER TO 4897694162092"/>
    <n v="10"/>
    <m/>
    <n v="83998.740000000034"/>
    <s v="Transfer Through UPI App"/>
    <s v="Google Pay App"/>
    <x v="305"/>
    <m/>
    <s v="2024-2025"/>
    <s v="1. House Expenses me abhi entry nhi ki hai"/>
  </r>
  <r>
    <x v="913"/>
    <d v="2024-04-19T00:00:00"/>
    <s v="   TO TRANSFER-UPI/DR/411026151578/SARVAJIT/HDFC/vyapar.167/kids--"/>
    <s v="TRANSFER TO 4897694162092"/>
    <n v="3000"/>
    <m/>
    <n v="80998.740000000034"/>
    <s v="Transfer Through UPI App"/>
    <s v="Google Pay App"/>
    <x v="306"/>
    <m/>
    <s v="2024-2025"/>
    <s v="CHECKED"/>
  </r>
  <r>
    <x v="914"/>
    <d v="2024-04-20T00:00:00"/>
    <s v="   BY TRANSFER-P0424041344B4 HPCL LPG SUBSIDY HPAP34D--"/>
    <s v="TRANSFER FROM 4697766105213"/>
    <m/>
    <n v="9.9499999999999993"/>
    <n v="81008.690000000031"/>
    <s v="Subsidy"/>
    <m/>
    <x v="6"/>
    <m/>
    <s v="2024-2025"/>
    <s v="CHECKED"/>
  </r>
  <r>
    <x v="915"/>
    <d v="2024-04-22T00:00:00"/>
    <s v="   TO TRANSFER-UPI/DR/411370988871/Mr  VIKR/YESB/q028962466/sbji--"/>
    <s v="TRANSFER TO 4897690162095"/>
    <n v="175"/>
    <m/>
    <n v="80833.690000000031"/>
    <s v="Transfer Through UPI App"/>
    <s v="Google Pay App"/>
    <x v="233"/>
    <m/>
    <s v="2024-2025"/>
    <s v="CHECKED"/>
  </r>
  <r>
    <x v="915"/>
    <d v="2024-04-22T00:00:00"/>
    <s v="   TO TRANSFER-UPI/DR/411371503844/LAVISH C/YESB/paytmqrzox/medic--"/>
    <s v="TRANSFER TO 4897690162095"/>
    <n v="330"/>
    <m/>
    <n v="80503.690000000031"/>
    <s v="Transfer Through UPI App"/>
    <s v="Google Pay App"/>
    <x v="234"/>
    <m/>
    <s v="2024-2025"/>
    <s v="6. pending to check with daily expenses sheet"/>
  </r>
  <r>
    <x v="916"/>
    <d v="2024-04-23T00:00:00"/>
    <s v="   BY TRANSFER-NEFT*RBIS0GORJEP*RBI1142427537033*TREASURY OFFICE--"/>
    <s v="TRANSFER FROM 4698208044303"/>
    <m/>
    <n v="1722"/>
    <n v="82225.690000000031"/>
    <s v="TA Bill Reimbursement (DOIT)"/>
    <m/>
    <x v="307"/>
    <m/>
    <s v="2024-2025"/>
    <s v="CHECKED"/>
  </r>
  <r>
    <x v="916"/>
    <d v="2024-04-23T00:00:00"/>
    <s v="   TO TRANSFER-UPI/DR/411413400856/Mr  VIKR/YESB/q028962466/sabji--"/>
    <s v="TRANSFER TO 4897691162095"/>
    <n v="100"/>
    <m/>
    <n v="82125.690000000031"/>
    <s v="Transfer Through UPI App"/>
    <s v="Google Pay App"/>
    <x v="233"/>
    <m/>
    <s v="2024-2025"/>
    <s v="CHECKED"/>
  </r>
  <r>
    <x v="916"/>
    <d v="2024-04-23T00:00:00"/>
    <s v="   TO TRANSFER-UPI/DR/411413588550/ASHOK/YESB/q734627083/aata--"/>
    <s v="TRANSFER TO 4897691162095"/>
    <n v="300"/>
    <m/>
    <n v="81825.690000000031"/>
    <s v="Transfer Through UPI App"/>
    <s v="Google Pay App"/>
    <x v="232"/>
    <m/>
    <s v="2024-2025"/>
    <s v="CHECKED"/>
  </r>
  <r>
    <x v="917"/>
    <d v="2024-04-24T00:00:00"/>
    <s v="   TO TRANSFER-SBIYA24115212303998759813-Transfer to fa--"/>
    <s v="TRANSFER TO 20078643908                           "/>
    <n v="70000"/>
    <m/>
    <n v="11825.690000000031"/>
    <s v="Transfer Through UPI App"/>
    <s v="YONO"/>
    <x v="32"/>
    <m/>
    <s v="2024-2025"/>
    <s v="CHECKED"/>
  </r>
  <r>
    <x v="918"/>
    <d v="2024-04-25T00:00:00"/>
    <s v="   BY TRANSFER-SBIYA24116110901534218586-Transfer to fa--"/>
    <s v="TRANSFER FROM 20078643908                         "/>
    <m/>
    <n v="70000"/>
    <n v="81825.690000000031"/>
    <s v="Received Through UPI App"/>
    <s v="YONO"/>
    <x v="32"/>
    <m/>
    <s v="2024-2025"/>
    <s v="CHECKED"/>
  </r>
  <r>
    <x v="918"/>
    <d v="2024-04-25T00:00:00"/>
    <s v="   TO TRANSFER-UPI/DR/411698712508/Jio Post/YESB/paytm-5381/40425--"/>
    <s v="TRANSFER TO 4897693162093"/>
    <n v="234.82"/>
    <m/>
    <n v="81590.870000000024"/>
    <s v="Mobile Recharge"/>
    <s v="Google Pay App"/>
    <x v="18"/>
    <m/>
    <s v="2024-2025"/>
    <s v="CHECKED"/>
  </r>
  <r>
    <x v="919"/>
    <d v="2024-04-26T00:00:00"/>
    <s v="   FI Txn @ CSP outlet-011710152994435829 AEPS WDL TXN @KO 1A900867--"/>
    <s v="TRANSFER TO 35749786402                           "/>
    <n v="5000"/>
    <m/>
    <n v="76590.870000000024"/>
    <s v="Cash Withdrwal"/>
    <m/>
    <x v="174"/>
    <m/>
    <s v="2024-2025"/>
    <s v="CHECKED"/>
  </r>
  <r>
    <x v="919"/>
    <d v="2024-04-26T00:00:00"/>
    <s v="   TO TRANSFER-UPI/DR/411726659858/Jio Prep/YESB/paytm-jiom/40426--"/>
    <s v="TRANSFER TO 4897694162092"/>
    <n v="25"/>
    <m/>
    <n v="76565.870000000024"/>
    <s v="Transfer Through UPI App"/>
    <s v="Google Pay App"/>
    <x v="262"/>
    <m/>
    <s v="2024-2025"/>
    <s v="CHECKED"/>
  </r>
  <r>
    <x v="919"/>
    <d v="2024-04-26T00:00:00"/>
    <s v="   TO TRANSFER-UPI/DR/411752396865/Mr ROHIT/YESB/q189340045/jeevu--"/>
    <s v="TRANSFER TO 4897694162092"/>
    <n v="965"/>
    <m/>
    <n v="75600.870000000024"/>
    <s v="Transfer Through UPI App"/>
    <s v="Google Pay App"/>
    <x v="308"/>
    <m/>
    <s v="2024-2025"/>
    <s v="6. pending to check with daily expenses sheet"/>
  </r>
  <r>
    <x v="920"/>
    <d v="2024-04-27T00:00:00"/>
    <s v="   TO TRANSFER-UPI/DR/411896506490/RACHANA /SBIN/9462908300/ratio--"/>
    <s v="TRANSFER TO 4897695162091"/>
    <n v="625"/>
    <m/>
    <n v="74975.870000000024"/>
    <s v="Transfer Through UPI App"/>
    <s v="Google Pay App"/>
    <x v="231"/>
    <m/>
    <s v="2024-2025"/>
    <s v="CHECKED"/>
  </r>
  <r>
    <x v="921"/>
    <d v="2024-04-29T00:00:00"/>
    <s v="   TO TRANSFER-UPI/DR/412066935586/Google I/UTIB/gpayrechar/UPI--"/>
    <s v="TRANSFER TO 4897690162095"/>
    <n v="300.89999999999998"/>
    <m/>
    <n v="74674.97000000003"/>
    <s v="Transfer Through UPI App"/>
    <s v="Google Pay App"/>
    <x v="309"/>
    <m/>
    <s v="2024-2025"/>
    <s v="CHECKED"/>
  </r>
  <r>
    <x v="921"/>
    <d v="2024-04-29T00:00:00"/>
    <s v="   TO TRANSFER-UPI/DR/412080631081/Mr  VIKR/YESB/q028962466/sabji--"/>
    <s v="TRANSFER TO 4897690162095"/>
    <n v="250"/>
    <m/>
    <n v="74424.97000000003"/>
    <s v="Transfer Through UPI App"/>
    <s v="Google Pay App"/>
    <x v="233"/>
    <m/>
    <s v="2024-2025"/>
    <s v="CHECKED"/>
  </r>
  <r>
    <x v="921"/>
    <d v="2024-04-29T00:00:00"/>
    <s v="   TO TRANSFER-UPI/DR/412081320788/RAKESH C/YESB/q999978728/biscu--"/>
    <s v="TRANSFER TO 4897690162095"/>
    <n v="360"/>
    <m/>
    <n v="74064.97000000003"/>
    <s v="Transfer Through UPI App"/>
    <s v="Google Pay App"/>
    <x v="310"/>
    <m/>
    <s v="2024-2025"/>
    <s v="CHECKED"/>
  </r>
  <r>
    <x v="922"/>
    <d v="2024-04-30T00:00:00"/>
    <s v="   TO TRANSFER-UPI/DR/412104477967/ANKUSH M/PUNB/ankusharor/milk--"/>
    <s v="TRANSFER TO 4897691162095"/>
    <n v="3860"/>
    <m/>
    <n v="70204.97000000003"/>
    <s v="Transfer Through UPI App"/>
    <s v="Google Pay App"/>
    <x v="265"/>
    <m/>
    <s v="2024-2025"/>
    <s v="CHECKED"/>
  </r>
  <r>
    <x v="923"/>
    <d v="2024-05-02T00:00:00"/>
    <s v="   TO TRANSFER-UPI/DR/412322081547/Jio Prep/YESB/paytm-jiom/40502--"/>
    <s v="TRANSFER TO 4897693162093"/>
    <n v="25"/>
    <m/>
    <n v="70179.97000000003"/>
    <s v="Mobile Recharge"/>
    <s v="Google Pay App"/>
    <x v="262"/>
    <m/>
    <s v="2024-2025"/>
    <s v="CHECKED"/>
  </r>
  <r>
    <x v="923"/>
    <d v="2024-05-02T00:00:00"/>
    <s v="   TO TRANSFER-UPI/DR/412330392421/BRIJ MOH/BKID/jtinu423@o/Teenu--"/>
    <s v="TRANSFER TO 4897693162093"/>
    <n v="10000"/>
    <m/>
    <n v="60179.97000000003"/>
    <s v="Transfer Through UPI App"/>
    <s v="Google Pay App"/>
    <x v="311"/>
    <s v="Donation"/>
    <s v="2024-2025"/>
    <s v="CHECKED"/>
  </r>
  <r>
    <x v="924"/>
    <d v="2024-05-03T00:00:00"/>
    <s v="   TO TRANSFER-UPI/DR/412442338598/Zerodha/YESB/zerodhabro/886448--"/>
    <s v="TRANSFER TO 4897694162092"/>
    <n v="1000"/>
    <m/>
    <n v="59179.97000000003"/>
    <s v="Transfer Through UPI App"/>
    <s v="Google Pay App"/>
    <x v="312"/>
    <m/>
    <s v="2024-2025"/>
    <s v="6. pending to check with daily expenses sheet"/>
  </r>
  <r>
    <x v="924"/>
    <d v="2024-05-03T00:00:00"/>
    <s v="   TO TRANSFER-UPI/DR/412460121289/ASHOK KU/PUNB/ashoksharm/Car o--"/>
    <s v="TRANSFER TO 4897694162092"/>
    <n v="1500"/>
    <m/>
    <n v="57679.97000000003"/>
    <s v="Transfer Through UPI App"/>
    <s v="Google Pay App"/>
    <x v="313"/>
    <m/>
    <s v="2024-2025"/>
    <s v="CHECKED"/>
  </r>
  <r>
    <x v="924"/>
    <d v="2024-05-03T00:00:00"/>
    <s v="   TO TRANSFER-UPI/DR/412476681104/NARENDER/FDRL/bharatpe.9/Pay t--"/>
    <s v="TRANSFER TO 4897694162092"/>
    <n v="10"/>
    <m/>
    <n v="57669.97000000003"/>
    <s v="Transfer Through UPI App"/>
    <s v="Google Pay App"/>
    <x v="314"/>
    <m/>
    <s v="2024-2025"/>
    <s v="CHECKED"/>
  </r>
  <r>
    <x v="925"/>
    <d v="2024-05-04T00:00:00"/>
    <s v="   TO TRANSFER-UPI/DR/412512981989/RELIANCE/CITI/jio@citiba/JIO20--"/>
    <s v="TRANSFER TO 4897695162091"/>
    <n v="209"/>
    <m/>
    <n v="57460.97000000003"/>
    <s v="Mobile Recharge"/>
    <s v="Google Pay App"/>
    <x v="35"/>
    <m/>
    <s v="2024-2025"/>
    <s v="CHECKED"/>
  </r>
  <r>
    <x v="925"/>
    <d v="2024-05-04T00:00:00"/>
    <s v="   TO TRANSFER-UPI/DR/412518965539/Google I/ICIC/googlebbps/UPI--"/>
    <s v="TRANSFER TO 4897695162091"/>
    <n v="878"/>
    <m/>
    <n v="56582.97000000003"/>
    <s v="Electricity Bill"/>
    <s v="Google Pay App"/>
    <x v="36"/>
    <m/>
    <s v="2024-2025"/>
    <s v="CHECKED"/>
  </r>
  <r>
    <x v="926"/>
    <d v="2024-05-05T00:00:00"/>
    <s v="   TO TRANSFER-UPI/DR/412631999139/Balchand/YESB/paytmqr18n/coldd--"/>
    <s v="TRANSFER TO 4897696162090"/>
    <n v="50"/>
    <m/>
    <n v="56532.97000000003"/>
    <s v="Transfer Through UPI App"/>
    <s v="Google Pay App"/>
    <x v="315"/>
    <m/>
    <s v="2024-2025"/>
    <s v="CHECKED"/>
  </r>
  <r>
    <x v="926"/>
    <d v="2024-05-05T00:00:00"/>
    <s v="   TO TRANSFER-UPI/DR/412639189839/AppX/UTIB/appx240930/CSATComp--"/>
    <s v="TRANSFER TO 4897696162090"/>
    <n v="100"/>
    <m/>
    <n v="56432.97000000003"/>
    <s v="Transfer Through UPI App"/>
    <s v="Google Pay App"/>
    <x v="316"/>
    <m/>
    <s v="2024-2025"/>
    <s v="CHECKED"/>
  </r>
  <r>
    <x v="927"/>
    <d v="2024-05-07T00:00:00"/>
    <s v="   BY TRANSFER-NEFT*RBIS0GORJEP*RBI1292461186339*TREASURY OFFICE--"/>
    <s v="TRANSFER FROM 4697180044308"/>
    <m/>
    <n v="44564"/>
    <n v="100996.97000000003"/>
    <s v="Salary"/>
    <m/>
    <x v="0"/>
    <m/>
    <s v="2024-2025"/>
    <s v="CHECKED"/>
  </r>
  <r>
    <x v="928"/>
    <d v="2024-05-13T00:00:00"/>
    <s v="   TO TRANSFER-UPI/DR/413403164365/Mohit  S/SBIN/mohitratho/UPI--"/>
    <s v="TRANSFER TO 4897690162095"/>
    <n v="4000"/>
    <m/>
    <n v="96996.97000000003"/>
    <s v="Transfer Through UPI App"/>
    <s v="Google Pay App"/>
    <x v="238"/>
    <m/>
    <s v="2024-2025"/>
    <s v="CHECKED"/>
  </r>
  <r>
    <x v="928"/>
    <d v="2024-05-13T00:00:00"/>
    <s v="   TO TRANSFER-UPI/DR/413403139832/ANKUSH M/PUNB/ankusharor/milk--"/>
    <s v="TRANSFER TO 4897690162095"/>
    <n v="315"/>
    <m/>
    <n v="96681.97000000003"/>
    <s v="Transfer Through UPI App"/>
    <s v="Google Pay App"/>
    <x v="265"/>
    <m/>
    <s v="2024-2025"/>
    <s v="1. House Expenses me abhi entry nhi ki hai"/>
  </r>
  <r>
    <x v="928"/>
    <d v="2024-05-13T00:00:00"/>
    <s v="   BY TRANSFER-UPI/CR/413415123482/BALAJI D/UBIN/3801XXXXXX/NA--"/>
    <s v="TRANSFER FROM 4897732162091"/>
    <m/>
    <n v="1"/>
    <n v="96682.97000000003"/>
    <s v="Received Through UPI App"/>
    <s v="Google Pay App"/>
    <x v="303"/>
    <m/>
    <s v="2024-2025"/>
    <s v="CHECKED"/>
  </r>
  <r>
    <x v="928"/>
    <d v="2024-05-13T00:00:00"/>
    <s v="   TO TRANSFER-UPI/DR/413437935757/Jio Prep/YESB/paytm-jiom/40513--"/>
    <s v="TRANSFER TO 4897690162095"/>
    <n v="149"/>
    <m/>
    <n v="96533.97000000003"/>
    <s v="Mobile Recharge"/>
    <s v="Google Pay App"/>
    <x v="262"/>
    <m/>
    <s v="2024-2025"/>
    <s v="CHECKED"/>
  </r>
  <r>
    <x v="929"/>
    <d v="2024-05-14T00:00:00"/>
    <s v="   BY TRANSFER-UPI/CR/413515666574/BALAJI D/UBIN/3801XXXXXX/lspba--"/>
    <s v="TRANSFER FROM 4897733162090"/>
    <m/>
    <n v="60000"/>
    <n v="156533.97000000003"/>
    <s v="Received Through UPI App"/>
    <s v="Google Pay App"/>
    <x v="304"/>
    <m/>
    <s v="2024-2025"/>
    <s v="CHECKED"/>
  </r>
  <r>
    <x v="930"/>
    <d v="2024-05-15T00:00:00"/>
    <s v="   BY TRANSFER-UPI/CR/413636331630/GOOGLE I/utib/goog-payme/UPI--"/>
    <s v="TRANSFER FROM 4897734162099"/>
    <m/>
    <n v="5"/>
    <n v="156538.97000000003"/>
    <s v="Earning From UPI App"/>
    <s v="Google Pay App"/>
    <x v="125"/>
    <m/>
    <s v="2024-2025"/>
    <s v="CHECKED"/>
  </r>
  <r>
    <x v="931"/>
    <d v="2024-05-18T00:00:00"/>
    <s v="   FI Txn @ CSP outlet-014764144932115466 AEPS WDL TXN @KO 1A900867--"/>
    <s v="TRANSFER TO 35749786402                           "/>
    <n v="10000"/>
    <m/>
    <n v="146538.97000000003"/>
    <s v="Cash Withdrwal"/>
    <m/>
    <x v="174"/>
    <m/>
    <s v="2024-2025"/>
    <s v="CHECKED"/>
  </r>
  <r>
    <x v="932"/>
    <d v="2024-05-21T00:00:00"/>
    <s v="   TO TRANSFER-UPI/DR/414203830998/Jio Prep/YESB/paytm-jiom/40521--"/>
    <s v="TRANSFER TO 4897691162095"/>
    <n v="15"/>
    <m/>
    <n v="146523.97000000003"/>
    <s v="Mobile Recharge"/>
    <s v="Google Pay App"/>
    <x v="262"/>
    <m/>
    <s v="2024-2025"/>
    <s v="CHECKED"/>
  </r>
  <r>
    <x v="933"/>
    <d v="2024-05-25T00:00:00"/>
    <s v="   TO TRANSFER-UPI/DR/414663545452/Jio Post/YESB/paytm-5381/40525--"/>
    <s v="TRANSFER TO 4897695162091"/>
    <n v="234.82"/>
    <m/>
    <n v="146289.15000000002"/>
    <s v="Mobile Recharge"/>
    <s v="Google Pay App"/>
    <x v="18"/>
    <m/>
    <s v="2024-2025"/>
    <s v="CHECKED"/>
  </r>
  <r>
    <x v="934"/>
    <d v="2024-05-26T00:00:00"/>
    <s v="   TO TRANSFER-UPI/DR/414700731916/SHREE KR/HDFC/vyapar.170/Mohit--"/>
    <s v="TRANSFER TO 4897696162090"/>
    <n v="970"/>
    <m/>
    <n v="145319.15000000002"/>
    <s v="Transfer Through UPI App"/>
    <s v="Google Pay App"/>
    <x v="314"/>
    <s v="ear medicine from hanumangarh"/>
    <s v="2024-2025"/>
    <s v="CHECKED"/>
  </r>
  <r>
    <x v="935"/>
    <d v="2024-06-01T00:00:00"/>
    <s v="   BY TRANSFER-NEFT*RBIS0GORJEP*RBI1532408536713*TREASURY OFFICE--"/>
    <s v="TRANSFER FROM 4698182044309"/>
    <m/>
    <n v="46664"/>
    <n v="191983.15000000002"/>
    <s v="Salary"/>
    <m/>
    <x v="0"/>
    <m/>
    <s v="2024-2025"/>
    <s v="CHECKED"/>
  </r>
  <r>
    <x v="936"/>
    <d v="2024-06-02T00:00:00"/>
    <s v="   TO TRANSFER-UPI/DR/415410214460/RELIANCE/CITI/jio@citiba/JIO20--"/>
    <s v="TRANSFER TO 4897696162090"/>
    <n v="209"/>
    <m/>
    <n v="191774.15000000002"/>
    <s v="Mobile Recharge"/>
    <s v="Google Pay App"/>
    <x v="35"/>
    <m/>
    <s v="2024-2025"/>
    <s v="CHECKED"/>
  </r>
  <r>
    <x v="937"/>
    <d v="2024-06-04T00:00:00"/>
    <s v="   BY TRANSFER-NEFT*YESB0000001*YESEB41561732694*ZERODHA BROKING--"/>
    <s v="TRANSFER FROM 4698174044309"/>
    <m/>
    <n v="176.04"/>
    <n v="191950.19000000003"/>
    <s v="Received Through Net Banking"/>
    <m/>
    <x v="317"/>
    <m/>
    <s v="2024-2025"/>
    <s v="2. pending to check zerodha broking"/>
  </r>
  <r>
    <x v="937"/>
    <d v="2024-06-04T00:00:00"/>
    <s v="   TO TRANSFER-UPI/DR/415622828047/ROHIT KU/SBIN/jainrohit2/UPI--"/>
    <s v="TRANSFER TO 4897691162095"/>
    <n v="100000"/>
    <m/>
    <n v="91950.190000000031"/>
    <s v="Transfer Through UPI App"/>
    <s v="Google Pay App"/>
    <x v="318"/>
    <m/>
    <s v="2024-2025"/>
    <s v="8. Family Transfers"/>
  </r>
  <r>
    <x v="937"/>
    <d v="2024-06-04T00:00:00"/>
    <s v="   TO TRANSFER-SBIYA24156120604992501420-Transfer to fa--"/>
    <s v="TRANSFER TO 20078643908                           "/>
    <n v="50000"/>
    <m/>
    <n v="41950.190000000031"/>
    <s v="Transfer Through Net Banking"/>
    <m/>
    <x v="319"/>
    <m/>
    <s v="2024-2025"/>
    <s v="8. Family Transfers"/>
  </r>
  <r>
    <x v="938"/>
    <d v="2024-06-08T00:00:00"/>
    <s v="   TO TRANSFER-UPI/DR/416016784418/Policyba/YESB/paytm-8291/UPI--"/>
    <s v="TRANSFER TO 4897695162091"/>
    <n v="917"/>
    <m/>
    <n v="41033.190000000031"/>
    <s v="Transfer Through UPI App"/>
    <s v="Google Pay App"/>
    <x v="320"/>
    <m/>
    <s v="2024-2025"/>
    <s v="CHECKED"/>
  </r>
  <r>
    <x v="939"/>
    <d v="2024-06-10T00:00:00"/>
    <s v="   TO TRANSFER-UPI/DR/416218591515/61195523/sbin/6119552351/UPI--"/>
    <s v="TRANSFER TO 4897690162095"/>
    <n v="4000"/>
    <m/>
    <n v="37033.190000000031"/>
    <s v="Transfer Through UPI App"/>
    <s v="Google Pay App"/>
    <x v="287"/>
    <m/>
    <s v="2024-2025"/>
    <s v="CHECKED"/>
  </r>
  <r>
    <x v="939"/>
    <d v="2024-06-10T00:00:00"/>
    <s v="   BY TRANSFER-UPI/CR/416219337731/SURENDRA/SBIN/surendrapa/UPI--"/>
    <s v="TRANSFER FROM 4897732162091"/>
    <m/>
    <n v="375"/>
    <n v="37408.190000000031"/>
    <s v="Received Through UPI App"/>
    <s v="Google Pay App"/>
    <x v="321"/>
    <m/>
    <s v="2024-2025"/>
    <s v="CHECKED"/>
  </r>
  <r>
    <x v="939"/>
    <d v="2024-06-10T00:00:00"/>
    <s v="   TO TRANSFER-UPI/DR/416219346899/SURENDER/ICIC/bana.suren/tea p--"/>
    <s v="TRANSFER TO 4897690162095"/>
    <n v="720"/>
    <m/>
    <n v="36688.190000000031"/>
    <s v="Transfer Through UPI App"/>
    <s v="Google Pay App"/>
    <x v="322"/>
    <m/>
    <s v="2024-2025"/>
    <s v="CHECKED"/>
  </r>
  <r>
    <x v="939"/>
    <d v="2024-06-10T00:00:00"/>
    <s v="   TO TRANSFER-UPI/DR/416237293678/SURENDER/ICIC/bana.suren/coole--"/>
    <s v="TRANSFER TO 4897690162095"/>
    <n v="2000"/>
    <m/>
    <n v="34688.190000000031"/>
    <s v="Transfer Through UPI App"/>
    <s v="Google Pay App"/>
    <x v="323"/>
    <m/>
    <s v="2024-2025"/>
    <s v="CHECKED"/>
  </r>
  <r>
    <x v="940"/>
    <d v="2024-06-11T00:00:00"/>
    <s v="   TO TRANSFER-UPI/DR/416359195059/Mohit  S/SBIN/mohitratho/UPI--"/>
    <s v="TRANSFER TO 4897691162095"/>
    <n v="4000"/>
    <m/>
    <n v="30688.190000000031"/>
    <s v="Transfer Through UPI App"/>
    <s v="Google Pay App"/>
    <x v="238"/>
    <m/>
    <s v="2024-2025"/>
    <s v="CHECKED"/>
  </r>
  <r>
    <x v="940"/>
    <d v="2024-06-11T00:00:00"/>
    <s v="   TO TRANSFER-UPI/DR/416399028808/Jio Prep/YESB/paytm-jiom/mmm--"/>
    <s v="TRANSFER TO 4897691162095"/>
    <n v="25"/>
    <m/>
    <n v="30663.190000000031"/>
    <s v="Mobile Recharge"/>
    <s v="Google Pay App"/>
    <x v="262"/>
    <m/>
    <s v="2024-2025"/>
    <s v="CHECKED"/>
  </r>
  <r>
    <x v="941"/>
    <d v="2024-06-20T00:00:00"/>
    <s v="   TO TRANSFER-UPI/DR/417227715920/ASHOK/YESB/q282193224/UPI--"/>
    <s v="TRANSFER TO 4897693162093"/>
    <n v="150"/>
    <m/>
    <n v="30513.190000000031"/>
    <s v="Transfer Through UPI App"/>
    <s v="Google Pay App"/>
    <x v="232"/>
    <m/>
    <s v="2024-2025"/>
    <s v="CHECKED"/>
  </r>
  <r>
    <x v="942"/>
    <d v="2024-06-24T00:00:00"/>
    <s v="   TO TRANSFER-UPI/DR/417697228370/Dream11/YESB/dream11@ye/Paying--"/>
    <s v="TRANSFER TO 4897690162095"/>
    <n v="1"/>
    <m/>
    <n v="30512.190000000031"/>
    <s v="Transfer Through UPI App"/>
    <s v="Google Pay App"/>
    <x v="104"/>
    <m/>
    <s v="2024-2025"/>
    <s v="CHECKED"/>
  </r>
  <r>
    <x v="943"/>
    <d v="2024-06-25T00:00:00"/>
    <s v="   TO TRANSFER-UPI/DR/417734496688/SHREE KR/HDFC/vyapar.170/mohit--"/>
    <s v="TRANSFER TO 4897691162095"/>
    <n v="1300"/>
    <m/>
    <n v="29212.190000000031"/>
    <s v="Transfer Through UPI App"/>
    <s v="Google Pay App"/>
    <x v="324"/>
    <m/>
    <s v="2024-2025"/>
    <s v="CHECKED"/>
  </r>
  <r>
    <x v="943"/>
    <d v="2024-06-25T00:00:00"/>
    <s v="   CREDIT INTEREST---"/>
    <m/>
    <m/>
    <n v="584"/>
    <n v="29796.190000000031"/>
    <s v="Credit Interest"/>
    <m/>
    <x v="0"/>
    <m/>
    <s v="2024-2025"/>
    <s v="CHECKED"/>
  </r>
  <r>
    <x v="944"/>
    <d v="2024-06-26T00:00:00"/>
    <s v="   TO TRANSFER-UPI/DR/417878899494/Jio Post/YESB/paytm-5381/Jio B--"/>
    <s v="TRANSFER TO 4897692162094"/>
    <n v="234.82"/>
    <m/>
    <n v="29561.370000000032"/>
    <s v="Mobile Recharge"/>
    <s v="Google Pay App"/>
    <x v="18"/>
    <m/>
    <s v="2024-2025"/>
    <s v="CHECKED"/>
  </r>
  <r>
    <x v="945"/>
    <d v="2024-06-29T00:00:00"/>
    <s v="   TO TRANSFER-UPI/DR/418151649917/ASHOK/YESB/q282193224/aata--"/>
    <s v="TRANSFER TO 4897695162091"/>
    <n v="300"/>
    <m/>
    <n v="29261.370000000032"/>
    <s v="Transfer Through UPI App"/>
    <s v="Google Pay App"/>
    <x v="232"/>
    <m/>
    <s v="2024-2025"/>
    <s v="1. House Expenses me abhi entry nhi ki hai"/>
  </r>
  <r>
    <x v="946"/>
    <d v="2024-06-30T00:00:00"/>
    <s v="   TO TRANSFER-UPI/DR/418284447251/RELIANCE/CITI/jio@citiba/JIO20--"/>
    <s v="TRANSFER TO 4897696162090"/>
    <n v="209"/>
    <m/>
    <n v="29052.370000000032"/>
    <s v="Mobile Recharge"/>
    <s v="Google Pay App"/>
    <x v="35"/>
    <m/>
    <s v="2024-2025"/>
    <s v="CHECKED"/>
  </r>
  <r>
    <x v="947"/>
    <d v="2024-07-01T00:00:00"/>
    <s v="   BY TRANSFER-NEFT*RBIS0GORJEP*RBI1832462079398*TREASURY OFFICE--"/>
    <s v="TRANSFER FROM 4697214044304"/>
    <m/>
    <n v="46664"/>
    <n v="75716.370000000024"/>
    <s v="Salary"/>
    <m/>
    <x v="0"/>
    <m/>
    <s v="2024-2025"/>
    <s v="CHECKED"/>
  </r>
  <r>
    <x v="947"/>
    <d v="2024-07-01T00:00:00"/>
    <s v="   TO TRANSFER-UPI/DR/418338312538/SURENDER/SBIN/9680404767/Tea P--"/>
    <s v="TRANSFER TO 4897690162095"/>
    <n v="580"/>
    <m/>
    <n v="75136.370000000024"/>
    <s v="Transfer Through UPI App"/>
    <s v="Google Pay App"/>
    <x v="322"/>
    <m/>
    <s v="2024-2025"/>
    <s v="1. House Expenses me abhi entry nhi ki hai"/>
  </r>
  <r>
    <x v="948"/>
    <d v="2024-07-02T00:00:00"/>
    <s v="   TO TRANSFER-UPI/DR/418471401064/Zerodha /HDFC/zerodhabro/08377--"/>
    <s v="TRANSFER TO 4897691162095"/>
    <n v="1000"/>
    <m/>
    <n v="74136.370000000024"/>
    <s v="Transfer Through UPI App"/>
    <s v="Google Pay App"/>
    <x v="325"/>
    <m/>
    <s v="2024-2025"/>
    <s v="6. pending to check with daily expenses sheet"/>
  </r>
  <r>
    <x v="948"/>
    <d v="2024-07-02T00:00:00"/>
    <s v="   TO TRANSFER-UPI/DR/418476033822/KRITIKA /AUBL/merchant71/milk--"/>
    <s v="TRANSFER TO 4897691162095"/>
    <n v="150"/>
    <m/>
    <n v="73986.370000000024"/>
    <s v="Transfer Through UPI App"/>
    <s v="Google Pay App"/>
    <x v="265"/>
    <m/>
    <s v="2024-2025"/>
    <s v="CHECKED"/>
  </r>
  <r>
    <x v="948"/>
    <d v="2024-07-02T00:00:00"/>
    <s v="   TO TRANSFER-UPI/DR/418402865505/Mr  VIJA/UTIB/8003688090/water--"/>
    <s v="TRANSFER TO 4897691162095"/>
    <n v="450"/>
    <m/>
    <n v="73536.370000000024"/>
    <s v="Transfer Through UPI App"/>
    <s v="Google Pay App"/>
    <x v="326"/>
    <m/>
    <s v="2024-2025"/>
    <s v="CHECKED"/>
  </r>
  <r>
    <x v="949"/>
    <d v="2024-07-03T00:00:00"/>
    <s v="   TO TRANSFER-UPI/DR/418526928543/KRITIKA /AUBL/merchant71/milk--"/>
    <s v="TRANSFER TO 4897692162094"/>
    <n v="150"/>
    <m/>
    <n v="73386.370000000024"/>
    <s v="Transfer Through UPI App"/>
    <s v="Google Pay App"/>
    <x v="265"/>
    <m/>
    <s v="2024-2025"/>
    <s v="CHECKED"/>
  </r>
  <r>
    <x v="949"/>
    <d v="2024-07-03T00:00:00"/>
    <s v="   TO TRANSFER-UPI/DR/418554360517/RACHANA /SBIN/9462908300/ratio--"/>
    <s v="TRANSFER TO 4897692162094"/>
    <n v="150"/>
    <m/>
    <n v="73236.370000000024"/>
    <s v="Transfer Through UPI App"/>
    <s v="Google Pay App"/>
    <x v="231"/>
    <m/>
    <s v="2024-2025"/>
    <s v="CHECKED"/>
  </r>
  <r>
    <x v="950"/>
    <d v="2024-07-04T00:00:00"/>
    <s v="   TO TRANSFER-UPI/DR/418672301745/KRITIKA /AUBL/merchant71/milk--"/>
    <s v="TRANSFER TO 4897693162093"/>
    <n v="150"/>
    <m/>
    <n v="73086.370000000024"/>
    <s v="Transfer Through UPI App"/>
    <s v="Google Pay App"/>
    <x v="265"/>
    <m/>
    <s v="2024-2025"/>
    <s v="CHECKED"/>
  </r>
  <r>
    <x v="951"/>
    <d v="2024-07-05T00:00:00"/>
    <s v="   BY TRANSFER-NEFT*YESB0000001*YESEB41871653220*ZERODHA BROKING--"/>
    <s v="TRANSFER FROM 4698170044302"/>
    <m/>
    <n v="911.5"/>
    <n v="73997.870000000024"/>
    <s v="Received Through Net Banking"/>
    <m/>
    <x v="327"/>
    <m/>
    <s v="2024-2025"/>
    <s v="2. pending to check zerodha broking"/>
  </r>
  <r>
    <x v="951"/>
    <d v="2024-07-05T00:00:00"/>
    <s v="   TO TRANSFER-UPI/DR/418721049752/KRITIKA /AUBL/merchant71/milk--"/>
    <s v="TRANSFER TO 4897694162092"/>
    <n v="150"/>
    <m/>
    <n v="73847.870000000024"/>
    <s v="Transfer Through UPI App"/>
    <s v="Google Pay App"/>
    <x v="265"/>
    <m/>
    <s v="2024-2025"/>
    <s v="CHECKED"/>
  </r>
  <r>
    <x v="951"/>
    <d v="2024-07-05T00:00:00"/>
    <s v="   BY TRANSFER-UPI/CR/455395185683/AJAY SHA/PUNB/asreal00@y/Payme--"/>
    <s v="TRANSFER FROM 4897736162097"/>
    <m/>
    <n v="10000"/>
    <n v="83847.870000000024"/>
    <s v="Received Through UPI App"/>
    <s v="Phone Pe App"/>
    <x v="328"/>
    <m/>
    <s v="2024-2025"/>
    <s v="CHECKED"/>
  </r>
  <r>
    <x v="952"/>
    <d v="2024-07-06T00:00:00"/>
    <s v="   TO TRANSFER-UPI/DR/418877636247/Mr  VIKR/YESB/q028962466/sabji--"/>
    <s v="TRANSFER TO 4897695162091"/>
    <n v="100"/>
    <m/>
    <n v="83747.870000000024"/>
    <s v="Transfer Through UPI App"/>
    <s v="Google Pay App"/>
    <x v="233"/>
    <m/>
    <s v="2024-2025"/>
    <s v="CHECKED"/>
  </r>
  <r>
    <x v="952"/>
    <d v="2024-07-06T00:00:00"/>
    <s v="   TO TRANSFER-UPI/DR/418877762441/KRITIKA /AUBL/merchant71/milk--"/>
    <s v="TRANSFER TO 4897695162091"/>
    <n v="150"/>
    <m/>
    <n v="83597.870000000024"/>
    <s v="Transfer Through UPI App"/>
    <s v="Google Pay App"/>
    <x v="265"/>
    <m/>
    <s v="2024-2025"/>
    <s v="CHECKED"/>
  </r>
  <r>
    <x v="952"/>
    <d v="2024-07-06T00:00:00"/>
    <s v="   TO TRANSFER-UPI/DR/418806741008/Google I/UTIB/gpay-utili/UPI--"/>
    <s v="TRANSFER TO 4897695162091"/>
    <n v="708"/>
    <m/>
    <n v="82889.870000000024"/>
    <s v="Electricity Bill"/>
    <s v="Google Pay App"/>
    <x v="36"/>
    <m/>
    <s v="2024-2025"/>
    <s v="CHECKED"/>
  </r>
  <r>
    <x v="953"/>
    <d v="2024-07-07T00:00:00"/>
    <s v="   BY TRANSFER-UPI/CR/418945348607/GOOGLE I/utib/goog-payme/UPI--"/>
    <s v="TRANSFER FROM 4897738162095"/>
    <m/>
    <n v="6"/>
    <n v="82895.870000000024"/>
    <s v="Earning From UPI App"/>
    <s v="Google Pay App"/>
    <x v="125"/>
    <m/>
    <s v="2024-2025"/>
    <s v="CHECKED"/>
  </r>
  <r>
    <x v="953"/>
    <d v="2024-07-07T00:00:00"/>
    <s v="   TO TRANSFER-UPI/DR/418934811685/JASAVANT/YESB/q630340533/fruit--"/>
    <s v="TRANSFER TO 4897696162090"/>
    <n v="250"/>
    <m/>
    <n v="82645.870000000024"/>
    <s v="Transfer Through UPI App"/>
    <s v="Google Pay App"/>
    <x v="329"/>
    <m/>
    <s v="2024-2025"/>
    <s v="6. pending to check with daily expenses sheet"/>
  </r>
  <r>
    <x v="953"/>
    <d v="2024-07-07T00:00:00"/>
    <s v="   TO TRANSFER-UPI/DR/418935075070/KRITIKA /AUBL/merchant71/milk--"/>
    <s v="TRANSFER TO 4897696162090"/>
    <n v="150"/>
    <m/>
    <n v="82495.870000000024"/>
    <s v="Transfer Through UPI App"/>
    <s v="Google Pay App"/>
    <x v="265"/>
    <m/>
    <s v="2024-2025"/>
    <s v="CHECKED"/>
  </r>
  <r>
    <x v="953"/>
    <d v="2024-07-07T00:00:00"/>
    <s v="   TO TRANSFER-UPI/DR/418953629923/RELIANCE/CITI/jio@citiba/JIO20--"/>
    <s v="TRANSFER TO 4897696162090"/>
    <n v="29"/>
    <m/>
    <n v="82466.870000000024"/>
    <s v="Mobile Recharge"/>
    <s v="Google Pay App"/>
    <x v="262"/>
    <m/>
    <s v="2024-2025"/>
    <s v="CHECKED"/>
  </r>
  <r>
    <x v="954"/>
    <d v="2024-07-08T00:00:00"/>
    <s v="   TO TRANSFER-UPI/DR/419078346361/S B BOOK/YESB/q833408097/srish--"/>
    <s v="TRANSFER TO 4897690162095"/>
    <n v="575"/>
    <m/>
    <n v="81891.870000000024"/>
    <s v="Transfer Through UPI App"/>
    <s v="Google Pay App"/>
    <x v="330"/>
    <m/>
    <s v="2024-2025"/>
    <s v="CHECKED"/>
  </r>
  <r>
    <x v="954"/>
    <d v="2024-07-08T00:00:00"/>
    <s v="   TO TRANSFER-UPI/DR/419078420457/KRITIKA /AUBL/merchant71/milk--"/>
    <s v="TRANSFER TO 4897690162095"/>
    <n v="150"/>
    <m/>
    <n v="81741.870000000024"/>
    <s v="Transfer Through UPI App"/>
    <s v="Google Pay App"/>
    <x v="265"/>
    <m/>
    <s v="2024-2025"/>
    <s v="CHECKED"/>
  </r>
  <r>
    <x v="955"/>
    <d v="2024-07-09T00:00:00"/>
    <s v="   TO TRANSFER-UPI/DR/419115140328/KRITIKA /AUBL/merchant71/milk--"/>
    <s v="TRANSFER TO 4897691162095"/>
    <n v="150"/>
    <m/>
    <n v="81591.870000000024"/>
    <s v="Transfer Through UPI App"/>
    <s v="Google Pay App"/>
    <x v="265"/>
    <m/>
    <s v="2024-2025"/>
    <s v="CHECKED"/>
  </r>
  <r>
    <x v="956"/>
    <d v="2024-07-10T00:00:00"/>
    <s v="   TO TRANSFER-UPI/DR/419257746838/Mohit  S/SBIN/mohitratho/UPI--"/>
    <s v="TRANSFER TO 4897692162094"/>
    <n v="4000"/>
    <m/>
    <n v="77591.870000000024"/>
    <s v="Transfer Through UPI App"/>
    <s v="Google Pay App"/>
    <x v="238"/>
    <m/>
    <s v="2024-2025"/>
    <s v="CHECKED"/>
  </r>
  <r>
    <x v="956"/>
    <d v="2024-07-10T00:00:00"/>
    <s v="   TO TRANSFER-UPI/DR/419260688036/KRITIKA /AUBL/merchant71/milk--"/>
    <s v="TRANSFER TO 4897692162094"/>
    <n v="150"/>
    <m/>
    <n v="77441.870000000024"/>
    <s v="Transfer Through UPI App"/>
    <s v="Google Pay App"/>
    <x v="265"/>
    <m/>
    <s v="2024-2025"/>
    <s v="CHECKED"/>
  </r>
  <r>
    <x v="957"/>
    <d v="2024-07-11T00:00:00"/>
    <s v="   TO TRANSFER-UPI/DR/419314206597/KRITIKA /AUBL/merchant71/milk--"/>
    <s v="TRANSFER TO 4897693162093"/>
    <n v="170"/>
    <m/>
    <n v="77271.870000000024"/>
    <s v="Transfer Through UPI App"/>
    <s v="Google Pay App"/>
    <x v="265"/>
    <m/>
    <s v="2024-2025"/>
    <s v="1. House Expenses me abhi entry nhi ki hai"/>
  </r>
  <r>
    <x v="958"/>
    <d v="2024-07-12T00:00:00"/>
    <s v="   TO TRANSFER-UPI/DR/419492211412/KRITIKA /AUBL/merchant71/milk--"/>
    <s v="TRANSFER TO 4897694162092"/>
    <n v="100"/>
    <m/>
    <n v="77171.870000000024"/>
    <s v="Transfer Through UPI App"/>
    <s v="Google Pay App"/>
    <x v="265"/>
    <m/>
    <s v="2024-2025"/>
    <s v="CHECKED"/>
  </r>
  <r>
    <x v="959"/>
    <d v="2024-07-13T00:00:00"/>
    <s v="   TO TRANSFER-UPI/DR/419511279186/Zerodha/YESB/zerodhabro/532188--"/>
    <s v="TRANSFER TO 4897695162091"/>
    <n v="1000"/>
    <m/>
    <n v="76171.870000000024"/>
    <s v="Transfer Through UPI App"/>
    <s v="Google Pay App"/>
    <x v="331"/>
    <m/>
    <s v="2024-2025"/>
    <s v="6. pending to check with daily expenses sheet"/>
  </r>
  <r>
    <x v="959"/>
    <d v="2024-07-13T00:00:00"/>
    <s v="   TO TRANSFER-UPI/DR/419533108549/AMARPURA/YESB/q602775725/UPI--"/>
    <s v="TRANSFER TO 4897695162091"/>
    <n v="180"/>
    <m/>
    <n v="75991.870000000024"/>
    <s v="Transfer Through UPI App"/>
    <s v="Google Pay App"/>
    <x v="332"/>
    <m/>
    <s v="2024-2025"/>
    <s v="CHECKED"/>
  </r>
  <r>
    <x v="959"/>
    <d v="2024-07-13T00:00:00"/>
    <s v="   BY TRANSFER-UPI/CR/419518964804/BHAVANA /SBIN/bhavanajai/UPI--"/>
    <s v="TRANSFER FROM 4897737162096"/>
    <m/>
    <n v="180"/>
    <n v="76171.870000000024"/>
    <s v="Received Through UPI App"/>
    <s v="Google Pay App"/>
    <x v="333"/>
    <m/>
    <s v="2024-2025"/>
    <s v="CHECKED"/>
  </r>
  <r>
    <x v="959"/>
    <d v="2024-07-13T00:00:00"/>
    <s v="   TO TRANSFER-UPI/DR/419541318935/ANKUSH C/YESB/paytmqr550/ratio--"/>
    <s v="TRANSFER TO 4897695162091"/>
    <n v="695"/>
    <m/>
    <n v="75476.870000000024"/>
    <s v="Transfer Through UPI App"/>
    <s v="Google Pay App"/>
    <x v="231"/>
    <m/>
    <s v="2024-2025"/>
    <s v="CHECKED"/>
  </r>
  <r>
    <x v="959"/>
    <d v="2024-07-13T00:00:00"/>
    <s v="   TO TRANSFER-UPI/DR/419542955004/KRITIKA /AUBL/merchant71/milk--"/>
    <s v="TRANSFER TO 4897695162091"/>
    <n v="150"/>
    <m/>
    <n v="75326.870000000024"/>
    <s v="Transfer Through UPI App"/>
    <s v="Google Pay App"/>
    <x v="265"/>
    <m/>
    <s v="2024-2025"/>
    <s v="CHECKED"/>
  </r>
  <r>
    <x v="960"/>
    <d v="2024-07-14T00:00:00"/>
    <s v="   TO TRANSFER-UPI/DR/419679434047/KRITIKA /AUBL/merchant71/milk--"/>
    <s v="TRANSFER TO 4897696162090"/>
    <n v="150"/>
    <m/>
    <n v="75176.870000000024"/>
    <s v="Transfer Through UPI App"/>
    <s v="Google Pay App"/>
    <x v="265"/>
    <m/>
    <s v="2024-2025"/>
    <s v="CHECKED"/>
  </r>
  <r>
    <x v="961"/>
    <d v="2024-07-15T00:00:00"/>
    <s v="   FI Txn @ CSP outlet-018532880159972041 AEPS WDL TXN @KO 1A900867--"/>
    <s v="TRANSFER TO 35749786402                           "/>
    <n v="10000"/>
    <m/>
    <n v="65176.870000000024"/>
    <s v="Cash Withdrwal"/>
    <m/>
    <x v="174"/>
    <m/>
    <s v="2024-2025"/>
    <s v="CHECKED"/>
  </r>
  <r>
    <x v="961"/>
    <d v="2024-07-15T00:00:00"/>
    <s v="   TO TRANSFER-UPI/DR/419719157011/KRITIKA /AUBL/merchant71/milk--"/>
    <s v="TRANSFER TO 4897690162095"/>
    <n v="150"/>
    <m/>
    <n v="65026.870000000024"/>
    <s v="Transfer Through UPI App"/>
    <s v="Google Pay App"/>
    <x v="265"/>
    <m/>
    <s v="2024-2025"/>
    <s v="1. House Expenses me abhi entry nhi ki hai"/>
  </r>
  <r>
    <x v="961"/>
    <d v="2024-07-15T00:00:00"/>
    <s v="   TO TRANSFER-UPI/DR/419756130538/KRITIKA /AUBL/merchant71/milk--"/>
    <s v="TRANSFER TO 4897690162095"/>
    <n v="100"/>
    <m/>
    <n v="64926.870000000024"/>
    <s v="Transfer Through UPI App"/>
    <s v="Google Pay App"/>
    <x v="265"/>
    <m/>
    <s v="2024-2025"/>
    <s v="1. House Expenses me abhi entry nhi ki hai"/>
  </r>
  <r>
    <x v="962"/>
    <d v="2024-07-16T00:00:00"/>
    <s v="   TO TRANSFER-UPI/DR/419873888638/LAVISH C/YESB/paytmqrzox/medic--"/>
    <s v="TRANSFER TO 4897691162095"/>
    <n v="330"/>
    <m/>
    <n v="64596.870000000024"/>
    <s v="Transfer Through UPI App"/>
    <s v="Google Pay App"/>
    <x v="234"/>
    <m/>
    <s v="2024-2025"/>
    <s v="CHECKED"/>
  </r>
  <r>
    <x v="962"/>
    <d v="2024-07-16T00:00:00"/>
    <s v="   TO TRANSFER-UPI/DR/419874268879/KRITIKA /AUBL/merchant71/milk--"/>
    <s v="TRANSFER TO 4897691162095"/>
    <n v="100"/>
    <m/>
    <n v="64496.870000000024"/>
    <s v="Transfer Through UPI App"/>
    <s v="Google Pay App"/>
    <x v="265"/>
    <m/>
    <s v="2024-2025"/>
    <s v="CHECKED"/>
  </r>
  <r>
    <x v="963"/>
    <d v="2024-07-17T00:00:00"/>
    <s v="   TO TRANSFER-UPI/DR/419911575709/KRITIKA /AUBL/merchant71/milk--"/>
    <s v="TRANSFER TO 4897692162094"/>
    <n v="230"/>
    <m/>
    <n v="64266.870000000024"/>
    <s v="Transfer Through UPI App"/>
    <s v="Google Pay App"/>
    <x v="265"/>
    <m/>
    <s v="2024-2025"/>
    <s v="CHECKED"/>
  </r>
  <r>
    <x v="964"/>
    <d v="2024-07-18T00:00:00"/>
    <s v="   TO TRANSFER-UPI/DR/420058574105/Mr  VIKR/YESB/q028962466/sabji--"/>
    <s v="TRANSFER TO 4897693162093"/>
    <n v="40"/>
    <m/>
    <n v="64226.870000000024"/>
    <s v="Transfer Through UPI App"/>
    <s v="Google Pay App"/>
    <x v="233"/>
    <m/>
    <s v="2024-2025"/>
    <s v="CHECKED"/>
  </r>
  <r>
    <x v="964"/>
    <d v="2024-07-18T00:00:00"/>
    <s v="   TO TRANSFER-UPI/DR/420058625101/KRITIKA /AUBL/merchant71/milk--"/>
    <s v="TRANSFER TO 4897693162093"/>
    <n v="200"/>
    <m/>
    <n v="64026.870000000024"/>
    <s v="Transfer Through UPI App"/>
    <s v="Google Pay App"/>
    <x v="265"/>
    <m/>
    <s v="2024-2025"/>
    <s v="CHECKED"/>
  </r>
  <r>
    <x v="965"/>
    <d v="2024-07-19T00:00:00"/>
    <s v="   TO TRANSFER-UPI/DR/420104504363/SAURABH/YESB/paytmqr13c/black--"/>
    <s v="TRANSFER TO 4897694162092"/>
    <n v="210"/>
    <m/>
    <n v="63816.870000000024"/>
    <s v="Transfer Through UPI App"/>
    <s v="Google Pay App"/>
    <x v="334"/>
    <m/>
    <s v="2024-2025"/>
    <s v="CHECKED"/>
  </r>
  <r>
    <x v="965"/>
    <d v="2024-07-19T00:00:00"/>
    <s v="   TO TRANSFER-UPI/DR/420104600695/NAMDHARI/HDFC/vyapar.170/coole--"/>
    <s v="TRANSFER TO 4897694162092"/>
    <n v="130"/>
    <m/>
    <n v="63686.870000000024"/>
    <s v="Transfer Through UPI App"/>
    <s v="Google Pay App"/>
    <x v="335"/>
    <m/>
    <s v="2024-2025"/>
    <s v="CHECKED"/>
  </r>
  <r>
    <x v="965"/>
    <d v="2024-07-19T00:00:00"/>
    <s v="   TO TRANSFER-UPI/DR/420104629328/NAMDHARI/HDFC/vyapar.170/UPI--"/>
    <s v="TRANSFER TO 4897694162092"/>
    <n v="10"/>
    <m/>
    <n v="63676.870000000024"/>
    <s v="Transfer Through UPI App"/>
    <s v="Google Pay App"/>
    <x v="336"/>
    <m/>
    <s v="2024-2025"/>
    <s v="CHECKED"/>
  </r>
  <r>
    <x v="965"/>
    <d v="2024-07-19T00:00:00"/>
    <s v="   TO TRANSFER-UPI/DR/420109325824/KRITIKA /AUBL/merchant71/milk--"/>
    <s v="TRANSFER TO 4897694162092"/>
    <n v="200"/>
    <m/>
    <n v="63476.870000000024"/>
    <s v="Transfer Through UPI App"/>
    <s v="Google Pay App"/>
    <x v="265"/>
    <m/>
    <s v="2024-2025"/>
    <s v="CHECKED"/>
  </r>
  <r>
    <x v="965"/>
    <d v="2024-07-19T00:00:00"/>
    <s v="   TO TRANSFER-UPI/DR/420109642612/ASHOK/YESB/q282193224/aata--"/>
    <s v="TRANSFER TO 4897694162092"/>
    <n v="240"/>
    <m/>
    <n v="63236.870000000024"/>
    <s v="Transfer Through UPI App"/>
    <s v="Google Pay App"/>
    <x v="232"/>
    <m/>
    <s v="2024-2025"/>
    <s v="CHECKED"/>
  </r>
  <r>
    <x v="965"/>
    <d v="2024-07-19T00:00:00"/>
    <s v="   TO TRANSFER-UPI/DR/420149445415/HP PAY D/HDFC/hppaydirec/hp ga--"/>
    <s v="TRANSFER TO 4897695162091"/>
    <n v="834"/>
    <m/>
    <n v="62402.870000000024"/>
    <s v="Transfer Through UPI App"/>
    <s v="Google Pay App"/>
    <x v="113"/>
    <m/>
    <s v="2024-2025"/>
    <s v="CHECKED"/>
  </r>
  <r>
    <x v="966"/>
    <d v="2024-07-20T00:00:00"/>
    <s v="   TO TRANSFER-UPI/DR/420254159291/KRITIKA /AUBL/merchant71/milk--"/>
    <s v="TRANSFER TO 4897695162091"/>
    <n v="200"/>
    <m/>
    <n v="62202.870000000024"/>
    <s v="Transfer Through UPI App"/>
    <s v="Google Pay App"/>
    <x v="265"/>
    <m/>
    <s v="2024-2025"/>
    <s v="CHECKED"/>
  </r>
  <r>
    <x v="967"/>
    <d v="2024-07-21T00:00:00"/>
    <s v="   TO TRANSFER-UPI/DR/420302472466/Mr ROHIT/YESB/q189340045/icecr--"/>
    <s v="TRANSFER TO 4897696162090"/>
    <n v="80"/>
    <m/>
    <n v="62122.870000000024"/>
    <s v="Transfer Through UPI App"/>
    <s v="Google Pay App"/>
    <x v="337"/>
    <m/>
    <s v="2024-2025"/>
    <s v="CHECKED"/>
  </r>
  <r>
    <x v="967"/>
    <d v="2024-07-21T00:00:00"/>
    <s v="   TO TRANSFER-UPI/DR/420303458570/KRITIKA /AUBL/merchant71/milk--"/>
    <s v="TRANSFER TO 4897696162090"/>
    <n v="200"/>
    <m/>
    <n v="61922.870000000024"/>
    <s v="Transfer Through UPI App"/>
    <s v="Google Pay App"/>
    <x v="265"/>
    <m/>
    <s v="2024-2025"/>
    <s v="CHECKED"/>
  </r>
  <r>
    <x v="967"/>
    <d v="2024-07-21T00:00:00"/>
    <s v="   TO TRANSFER-UPI/DR/420305069329/Buta Singh/YESB/q114127262/hai--"/>
    <s v="TRANSFER TO 4897696162090"/>
    <n v="100"/>
    <m/>
    <n v="61822.870000000024"/>
    <s v="Transfer Through UPI App"/>
    <s v="Google Pay App"/>
    <x v="338"/>
    <m/>
    <s v="2024-2025"/>
    <s v="CHECKED"/>
  </r>
  <r>
    <x v="967"/>
    <d v="2024-07-21T00:00:00"/>
    <s v="   TO TRANSFER-UPI/DR/420329410257/SAURABH/YESB/paytmqr13c/grocer--"/>
    <s v="TRANSFER TO 4897696162090"/>
    <n v="490"/>
    <m/>
    <n v="61332.870000000024"/>
    <s v="Transfer Through UPI App"/>
    <s v="Google Pay App"/>
    <x v="231"/>
    <m/>
    <s v="2024-2025"/>
    <s v="CHECKED"/>
  </r>
  <r>
    <x v="968"/>
    <d v="2024-07-22T00:00:00"/>
    <s v="   TO TRANSFER-UPI/DR/420468467010/KRITIKA /AUBL/merchant71/milk--"/>
    <s v="TRANSFER TO 4897690162095"/>
    <n v="200"/>
    <m/>
    <n v="61132.870000000024"/>
    <s v="Transfer Through UPI App"/>
    <s v="Google Pay App"/>
    <x v="265"/>
    <m/>
    <s v="2024-2025"/>
    <s v="CHECKED"/>
  </r>
  <r>
    <x v="969"/>
    <d v="2024-07-23T00:00:00"/>
    <s v="   TO TRANSFER-UPI/DR/420502086712/Mr ROHIT/YESB/q461457191/UPI--"/>
    <s v="TRANSFER TO 4897691162095"/>
    <n v="70"/>
    <m/>
    <n v="61062.870000000024"/>
    <s v="Transfer Through UPI App"/>
    <s v="Google Pay App"/>
    <x v="339"/>
    <m/>
    <s v="2024-2025"/>
    <s v="CHECKED"/>
  </r>
  <r>
    <x v="969"/>
    <d v="2024-07-23T00:00:00"/>
    <s v="   TO TRANSFER-UPI/DR/420521539837/KRITIKA /AUBL/merchant71/milk--"/>
    <s v="TRANSFER TO 4897691162095"/>
    <n v="100"/>
    <m/>
    <n v="60962.870000000024"/>
    <s v="Transfer Through UPI App"/>
    <s v="Google Pay App"/>
    <x v="265"/>
    <m/>
    <s v="2024-2025"/>
    <s v="CHECKED"/>
  </r>
  <r>
    <x v="970"/>
    <d v="2024-07-24T00:00:00"/>
    <s v="   TO TRANSFER-UPI/DR/420649818506/RELIANCE/CITI/jio@citiba/JIO20--"/>
    <s v="TRANSFER TO 4897692162094"/>
    <n v="234.82"/>
    <m/>
    <n v="60728.050000000025"/>
    <s v="Mobile Recharge"/>
    <s v="Google Pay App"/>
    <x v="18"/>
    <m/>
    <s v="2024-2025"/>
    <s v="CHECKED"/>
  </r>
  <r>
    <x v="970"/>
    <d v="2024-07-24T00:00:00"/>
    <s v="   TO TRANSFER-UPI/DR/420672848489/LAVISH C/YESB/paytmqrzox/medic--"/>
    <s v="TRANSFER TO 4897692162094"/>
    <n v="40"/>
    <m/>
    <n v="60688.050000000025"/>
    <s v="Transfer Through UPI App"/>
    <s v="Google Pay App"/>
    <x v="234"/>
    <m/>
    <s v="2024-2025"/>
    <s v="CHECKED"/>
  </r>
  <r>
    <x v="970"/>
    <d v="2024-07-24T00:00:00"/>
    <s v="   TO TRANSFER-UPI/DR/420673137332/KRITIKA /AUBL/merchant71/milk--"/>
    <s v="TRANSFER TO 4897692162094"/>
    <n v="150"/>
    <m/>
    <n v="60538.050000000025"/>
    <s v="Transfer Through UPI App"/>
    <s v="Google Pay App"/>
    <x v="265"/>
    <m/>
    <s v="2024-2025"/>
    <s v="CHECKED"/>
  </r>
  <r>
    <x v="971"/>
    <d v="2024-07-25T00:00:00"/>
    <s v="   TO TRANSFER-UPI/DR/420705230254/KRITIKA /AUBL/merchant71/milk--"/>
    <s v="TRANSFER TO 4897693162093"/>
    <n v="200"/>
    <m/>
    <n v="60338.050000000025"/>
    <s v="Transfer Through UPI App"/>
    <s v="Google Pay App"/>
    <x v="265"/>
    <m/>
    <s v="2024-2025"/>
    <s v="CHECKED"/>
  </r>
  <r>
    <x v="972"/>
    <d v="2024-07-26T00:00:00"/>
    <s v="   TO TRANSFER-UPI/DR/420842212463/KRITIKA /AUBL/merchant71/milk--"/>
    <s v="TRANSFER TO 4897694162092"/>
    <n v="150"/>
    <m/>
    <n v="60188.050000000025"/>
    <s v="Transfer Through UPI App"/>
    <s v="Google Pay App"/>
    <x v="265"/>
    <m/>
    <s v="2024-2025"/>
    <s v="CHECKED"/>
  </r>
  <r>
    <x v="973"/>
    <d v="2024-07-27T00:00:00"/>
    <s v="   TO TRANSFER-UPI/DR/420991879367/KRITIKA /AUBL/merchant71/milk--"/>
    <s v="TRANSFER TO 4897695162091"/>
    <n v="210"/>
    <m/>
    <n v="59978.050000000025"/>
    <s v="Transfer Through UPI App"/>
    <s v="Google Pay App"/>
    <x v="265"/>
    <m/>
    <s v="2024-2025"/>
    <s v="1. House Expenses me abhi entry nhi ki hai"/>
  </r>
  <r>
    <x v="974"/>
    <d v="2024-07-28T00:00:00"/>
    <s v="   TO TRANSFER-UPI/DR/421042436188/KRITIKA /AUBL/merchant71/milk--"/>
    <s v="TRANSFER TO 4897696162090"/>
    <n v="200"/>
    <m/>
    <n v="59778.050000000025"/>
    <s v="Transfer Through UPI App"/>
    <s v="Google Pay App"/>
    <x v="265"/>
    <m/>
    <s v="2024-2025"/>
    <s v="CHECKED"/>
  </r>
  <r>
    <x v="974"/>
    <d v="2024-07-28T00:00:00"/>
    <s v="   TO TRANSFER-UPI/DR/421043012424/Mr ROHIT/YESB/q440516765/icecr--"/>
    <s v="TRANSFER TO 4897696162090"/>
    <n v="100"/>
    <m/>
    <n v="59678.050000000025"/>
    <s v="Transfer Through UPI App"/>
    <s v="Google Pay App"/>
    <x v="337"/>
    <m/>
    <s v="2024-2025"/>
    <s v="CHECKED"/>
  </r>
  <r>
    <x v="974"/>
    <d v="2024-07-28T00:00:00"/>
    <s v="   TO TRANSFER-UPI/DR/421060246759/RELIANCE/CITI/jio@citiba/JIO20--"/>
    <s v="TRANSFER TO 4897696162090"/>
    <n v="249"/>
    <m/>
    <n v="59429.050000000025"/>
    <s v="Mobile Recharge"/>
    <s v="Google Pay App"/>
    <x v="35"/>
    <m/>
    <s v="2024-2025"/>
    <s v="CHECKED"/>
  </r>
  <r>
    <x v="975"/>
    <d v="2024-07-29T00:00:00"/>
    <s v="   TO TRANSFER-UPI/DR/421184354535/RACHANA /SBIN/9462908300/ratio--"/>
    <s v="TRANSFER TO 4897690162095"/>
    <n v="600"/>
    <m/>
    <n v="58829.050000000025"/>
    <s v="Transfer Through UPI App"/>
    <s v="Google Pay App"/>
    <x v="231"/>
    <m/>
    <s v="2024-2025"/>
    <s v="CHECKED"/>
  </r>
  <r>
    <x v="975"/>
    <d v="2024-07-29T00:00:00"/>
    <s v="   TO TRANSFER-INB PPF--"/>
    <s v="IF41982985               TRANSFER TO 32500545461  "/>
    <n v="30000"/>
    <m/>
    <n v="28829.050000000025"/>
    <s v="ppf"/>
    <m/>
    <x v="0"/>
    <m/>
    <s v="2024-2025"/>
    <s v="CHECKED"/>
  </r>
  <r>
    <x v="975"/>
    <d v="2024-07-29T00:00:00"/>
    <s v="   TO TRANSFER-UPI/DR/421187124056/ASHOK/YESB/q282193224/aata--"/>
    <s v="TRANSFER TO 4897690162095"/>
    <n v="240"/>
    <m/>
    <n v="28589.050000000025"/>
    <s v="Transfer Through UPI App"/>
    <s v="Google Pay App"/>
    <x v="232"/>
    <m/>
    <s v="2024-2025"/>
    <s v="CHECKED"/>
  </r>
  <r>
    <x v="975"/>
    <d v="2024-07-29T00:00:00"/>
    <s v="   TO TRANSFER-UPI/DR/421187770928/KRITIKA /AUBL/merchant71/ghee--"/>
    <s v="TRANSFER TO 4897690162095"/>
    <n v="850"/>
    <m/>
    <n v="27739.050000000025"/>
    <s v="Transfer Through UPI App"/>
    <s v="Google Pay App"/>
    <x v="340"/>
    <m/>
    <s v="2024-2025"/>
    <s v="CHECKED"/>
  </r>
  <r>
    <x v="975"/>
    <d v="2024-07-29T00:00:00"/>
    <s v="   TO TRANSFER-UPI/DR/421100485324/RAJA  RAM/SBIN/8387848446/UPI--"/>
    <s v="TRANSFER TO 4897690162095"/>
    <n v="50"/>
    <m/>
    <n v="27689.050000000025"/>
    <s v="Transfer Through UPI App"/>
    <s v="Google Pay App"/>
    <x v="341"/>
    <m/>
    <s v="2024-2025"/>
    <s v="CHECKED"/>
  </r>
  <r>
    <x v="976"/>
    <d v="2024-07-30T00:00:00"/>
    <s v="   TO TRANSFER-UPI/DR/421230912310/KRITIKA /AUBL/merchant71/milk--"/>
    <s v="TRANSFER TO 4897691162095"/>
    <n v="200"/>
    <m/>
    <n v="27489.050000000025"/>
    <s v="Transfer Through UPI App"/>
    <s v="Google Pay App"/>
    <x v="342"/>
    <m/>
    <s v="2024-2025"/>
    <s v="CHECKED"/>
  </r>
  <r>
    <x v="976"/>
    <d v="2024-07-30T00:00:00"/>
    <s v="   TO TRANSFER-UPI/DR/421237270387/LALI COL/FDRL/bharatpe.9/Pay t--"/>
    <s v="TRANSFER TO 4897691162095"/>
    <n v="860"/>
    <m/>
    <n v="26629.050000000025"/>
    <s v="Transfer Through UPI App"/>
    <s v="Google Pay App"/>
    <x v="297"/>
    <m/>
    <s v="2024-2025"/>
    <s v="6. pending to check with daily expenses sheet"/>
  </r>
  <r>
    <x v="977"/>
    <d v="2024-07-31T00:00:00"/>
    <s v="   TO TRANSFER-UPI/DR/421361809684/LAVISH C/YESB/paytmqrzox/medic--"/>
    <s v="TRANSFER TO 4897692162094"/>
    <n v="220"/>
    <m/>
    <n v="26409.050000000025"/>
    <s v="Transfer Through UPI App"/>
    <s v="Google Pay App"/>
    <x v="234"/>
    <m/>
    <s v="2024-2025"/>
    <s v="6. pending to check with daily expenses sheet"/>
  </r>
  <r>
    <x v="977"/>
    <d v="2024-07-31T00:00:00"/>
    <s v="   TO TRANSFER-UPI/DR/421362976452/KRITIKA /AUBL/merchant71/milk--"/>
    <s v="TRANSFER TO 4897692162094"/>
    <n v="200"/>
    <m/>
    <n v="26209.050000000025"/>
    <s v="Transfer Through UPI App"/>
    <s v="Google Pay App"/>
    <x v="342"/>
    <m/>
    <s v="2024-2025"/>
    <s v="CHECKED"/>
  </r>
  <r>
    <x v="977"/>
    <d v="2024-07-31T00:00:00"/>
    <s v="   TO TRANSFER-UPI/DR/421363539633/Mr ROHIT/YESB/q440516765/icecr--"/>
    <s v="TRANSFER TO 4897692162094"/>
    <n v="50"/>
    <m/>
    <n v="26159.050000000025"/>
    <s v="Transfer Through UPI App"/>
    <s v="Google Pay App"/>
    <x v="337"/>
    <m/>
    <s v="2024-2025"/>
    <s v="CHECKED"/>
  </r>
  <r>
    <x v="977"/>
    <d v="2024-07-31T00:00:00"/>
    <s v="   TO TRANSFER-UPI/DR/421370495726/Ashvini  ./SBIN/ashviniak5/UPI--"/>
    <s v="TRANSFER TO 4897692162094"/>
    <n v="20"/>
    <m/>
    <n v="26139.050000000025"/>
    <s v="Transfer Through UPI App"/>
    <s v="Google Pay App"/>
    <x v="341"/>
    <m/>
    <s v="2024-2025"/>
    <s v="CHECKED"/>
  </r>
  <r>
    <x v="978"/>
    <d v="2024-08-01T00:00:00"/>
    <s v="   TO TRANSFER-UPI/DR/421402598531/Mr  VIKR/YESB/q028962466/sabji--"/>
    <s v="TRANSFER TO 4897693162093"/>
    <n v="560"/>
    <m/>
    <n v="25579.050000000025"/>
    <s v="Transfer Through UPI App"/>
    <s v="Google Pay App"/>
    <x v="233"/>
    <m/>
    <s v="2024-2025"/>
    <s v="CHECKED"/>
  </r>
  <r>
    <x v="978"/>
    <d v="2024-08-01T00:00:00"/>
    <s v="   BY TRANSFER-NEFT*RBIS0GORJEP*RBI2152430619780*TREASURY OFFICE--"/>
    <s v="TRANSFER FROM 4697181044308"/>
    <m/>
    <n v="48413"/>
    <n v="73992.050000000017"/>
    <s v="Salary"/>
    <m/>
    <x v="0"/>
    <m/>
    <s v="2024-2025"/>
    <s v="CHECKED"/>
  </r>
  <r>
    <x v="979"/>
    <d v="2024-08-02T00:00:00"/>
    <s v="   TO TRANSFER-UPI/DR/421539297226/Indian O/YESB/q79389278@/petro--"/>
    <s v="TRANSFER TO 4897694162092"/>
    <n v="500"/>
    <m/>
    <n v="73492.050000000017"/>
    <s v="Transfer Through UPI App"/>
    <s v="Google Pay App"/>
    <x v="343"/>
    <m/>
    <s v="2024-2025"/>
    <s v="CHECKED"/>
  </r>
  <r>
    <x v="979"/>
    <d v="2024-08-02T00:00:00"/>
    <s v="   BY TRANSFER-P07240854AFFB HPCL LPG SUBSIDY HPAP34D--"/>
    <s v="TRANSFER FROM 3199990105213"/>
    <m/>
    <n v="9.9499999999999993"/>
    <n v="73502.000000000015"/>
    <s v="Subsidy"/>
    <m/>
    <x v="6"/>
    <m/>
    <s v="2024-2025"/>
    <s v="CHECKED"/>
  </r>
  <r>
    <x v="980"/>
    <d v="2024-08-03T00:00:00"/>
    <s v="   TO TRANSFER-UPI/DR/421679964147/RACHANA /SBIN/9462908300/ratio--"/>
    <s v="TRANSFER TO 4897695162091"/>
    <n v="730"/>
    <m/>
    <n v="72772.000000000015"/>
    <s v="Transfer Through UPI App"/>
    <s v="Google Pay App"/>
    <x v="231"/>
    <m/>
    <s v="2024-2025"/>
    <s v="CHECKED"/>
  </r>
  <r>
    <x v="980"/>
    <d v="2024-08-03T00:00:00"/>
    <s v="   TO TRANSFER-UPI/DR/421690993450/Ashvini  ./SBIN/ashviniak5/UPI--"/>
    <s v="TRANSFER TO 4897695162091"/>
    <n v="30"/>
    <m/>
    <n v="72742.000000000015"/>
    <s v="Transfer Through UPI App"/>
    <s v="Google Pay App"/>
    <x v="341"/>
    <m/>
    <s v="2024-2025"/>
    <s v="6. pending to check with daily expenses sheet"/>
  </r>
  <r>
    <x v="980"/>
    <d v="2024-08-03T00:00:00"/>
    <s v="   TO TRANSFER-UPI/DR/421607507546/Mr ROHIT/YESB/q440516765/dinne--"/>
    <s v="TRANSFER TO 4897695162091"/>
    <n v="700"/>
    <m/>
    <n v="72042.000000000015"/>
    <s v="Transfer Through UPI App"/>
    <s v="Google Pay App"/>
    <x v="344"/>
    <m/>
    <s v="2024-2025"/>
    <s v="CHECKED"/>
  </r>
  <r>
    <x v="981"/>
    <d v="2024-08-05T00:00:00"/>
    <s v="   TO TRANSFER-UPI/DR/421884695017/ROHIT KU/SBIN/jainrohit2/UPI--"/>
    <s v="TRANSFER TO 4897690162095"/>
    <n v="40000"/>
    <m/>
    <n v="32042.000000000015"/>
    <s v="Transfer Through UPI App"/>
    <s v="Google Pay App"/>
    <x v="318"/>
    <m/>
    <s v="2024-2025"/>
    <s v="8. Family Transfers"/>
  </r>
  <r>
    <x v="981"/>
    <d v="2024-08-05T00:00:00"/>
    <s v="   TO TRANSFER-UPI/DR/421885683214/SURENDER/SBIN/9680404767/offic--"/>
    <s v="TRANSFER TO 4897690162095"/>
    <n v="495"/>
    <m/>
    <n v="31547.000000000015"/>
    <s v="Transfer Through UPI App"/>
    <s v="Google Pay App"/>
    <x v="322"/>
    <m/>
    <s v="2024-2025"/>
    <s v="CHECKED"/>
  </r>
  <r>
    <x v="982"/>
    <d v="2024-08-06T00:00:00"/>
    <s v="   BY TRANSFER-NEFT*YESB0000001*YESF342190106162*ZERODHA BROKING--"/>
    <s v="TRANSFER FROM 4697247044305"/>
    <m/>
    <n v="998.98"/>
    <n v="32545.980000000014"/>
    <s v="Received Through Net Banking"/>
    <m/>
    <x v="327"/>
    <m/>
    <s v="2024-2025"/>
    <s v="2. pending to check zerodha broking"/>
  </r>
  <r>
    <x v="983"/>
    <d v="2024-08-08T00:00:00"/>
    <s v="   TO TRANSFER-UPI/DR/422111820876/Mr  VIKR/YESB/q028962466/sbji--"/>
    <s v="TRANSFER TO 4897693162093"/>
    <n v="550"/>
    <m/>
    <n v="31995.980000000014"/>
    <s v="Transfer Through UPI App"/>
    <s v="Google Pay App"/>
    <x v="233"/>
    <m/>
    <s v="2024-2025"/>
    <s v="CHECKED"/>
  </r>
  <r>
    <x v="983"/>
    <d v="2024-08-08T00:00:00"/>
    <s v="   TO TRANSFER-UPI/DR/422112300599/Mr ROHIT/YESB/q440516765/icecr--"/>
    <s v="TRANSFER TO 4897693162093"/>
    <n v="55"/>
    <m/>
    <n v="31940.980000000014"/>
    <s v="Transfer Through UPI App"/>
    <s v="Google Pay App"/>
    <x v="337"/>
    <m/>
    <s v="2024-2025"/>
    <s v="CHECKED"/>
  </r>
  <r>
    <x v="984"/>
    <d v="2024-08-10T00:00:00"/>
    <s v="   TO TRANSFER-UPI/DR/422315399664/Mohit  S/SBIN/mohitratho/UPI--"/>
    <s v="TRANSFER TO 4897696162090"/>
    <n v="4000"/>
    <m/>
    <n v="27940.980000000014"/>
    <s v="Transfer Through UPI App"/>
    <s v="Google Pay App"/>
    <x v="238"/>
    <m/>
    <s v="2024-2025"/>
    <s v="CHECKED"/>
  </r>
  <r>
    <x v="985"/>
    <d v="2024-08-12T00:00:00"/>
    <s v="   TO TRANSFER-UPI/DR/422599806420/LALI COL/FDRL/bharatpe.9/Pay t--"/>
    <s v="TRANSFER TO 4897691162095"/>
    <n v="150"/>
    <m/>
    <n v="27790.980000000014"/>
    <s v="Transfer Through UPI App"/>
    <s v="Google Pay App"/>
    <x v="345"/>
    <m/>
    <s v="2024-2025"/>
    <s v="CHECKED"/>
  </r>
  <r>
    <x v="985"/>
    <d v="2024-08-12T00:00:00"/>
    <s v="   TO TRANSFER-UPI/DR/422599987823/Mr ROHIT/YESB/q440516765/UPI--"/>
    <s v="TRANSFER TO 4897691162095"/>
    <n v="20"/>
    <m/>
    <n v="27770.980000000014"/>
    <s v="Transfer Through UPI App"/>
    <s v="Google Pay App"/>
    <x v="346"/>
    <m/>
    <s v="2024-2025"/>
    <s v="6. pending to check with daily expenses sheet"/>
  </r>
  <r>
    <x v="985"/>
    <d v="2024-08-12T00:00:00"/>
    <s v="   TO TRANSFER-UPI/DR/422506469841/RAMAN  K/SBIN/q36229444@/photo--"/>
    <s v="TRANSFER TO 4897691162095"/>
    <n v="100"/>
    <m/>
    <n v="27670.980000000014"/>
    <s v="Transfer Through UPI App"/>
    <s v="Google Pay App"/>
    <x v="347"/>
    <m/>
    <s v="2024-2025"/>
    <s v="6. pending to check with daily expenses sheet"/>
  </r>
  <r>
    <x v="986"/>
    <d v="2024-08-13T00:00:00"/>
    <s v="   TO TRANSFER-UPI/DR/422671653006/SATISH K/PUNB/kumarsatis/satee--"/>
    <s v="TRANSFER TO 4897692162094"/>
    <n v="5000"/>
    <m/>
    <n v="22670.980000000014"/>
    <s v="Transfer Through UPI App"/>
    <s v="Google Pay App"/>
    <x v="348"/>
    <m/>
    <s v="2024-2025"/>
    <s v="CHECKED"/>
  </r>
  <r>
    <x v="986"/>
    <d v="2024-08-13T00:00:00"/>
    <s v="   TO TRANSFER-UPI/DR/422677188590/MADAN  LAL/SBIN/madanbhai9/UPI--"/>
    <s v="TRANSFER TO 4897692162094"/>
    <n v="30"/>
    <m/>
    <n v="22640.980000000014"/>
    <s v="Transfer Through UPI App"/>
    <s v="Google Pay App"/>
    <x v="349"/>
    <m/>
    <s v="2024-2025"/>
    <s v="CHECKED"/>
  </r>
  <r>
    <x v="986"/>
    <d v="2024-08-13T00:00:00"/>
    <s v="   TO TRANSFER-UPI/DR/422677608830/ASHOK/YESB/q282193224/aata--"/>
    <s v="TRANSFER TO 4897692162094"/>
    <n v="248"/>
    <m/>
    <n v="22392.980000000014"/>
    <s v="Transfer Through UPI App"/>
    <s v="Google Pay App"/>
    <x v="232"/>
    <m/>
    <s v="2024-2025"/>
    <s v="CHECKED"/>
  </r>
  <r>
    <x v="986"/>
    <d v="2024-08-13T00:00:00"/>
    <s v="   TO TRANSFER-UPI/DR/422679333714/SAURABH/YESB/paytmqr1tq/grocer--"/>
    <s v="TRANSFER TO 4897692162094"/>
    <n v="460"/>
    <m/>
    <n v="21932.980000000014"/>
    <s v="Transfer Through UPI App"/>
    <s v="Google Pay App"/>
    <x v="233"/>
    <m/>
    <s v="2024-2025"/>
    <s v="CHECKED"/>
  </r>
  <r>
    <x v="987"/>
    <d v="2024-08-15T00:00:00"/>
    <s v="   TO TRANSFER-UPI/DR/422839557813/ROJGAR C/UTIB/rojgarcoac/29725--"/>
    <s v="TRANSFER TO 4897694162092"/>
    <n v="199"/>
    <m/>
    <n v="21733.980000000014"/>
    <s v="Transfer Through UPI App"/>
    <s v="Google Pay App"/>
    <x v="350"/>
    <m/>
    <s v="2024-2025"/>
    <s v="CHECKED"/>
  </r>
  <r>
    <x v="987"/>
    <d v="2024-08-15T00:00:00"/>
    <s v="   TO TRANSFER-UPI/DR/422842365924/Mr  VIKR/YESB/q028962466/sbji--"/>
    <s v="TRANSFER TO 4897694162092"/>
    <n v="460"/>
    <m/>
    <n v="21273.980000000014"/>
    <s v="Transfer Through UPI App"/>
    <s v="Google Pay App"/>
    <x v="233"/>
    <m/>
    <s v="2024-2025"/>
    <s v="CHECKED"/>
  </r>
  <r>
    <x v="988"/>
    <d v="2024-08-18T00:00:00"/>
    <s v="   TO TRANSFER-UPI/DR/423158790678/Mr ROHIT/YESB/q440516765/UPI--"/>
    <s v="TRANSFER TO 4897690162095"/>
    <n v="50"/>
    <m/>
    <n v="21223.980000000014"/>
    <s v="Transfer Through UPI App"/>
    <s v="Google Pay App"/>
    <x v="339"/>
    <m/>
    <s v="2024-2025"/>
    <s v="6. pending to check with daily expenses sheet"/>
  </r>
  <r>
    <x v="988"/>
    <d v="2024-08-18T00:00:00"/>
    <s v="   TO TRANSFER-UPI/DR/423160349449/SAURABH/YESB/paytmqr13c/ration--"/>
    <s v="TRANSFER TO 4897690162095"/>
    <n v="515"/>
    <m/>
    <n v="20708.980000000014"/>
    <s v="Transfer Through UPI App"/>
    <s v="Google Pay App"/>
    <x v="231"/>
    <m/>
    <s v="2024-2025"/>
    <s v="CHECKED"/>
  </r>
  <r>
    <x v="989"/>
    <d v="2024-08-23T00:00:00"/>
    <s v="   BY TRANSFER-UPI/CR/460243625784/SURENDER/IPOS/9680404767/Payme--"/>
    <s v="TRANSFER FROM 4897737162096"/>
    <m/>
    <n v="1"/>
    <n v="20709.980000000014"/>
    <s v="Received Through UPI App"/>
    <s v="Phone Pe App"/>
    <x v="351"/>
    <m/>
    <s v="2024-2025"/>
    <s v="CHECKED"/>
  </r>
  <r>
    <x v="989"/>
    <d v="2024-08-23T00:00:00"/>
    <s v="   TO TRANSFER-UPI/DR/460243227911/SURENDER/IPOS/9680404767/Payme--"/>
    <s v="TRANSFER TO 4897695162091"/>
    <n v="1"/>
    <m/>
    <n v="20708.980000000014"/>
    <s v="Transfer Through UPI App"/>
    <s v="Phone Pe App"/>
    <x v="351"/>
    <m/>
    <s v="2024-2025"/>
    <s v="CHECKED"/>
  </r>
  <r>
    <x v="989"/>
    <d v="2024-08-23T00:00:00"/>
    <s v="   TO TRANSFER-UPI/DR/460222033390/SURENDER/IPOS/9680404767/Payme--"/>
    <s v="TRANSFER TO 4897695162091"/>
    <n v="10000"/>
    <m/>
    <n v="10708.980000000014"/>
    <s v="Transfer Through UPI App"/>
    <s v="Phone Pe App"/>
    <x v="351"/>
    <m/>
    <s v="2024-2025"/>
    <s v="CHECKED"/>
  </r>
  <r>
    <x v="989"/>
    <d v="2024-08-23T00:00:00"/>
    <s v="   BY TRANSFER-UPI/CR/460214457475/SURENDER/IPOS/9680404767/Payme--"/>
    <s v="TRANSFER FROM 4897737162096"/>
    <m/>
    <n v="10000"/>
    <n v="20708.980000000014"/>
    <s v="Received Through UPI App"/>
    <s v="Phone Pe App"/>
    <x v="351"/>
    <m/>
    <s v="2024-2025"/>
    <s v="CHECKED"/>
  </r>
  <r>
    <x v="990"/>
    <d v="2024-08-24T00:00:00"/>
    <s v="   TO TRANSFER-UPI/DR/423731067219/RAJA  RAM/SBIN/8387848446/UPI--"/>
    <s v="TRANSFER TO 4897696162090"/>
    <n v="30"/>
    <m/>
    <n v="20678.980000000014"/>
    <s v="Transfer Through UPI App"/>
    <s v="Google Pay App"/>
    <x v="341"/>
    <m/>
    <s v="2024-2025"/>
    <s v="CHECKED"/>
  </r>
  <r>
    <x v="991"/>
    <d v="2024-08-25T00:00:00"/>
    <s v="   TO TRANSFER-UPI/DR/423851251697/RELIANCE/CITI/jio@citiba/JIO20--"/>
    <s v="TRANSFER TO 4897690162095"/>
    <n v="234.82"/>
    <m/>
    <n v="20444.160000000014"/>
    <s v="Mobile Recharge"/>
    <s v="Google Pay App"/>
    <x v="18"/>
    <m/>
    <s v="2024-2025"/>
    <s v="CHECKED"/>
  </r>
  <r>
    <x v="991"/>
    <d v="2024-08-25T00:00:00"/>
    <s v="   TO TRANSFER-UPI/DR/423861226260/Jio Prep/YESB/paytm-jiom/divya--"/>
    <s v="TRANSFER TO 4897690162095"/>
    <n v="249"/>
    <m/>
    <n v="20195.160000000014"/>
    <s v="Mobile Recharge"/>
    <s v="Google Pay App"/>
    <x v="35"/>
    <m/>
    <s v="2024-2025"/>
    <s v="CHECKED"/>
  </r>
  <r>
    <x v="992"/>
    <d v="2024-08-26T00:00:00"/>
    <s v="   TO TRANSFER-UPI/DR/423972905303/RACHANA /SBIN/9462908300/UPI--"/>
    <s v="TRANSFER TO 4897691162095"/>
    <n v="30"/>
    <m/>
    <n v="20165.160000000014"/>
    <s v="Transfer Through UPI App"/>
    <s v="Google Pay App"/>
    <x v="231"/>
    <m/>
    <s v="2024-2025"/>
    <s v="CHECKED"/>
  </r>
  <r>
    <x v="993"/>
    <d v="2024-08-27T00:00:00"/>
    <s v="   TO TRANSFER-UPI/DR/424021509603/ASHOK/YESB/q282193224/aata--"/>
    <s v="TRANSFER TO 4897692162094"/>
    <n v="256"/>
    <m/>
    <n v="19909.160000000014"/>
    <s v="Transfer Through UPI App"/>
    <s v="Google Pay App"/>
    <x v="232"/>
    <m/>
    <s v="2024-2025"/>
    <s v="CHECKED"/>
  </r>
  <r>
    <x v="994"/>
    <d v="2024-08-28T00:00:00"/>
    <s v="   TO TRANSFER-UPI/DR/424168996861/Google I/UTIB/gpay-utili/UPI--"/>
    <s v="TRANSFER TO 4897693162093"/>
    <n v="3731"/>
    <m/>
    <n v="16178.160000000014"/>
    <s v="Electricity Bill"/>
    <s v="Google Pay App"/>
    <x v="36"/>
    <m/>
    <s v="2024-2025"/>
    <s v="CHECKED"/>
  </r>
  <r>
    <x v="994"/>
    <d v="2024-08-28T00:00:00"/>
    <s v="   TO TRANSFER-UPI/DR/424178203484/NAMDHARI/HDFC/vyapar.170/tubel--"/>
    <s v="TRANSFER TO 4897693162093"/>
    <n v="440"/>
    <m/>
    <n v="15738.160000000014"/>
    <s v="Transfer Through UPI App"/>
    <s v="Google Pay App"/>
    <x v="352"/>
    <m/>
    <s v="2024-2025"/>
    <s v="CHECKED"/>
  </r>
  <r>
    <x v="994"/>
    <d v="2024-08-28T00:00:00"/>
    <s v="   TO TRANSFER-UPI/DR/424178348374/Mr ROHIT/YESB/q440516765/UPI--"/>
    <s v="TRANSFER TO 4897693162093"/>
    <n v="20"/>
    <m/>
    <n v="15718.160000000014"/>
    <s v="Transfer Through UPI App"/>
    <s v="Google Pay App"/>
    <x v="339"/>
    <m/>
    <s v="2024-2025"/>
    <s v="CHECKED"/>
  </r>
  <r>
    <x v="995"/>
    <d v="2024-08-29T00:00:00"/>
    <s v="   TO TRANSFER-UPI/DR/424215802133/Mr MUKES/CBIN/8003615036/bike--"/>
    <s v="TRANSFER TO 4897694162092"/>
    <n v="620"/>
    <m/>
    <n v="15098.160000000014"/>
    <s v="Transfer Through UPI App"/>
    <s v="Google Pay App"/>
    <x v="282"/>
    <m/>
    <s v="2024-2025"/>
    <s v="CHECKED"/>
  </r>
  <r>
    <x v="995"/>
    <d v="2024-08-29T00:00:00"/>
    <s v="   TO TRANSFER-UPI/DR/424226861108/RAJA  RAM/SBIN/8387848446/UPI--"/>
    <s v="TRANSFER TO 4897694162092"/>
    <n v="30"/>
    <m/>
    <n v="15068.160000000014"/>
    <s v="Transfer Through UPI App"/>
    <s v="Google Pay App"/>
    <x v="341"/>
    <m/>
    <s v="2024-2025"/>
    <s v="CHECKED"/>
  </r>
  <r>
    <x v="996"/>
    <d v="2024-08-30T00:00:00"/>
    <s v="   TO TRANSFER-UPI/DR/424356518423/Buta Singh/YESB/q706402482/UPI--"/>
    <s v="TRANSFER TO 4897695162091"/>
    <n v="60"/>
    <m/>
    <n v="15008.160000000014"/>
    <s v="Transfer Through UPI App"/>
    <s v="Google Pay App"/>
    <x v="353"/>
    <m/>
    <s v="2024-2025"/>
    <s v="CHECKED"/>
  </r>
  <r>
    <x v="997"/>
    <d v="2024-08-31T00:00:00"/>
    <s v="   TO TRANSFER-UPI/DR/424410002050/RACHANA /SBIN/9462908300/ratio--"/>
    <s v="TRANSFER TO 4897696162090"/>
    <n v="1118"/>
    <m/>
    <n v="13890.160000000014"/>
    <s v="Transfer Through UPI App"/>
    <s v="Google Pay App"/>
    <x v="231"/>
    <m/>
    <s v="2024-2025"/>
    <s v="CHECKED"/>
  </r>
  <r>
    <x v="997"/>
    <d v="2024-08-31T00:00:00"/>
    <s v="   BY TRANSFER-UPI/CR/424486909622/GOOGLE I/utib/goog-payme/UPI--"/>
    <s v="TRANSFER FROM 4897738162095"/>
    <m/>
    <n v="5"/>
    <n v="13895.160000000014"/>
    <s v="Earning From UPI App"/>
    <s v="Google Pay App"/>
    <x v="125"/>
    <m/>
    <s v="2024-2025"/>
    <s v="CHECKED"/>
  </r>
  <r>
    <x v="997"/>
    <d v="2024-08-31T00:00:00"/>
    <s v="   TO TRANSFER-UPI/DR/424410822002/ANKUSH M/PUNB/ankusharor/milk--"/>
    <s v="TRANSFER TO 4897696162090"/>
    <n v="5000"/>
    <m/>
    <n v="8895.1600000000144"/>
    <s v="Transfer Through UPI App"/>
    <s v="Google Pay App"/>
    <x v="265"/>
    <m/>
    <s v="2024-2025"/>
    <s v="CHECKED"/>
  </r>
  <r>
    <x v="997"/>
    <d v="2024-08-31T00:00:00"/>
    <s v="   TO TRANSFER-UPI/DR/424444606271/Mr ROHIT/YESB/q440516765/ice c--"/>
    <s v="TRANSFER TO 4897696162090"/>
    <n v="50"/>
    <m/>
    <n v="8845.1600000000144"/>
    <s v="Transfer Through UPI App"/>
    <s v="Google Pay App"/>
    <x v="337"/>
    <m/>
    <s v="2024-2025"/>
    <s v="CHECKED"/>
  </r>
  <r>
    <x v="998"/>
    <d v="2024-09-01T00:00:00"/>
    <s v="   TO TRANSFER-UPI/DR/424582814170/Mr ROHIT/YESB/q440516765/UPI--"/>
    <s v="TRANSFER TO 4897690162095"/>
    <n v="60"/>
    <m/>
    <n v="8785.1600000000144"/>
    <s v="Transfer Through UPI App"/>
    <s v="Google Pay App"/>
    <x v="337"/>
    <m/>
    <s v="2024-2025"/>
    <s v="CHECKED"/>
  </r>
  <r>
    <x v="999"/>
    <d v="2024-09-02T00:00:00"/>
    <s v="   BY TRANSFER-NEFT*RBIS0GORJEP*RBI2462472213790*TREASURY OFFICE--"/>
    <s v="TRANSFER FROM 4697216044302"/>
    <m/>
    <n v="48413"/>
    <n v="57198.160000000018"/>
    <s v="Salary"/>
    <m/>
    <x v="0"/>
    <m/>
    <s v="2024-2025"/>
    <s v="CHECKED"/>
  </r>
  <r>
    <x v="1000"/>
    <d v="2024-09-04T00:00:00"/>
    <s v="   BY TRANSFER-UPI/CR/424835325877/DIVYA  J/SBIN/divya88jai/test--"/>
    <s v="TRANSFER FROM 4897735162098"/>
    <m/>
    <n v="1"/>
    <n v="57199.160000000018"/>
    <s v="Received Through UPI App"/>
    <s v="Google Pay App"/>
    <x v="354"/>
    <m/>
    <s v="2024-2025"/>
    <s v="CHECKED"/>
  </r>
  <r>
    <x v="1000"/>
    <d v="2024-09-04T00:00:00"/>
    <s v="   TO TRANSFER-UPI/DR/424856951755/RAJA  RAM/SBIN/8387848446/UPI--"/>
    <s v="TRANSFER TO 4897693162093"/>
    <n v="30"/>
    <m/>
    <n v="57169.160000000018"/>
    <s v="Transfer Through UPI App"/>
    <s v="Google Pay App"/>
    <x v="341"/>
    <m/>
    <s v="2024-2025"/>
    <s v="6. pending to check with daily expenses sheet"/>
  </r>
  <r>
    <x v="1001"/>
    <d v="2024-09-06T00:00:00"/>
    <s v="   TO TRANSFER-UPI/DR/425051138372/Mr MUKES/CBIN/8003615036/UPI--"/>
    <s v="TRANSFER TO 4897695162091"/>
    <n v="10"/>
    <m/>
    <n v="57159.160000000018"/>
    <s v="Transfer Through UPI App"/>
    <s v="Google Pay App"/>
    <x v="282"/>
    <m/>
    <s v="2024-2025"/>
    <s v="CHECKED"/>
  </r>
  <r>
    <x v="1001"/>
    <d v="2024-09-06T00:00:00"/>
    <s v="   TO TRANSFER-UPI/DR/425084072942/SAURABH/YESB/paytmqr13c/UPI--"/>
    <s v="TRANSFER TO 4897695162091"/>
    <n v="20"/>
    <m/>
    <n v="57139.160000000018"/>
    <s v="Transfer Through UPI App"/>
    <s v="Google Pay App"/>
    <x v="173"/>
    <m/>
    <s v="2024-2025"/>
    <s v="CHECKED"/>
  </r>
  <r>
    <x v="1002"/>
    <d v="2024-09-07T00:00:00"/>
    <s v="   TO TRANSFER-UPI/DR/425104245369/ASHOK/YESB/q734627083/aata--"/>
    <s v="TRANSFER TO 4897696162090"/>
    <n v="250"/>
    <m/>
    <n v="56889.160000000018"/>
    <s v="Transfer Through UPI App"/>
    <s v="Google Pay App"/>
    <x v="232"/>
    <m/>
    <s v="2024-2025"/>
    <s v="CHECKED"/>
  </r>
  <r>
    <x v="1002"/>
    <d v="2024-09-07T00:00:00"/>
    <s v="   TO TRANSFER-UPI/DR/425132479210/LAVISH C/YESB/paytmqrzox/UPI--"/>
    <s v="TRANSFER TO 4897696162090"/>
    <n v="100"/>
    <m/>
    <n v="56789.160000000018"/>
    <s v="Transfer Through UPI App"/>
    <s v="Google Pay App"/>
    <x v="234"/>
    <m/>
    <s v="2024-2025"/>
    <s v="CHECKED"/>
  </r>
  <r>
    <x v="1002"/>
    <d v="2024-09-07T00:00:00"/>
    <s v="   TO TRANSFER-UPI/DR/425132598293/Mr  VIKR/YESB/q028962466/UPI--"/>
    <s v="TRANSFER TO 4897696162090"/>
    <n v="50"/>
    <m/>
    <n v="56739.160000000018"/>
    <s v="Transfer Through UPI App"/>
    <s v="Google Pay App"/>
    <x v="233"/>
    <m/>
    <s v="2024-2025"/>
    <s v="CHECKED"/>
  </r>
  <r>
    <x v="1003"/>
    <d v="2024-09-08T00:00:00"/>
    <s v="   TO TRANSFER-UPI/DR/425258756108/LAVISH C/YESB/paytmqrzox/medic--"/>
    <s v="TRANSFER TO 4897690162095"/>
    <n v="380"/>
    <m/>
    <n v="56359.160000000018"/>
    <s v="Transfer Through UPI App"/>
    <s v="Google Pay App"/>
    <x v="234"/>
    <m/>
    <s v="2024-2025"/>
    <s v="CHECKED"/>
  </r>
  <r>
    <x v="1004"/>
    <d v="2024-09-10T00:00:00"/>
    <s v="   TO TRANSFER-UPI/DR/425458982932/Mohit  S/SBIN/mohitratho/UPI--"/>
    <s v="TRANSFER TO 4897692162094"/>
    <n v="4000"/>
    <m/>
    <n v="52359.160000000018"/>
    <s v="Transfer Through UPI App"/>
    <s v="Google Pay App"/>
    <x v="238"/>
    <m/>
    <s v="2024-2025"/>
    <s v="CHECKED"/>
  </r>
  <r>
    <x v="1004"/>
    <d v="2024-09-10T00:00:00"/>
    <s v="   TO TRANSFER-UPI/DR/425463687389/Mr  VIKR/YESB/q028962466/UPI--"/>
    <s v="TRANSFER TO 4897692162094"/>
    <n v="220"/>
    <m/>
    <n v="52139.160000000018"/>
    <s v="Transfer Through UPI App"/>
    <s v="Google Pay App"/>
    <x v="233"/>
    <m/>
    <s v="2024-2025"/>
    <s v="CHECKED"/>
  </r>
  <r>
    <x v="1004"/>
    <d v="2024-09-10T00:00:00"/>
    <s v="   TO TRANSFER-UPI/DR/425492637009/HASSIB  /YESB/q719622730/UPI--"/>
    <s v="TRANSFER TO 4897692162094"/>
    <n v="105"/>
    <m/>
    <n v="52034.160000000018"/>
    <s v="Transfer Through UPI App"/>
    <s v="Google Pay App"/>
    <x v="355"/>
    <m/>
    <s v="2024-2025"/>
    <s v="1. House Expenses me abhi entry nhi ki hai"/>
  </r>
  <r>
    <x v="1004"/>
    <d v="2024-09-10T00:00:00"/>
    <s v="   TO TRANSFER-UPI/DR/425492733081/Mr ROHIT/YESB/q440516765/icecr--"/>
    <s v="TRANSFER TO 4897692162094"/>
    <n v="50"/>
    <m/>
    <n v="51984.160000000018"/>
    <s v="Transfer Through UPI App"/>
    <s v="Google Pay App"/>
    <x v="337"/>
    <m/>
    <s v="2024-2025"/>
    <s v="CHECKED"/>
  </r>
  <r>
    <x v="1005"/>
    <d v="2024-09-11T00:00:00"/>
    <s v="   BY TRANSFER-UPI/CR/507311360281/MANISH  /SBIN/9462176031/Payme--"/>
    <s v="TRANSFER FROM 4897735162098"/>
    <m/>
    <n v="8000"/>
    <n v="59984.160000000018"/>
    <s v="Transfer Through UPI App"/>
    <s v="Google Pay App"/>
    <x v="304"/>
    <m/>
    <s v="2024-2025"/>
    <s v="CHECKED"/>
  </r>
  <r>
    <x v="1006"/>
    <d v="2024-09-12T00:00:00"/>
    <s v="   TO TRANSFER-UPI/DR/425678347816/Mr ROHIT/YESB/q440516765/food--"/>
    <s v="TRANSFER TO 4897694162092"/>
    <n v="60"/>
    <m/>
    <n v="59924.160000000018"/>
    <s v="Transfer Through UPI App"/>
    <s v="Google Pay App"/>
    <x v="341"/>
    <m/>
    <s v="2024-2025"/>
    <s v="CHECKED"/>
  </r>
  <r>
    <x v="1007"/>
    <d v="2024-09-15T00:00:00"/>
    <s v="   TO TRANSFER-UPI/DR/425944644676/Mr  VIKR/YESB/q028962466/sabji--"/>
    <s v="TRANSFER TO 4897690162095"/>
    <n v="20"/>
    <m/>
    <n v="59904.160000000018"/>
    <s v="Transfer Through UPI App"/>
    <s v="Google Pay App"/>
    <x v="233"/>
    <m/>
    <s v="2024-2025"/>
    <s v="CHECKED"/>
  </r>
  <r>
    <x v="1007"/>
    <d v="2024-09-15T00:00:00"/>
    <s v="   TO TRANSFER-UPI/DR/425944853509/KRITIKA /AUBL/merchant71/milk--"/>
    <s v="TRANSFER TO 4897690162095"/>
    <n v="25"/>
    <m/>
    <n v="59879.160000000018"/>
    <s v="Transfer Through UPI App"/>
    <s v="Google Pay App"/>
    <x v="342"/>
    <m/>
    <s v="2024-2025"/>
    <s v="CHECKED"/>
  </r>
  <r>
    <x v="1008"/>
    <d v="2024-09-16T00:00:00"/>
    <s v="   TO TRANSFER-UPI/DR/426094737172/RAJ BALA/HDFC/rajbalaben/test--"/>
    <s v="TRANSFER TO 4897691162095"/>
    <n v="1"/>
    <m/>
    <n v="59878.160000000018"/>
    <s v="Transfer Through UPI App"/>
    <s v="Google Pay App"/>
    <x v="356"/>
    <m/>
    <s v="2024-2025"/>
    <s v="CHECKED"/>
  </r>
  <r>
    <x v="1008"/>
    <d v="2024-09-16T00:00:00"/>
    <s v="   TO TRANSFER-UPI/DR/426094975810/RAJ BALA/HDFC/rajbalaben/medic--"/>
    <s v="TRANSFER TO 4897691162095"/>
    <n v="7000"/>
    <m/>
    <n v="52878.160000000018"/>
    <s v="Transfer Through UPI App"/>
    <s v="Google Pay App"/>
    <x v="357"/>
    <m/>
    <s v="2024-2025"/>
    <s v="CHECKED"/>
  </r>
  <r>
    <x v="1009"/>
    <d v="2024-09-17T00:00:00"/>
    <s v="   TO TRANSFER-UPI/DR/426142373878/Mr  VIKR/YESB/q028962466/sabji--"/>
    <s v="TRANSFER TO 4897692162094"/>
    <n v="60"/>
    <m/>
    <n v="52818.160000000018"/>
    <s v="Transfer Through UPI App"/>
    <s v="Google Pay App"/>
    <x v="233"/>
    <m/>
    <s v="2024-2025"/>
    <s v="CHECKED"/>
  </r>
  <r>
    <x v="1009"/>
    <d v="2024-09-17T00:00:00"/>
    <s v="   TO TRANSFER-UPI/DR/426142586598/KRITIKA /AUBL/merchant71/milk--"/>
    <s v="TRANSFER TO 4897692162094"/>
    <n v="25"/>
    <m/>
    <n v="52793.160000000018"/>
    <s v="Transfer Through UPI App"/>
    <s v="Google Pay App"/>
    <x v="342"/>
    <m/>
    <s v="2024-2025"/>
    <s v="CHECKED"/>
  </r>
  <r>
    <x v="1010"/>
    <d v="2024-09-19T00:00:00"/>
    <s v="   TO TRANSFER-UPI/DR/426330779170/RAVI KUM/SBIN/ravikumars/UPI--"/>
    <s v="TRANSFER TO 4897694162092"/>
    <n v="75"/>
    <m/>
    <n v="52718.160000000018"/>
    <s v="Transfer Through UPI App"/>
    <s v="Google Pay App"/>
    <x v="358"/>
    <m/>
    <s v="2024-2025"/>
    <s v="CHECKED"/>
  </r>
  <r>
    <x v="1010"/>
    <d v="2024-09-19T00:00:00"/>
    <s v="   TO TRANSFER-UPI/DR/426351370216/KRITIKA /AUBL/merchant71/milk--"/>
    <s v="TRANSFER TO 4897694162092"/>
    <n v="25"/>
    <m/>
    <n v="52693.160000000018"/>
    <s v="Transfer Through UPI App"/>
    <s v="Google Pay App"/>
    <x v="342"/>
    <m/>
    <s v="2024-2025"/>
    <s v="CHECKED"/>
  </r>
  <r>
    <x v="1010"/>
    <d v="2024-09-19T00:00:00"/>
    <s v="   TO TRANSFER-UPI/DR/426351667748/Mr  VIKR/YESB/q028962466/sabji--"/>
    <s v="TRANSFER TO 4897694162092"/>
    <n v="45"/>
    <m/>
    <n v="52648.160000000018"/>
    <s v="Transfer Through UPI App"/>
    <s v="Google Pay App"/>
    <x v="233"/>
    <m/>
    <s v="2024-2025"/>
    <s v="CHECKED"/>
  </r>
  <r>
    <x v="1011"/>
    <d v="2024-09-21T00:00:00"/>
    <s v="   TO TRANSFER-UPI/DR/426531419389/Mr SADHU/CBIN/9602787134/UPI--"/>
    <s v="TRANSFER TO 4897696162090"/>
    <n v="20"/>
    <m/>
    <n v="52628.160000000018"/>
    <s v="Transfer Through UPI App"/>
    <s v="Google Pay App"/>
    <x v="355"/>
    <m/>
    <s v="2024-2025"/>
    <s v="CHECKED"/>
  </r>
  <r>
    <x v="1011"/>
    <d v="2024-09-21T00:00:00"/>
    <s v="   TO TRANSFER-UPI/DR/426563493555/KRITIKA /AUBL/merchant71/milk--"/>
    <s v="TRANSFER TO 4897696162090"/>
    <n v="25"/>
    <m/>
    <n v="52603.160000000018"/>
    <s v="Transfer Through UPI App"/>
    <s v="Google Pay App"/>
    <x v="342"/>
    <m/>
    <s v="2024-2025"/>
    <s v="CHECKED"/>
  </r>
  <r>
    <x v="1012"/>
    <d v="2024-09-22T00:00:00"/>
    <s v="   TO TRANSFER-UPI/DR/426688247784/RELIANCE/CITI/jio@citiba/JIO20--"/>
    <s v="TRANSFER TO 4897690162095"/>
    <n v="299"/>
    <m/>
    <n v="52304.160000000018"/>
    <s v="Transfer Through UPI App"/>
    <s v="Google Pay App"/>
    <x v="262"/>
    <m/>
    <s v="2024-2025"/>
    <s v="CHECKED"/>
  </r>
  <r>
    <x v="1012"/>
    <d v="2024-09-22T00:00:00"/>
    <s v="   TO TRANSFER-UPI/DR/426612824233/RACHANA /SBIN/9462908300/ghee--"/>
    <s v="TRANSFER TO 4897690162095"/>
    <n v="520"/>
    <m/>
    <n v="51784.160000000018"/>
    <s v="Transfer Through UPI App"/>
    <s v="Google Pay App"/>
    <x v="173"/>
    <m/>
    <s v="2024-2025"/>
    <s v="CHECKED"/>
  </r>
  <r>
    <x v="1013"/>
    <d v="2024-09-23T00:00:00"/>
    <s v="   TO TRANSFER-UPI/DR/426728500192/Jio Prep/YESB/paytm-jiom/divya--"/>
    <s v="TRANSFER TO 4897691162095"/>
    <n v="249"/>
    <m/>
    <n v="51535.160000000018"/>
    <s v="Mobile Recharge"/>
    <s v="Google Pay App"/>
    <x v="35"/>
    <m/>
    <s v="2024-2025"/>
    <s v="CHECKED"/>
  </r>
  <r>
    <x v="1013"/>
    <d v="2024-09-23T00:00:00"/>
    <s v="   TO TRANSFER-UPI/DR/426739377221/RAJA  RAM/SBIN/8387848446/UPI--"/>
    <s v="TRANSFER TO 4897691162095"/>
    <n v="50"/>
    <m/>
    <n v="51485.160000000018"/>
    <s v="Transfer Through UPI App"/>
    <s v="Google Pay App"/>
    <x v="341"/>
    <m/>
    <s v="2024-2025"/>
    <s v="CHECKED"/>
  </r>
  <r>
    <x v="1013"/>
    <d v="2024-09-23T00:00:00"/>
    <s v="   TO TRANSFER-UPI/DR/426753403044/LAVISH C/YESB/paytmqrzox/medic--"/>
    <s v="TRANSFER TO 4897691162095"/>
    <n v="400"/>
    <m/>
    <n v="51085.160000000018"/>
    <s v="Transfer Through UPI App"/>
    <s v="Google Pay App"/>
    <x v="359"/>
    <m/>
    <s v="2024-2025"/>
    <s v="CHECKED"/>
  </r>
  <r>
    <x v="1013"/>
    <d v="2024-09-23T00:00:00"/>
    <s v="   TO TRANSFER-UPI/DR/463346572904/SABANA  /SBIN/8560928685/Payme--"/>
    <s v="TRANSFER TO 4897691162095"/>
    <n v="11000"/>
    <m/>
    <n v="40085.160000000018"/>
    <s v="Transfer Through UPI App"/>
    <s v="Phone Pe App"/>
    <x v="165"/>
    <m/>
    <s v="2024-2025"/>
    <s v="CHECKED"/>
  </r>
  <r>
    <x v="1014"/>
    <d v="2024-09-25T00:00:00"/>
    <s v="   TO TRANSFER-UPI/DR/426922015465/RELIANCE/CITI/jio@citiba/JIO20--"/>
    <s v="TRANSFER TO 4897693162093"/>
    <n v="234.82"/>
    <m/>
    <n v="39850.340000000018"/>
    <s v="Mobile Recharge"/>
    <m/>
    <x v="18"/>
    <m/>
    <s v="2024-2025"/>
    <s v="CHECKED"/>
  </r>
  <r>
    <x v="1014"/>
    <d v="2024-09-25T00:00:00"/>
    <s v="   FI Txn @ CSP outlet-022244117161082849 AEPS WDL TXN @KO 1A773C89--"/>
    <s v="TRANSFER TO 41308219010                           "/>
    <n v="5000"/>
    <m/>
    <n v="34850.340000000018"/>
    <s v="Cash Withdrwal"/>
    <m/>
    <x v="174"/>
    <m/>
    <s v="2024-2025"/>
    <s v="CHECKED"/>
  </r>
  <r>
    <x v="1014"/>
    <d v="2024-09-25T00:00:00"/>
    <s v="   TO TRANSFER-UPI/DR/426929377866/ASHOK/YESB/q282193224/UPI--"/>
    <s v="TRANSFER TO 4897693162093"/>
    <n v="250"/>
    <m/>
    <n v="34600.340000000018"/>
    <s v="Transfer Through UPI App"/>
    <s v="Google Pay App"/>
    <x v="232"/>
    <m/>
    <s v="2024-2025"/>
    <s v="CHECKED"/>
  </r>
  <r>
    <x v="1014"/>
    <d v="2024-09-25T00:00:00"/>
    <s v="   TO TRANSFER-UPI/DR/426951983938/Indian O/YESB/q79389278@/petro--"/>
    <s v="TRANSFER TO 4897693162093"/>
    <n v="500"/>
    <m/>
    <n v="34100.340000000018"/>
    <s v="Transfer Through UPI App"/>
    <s v="Google Pay App"/>
    <x v="343"/>
    <m/>
    <s v="2024-2025"/>
    <s v="CHECKED"/>
  </r>
  <r>
    <x v="1014"/>
    <d v="2024-09-25T00:00:00"/>
    <s v="   TO TRANSFER-UPI/DR/426953148259/Mr  VIKR/YESB/q028962466/sabji--"/>
    <s v="TRANSFER TO 4897693162093"/>
    <n v="50"/>
    <m/>
    <n v="34050.340000000018"/>
    <s v="Transfer Through UPI App"/>
    <s v="Google Pay App"/>
    <x v="233"/>
    <m/>
    <s v="2024-2025"/>
    <s v="CHECKED"/>
  </r>
  <r>
    <x v="1014"/>
    <d v="2024-09-25T00:00:00"/>
    <s v="   TO TRANSFER-UPI/DR/426957532084/Mr ROHIT/YESB/q440516765/icecr--"/>
    <s v="TRANSFER TO 4897693162093"/>
    <n v="50"/>
    <m/>
    <n v="34000.340000000018"/>
    <s v="Transfer Through UPI App"/>
    <s v="Google Pay App"/>
    <x v="337"/>
    <m/>
    <s v="2024-2025"/>
    <s v="CHECKED"/>
  </r>
  <r>
    <x v="1014"/>
    <d v="2024-09-25T00:00:00"/>
    <s v="   CREDIT INTEREST---"/>
    <m/>
    <m/>
    <n v="323"/>
    <n v="34323.340000000018"/>
    <s v="Credit Interest"/>
    <m/>
    <x v="0"/>
    <m/>
    <s v="2024-2025"/>
    <s v="CHECKED"/>
  </r>
  <r>
    <x v="1015"/>
    <d v="2024-09-26T00:00:00"/>
    <s v="   TO TRANSFER-UPI/DR/427072370893/61195523/sbin/6119552351/UPI--"/>
    <s v="TRANSFER TO 4897694162092"/>
    <n v="2000"/>
    <m/>
    <n v="32323.340000000018"/>
    <s v="Transfer Through UPI App"/>
    <s v="Google Pay App"/>
    <x v="360"/>
    <m/>
    <s v="2024-2025"/>
    <s v="CHECKED"/>
  </r>
  <r>
    <x v="1015"/>
    <d v="2024-09-26T00:00:00"/>
    <s v="   TO TRANSFER-UPI/DR/427096084654/RACHANA /SBIN/9462908300/UPI--"/>
    <s v="TRANSFER TO 4897694162092"/>
    <n v="170"/>
    <m/>
    <n v="32153.340000000018"/>
    <s v="Transfer Through UPI App"/>
    <s v="Google Pay App"/>
    <x v="173"/>
    <m/>
    <s v="2024-2025"/>
    <s v="CHECKED"/>
  </r>
  <r>
    <x v="1016"/>
    <d v="2024-09-27T00:00:00"/>
    <s v="   TO TRANSFER-UPI/DR/463736079171/SABANA  /SBIN/8560928685/Payme--"/>
    <s v="TRANSFER TO 4897695162091"/>
    <n v="300"/>
    <m/>
    <n v="31853.340000000018"/>
    <s v="Transfer Through UPI App"/>
    <s v="Google Pay App"/>
    <x v="361"/>
    <m/>
    <s v="2024-2025"/>
    <s v="CHECKED"/>
  </r>
  <r>
    <x v="1017"/>
    <d v="2024-10-01T00:00:00"/>
    <s v="   BY TRANSFER-NEFT*RBIS0GORJEP*RBI2752432808251*TREASURY OFFICE--"/>
    <s v="TRANSFER FROM 4697255044305"/>
    <m/>
    <n v="48413"/>
    <n v="80266.340000000026"/>
    <s v="Salary"/>
    <m/>
    <x v="0"/>
    <m/>
    <s v="2024-2025"/>
    <s v="CHECKED"/>
  </r>
  <r>
    <x v="1017"/>
    <d v="2024-10-01T00:00:00"/>
    <s v="   TO TRANSFER-UPI/DR/427545352293/ANKUSH M/PUNB/ankusharor/milk--"/>
    <s v="TRANSFER TO 4897692162094"/>
    <n v="2675"/>
    <m/>
    <n v="77591.340000000026"/>
    <s v="Transfer Through UPI App"/>
    <s v="Google Pay App"/>
    <x v="265"/>
    <m/>
    <s v="2024-2025"/>
    <s v="CHECKED"/>
  </r>
  <r>
    <x v="1017"/>
    <d v="2024-10-01T00:00:00"/>
    <s v="   TO TRANSFER-UPI/DR/427547115085/Google I/UTIB/gpay-utili/UPI--"/>
    <s v="TRANSFER TO 4897692162094"/>
    <n v="834"/>
    <m/>
    <n v="76757.340000000026"/>
    <s v="Transfer Through UPI App"/>
    <s v="Google Pay App"/>
    <x v="113"/>
    <m/>
    <s v="2024-2025"/>
    <s v="CHECKED"/>
  </r>
  <r>
    <x v="1018"/>
    <d v="2024-10-02T00:00:00"/>
    <s v="   TO TRANSFER-UPI/DR/427666769487/LAVISH C/YESB/paytmqrzox/medic--"/>
    <s v="TRANSFER TO 4897693162093"/>
    <n v="460"/>
    <m/>
    <n v="76297.340000000026"/>
    <s v="Transfer Through UPI App"/>
    <s v="Google Pay App"/>
    <x v="234"/>
    <m/>
    <s v="2024-2025"/>
    <s v="CHECKED"/>
  </r>
  <r>
    <x v="1019"/>
    <d v="2024-10-03T00:00:00"/>
    <s v="   TO TRANSFER-UPI/DR/427744047114/LAVISH C/YESB/paytmqrzox/medic--"/>
    <s v="TRANSFER TO 4897694162092"/>
    <n v="38"/>
    <m/>
    <n v="76259.340000000026"/>
    <s v="Transfer Through UPI App"/>
    <s v="Google Pay App"/>
    <x v="234"/>
    <m/>
    <s v="2024-2025"/>
    <s v="CHECKED"/>
  </r>
  <r>
    <x v="1019"/>
    <d v="2024-10-03T00:00:00"/>
    <s v="   TO TRANSFER-UPI/DR/427744209018/Mr  VIKR/YESB/q028962466/UPI--"/>
    <s v="TRANSFER TO 4897694162092"/>
    <n v="300"/>
    <m/>
    <n v="75959.340000000026"/>
    <s v="Transfer Through UPI App"/>
    <s v="Google Pay App"/>
    <x v="233"/>
    <m/>
    <s v="2024-2025"/>
    <s v="CHECKED"/>
  </r>
  <r>
    <x v="1019"/>
    <d v="2024-10-03T00:00:00"/>
    <s v="   TO TRANSFER-UPI/DR/427744262931/Mr  VIKR/YESB/q028962466/sabji--"/>
    <s v="TRANSFER TO 4897694162092"/>
    <n v="70"/>
    <m/>
    <n v="75889.340000000026"/>
    <s v="Transfer Through UPI App"/>
    <s v="Google Pay App"/>
    <x v="233"/>
    <m/>
    <s v="2024-2025"/>
    <s v="CHECKED"/>
  </r>
  <r>
    <x v="1019"/>
    <d v="2024-10-03T00:00:00"/>
    <s v="   TO TRANSFER-UPI/DR/427744359435/ANKUSH C/YESB/paytmqr550/groce--"/>
    <s v="TRANSFER TO 4897694162092"/>
    <n v="85"/>
    <m/>
    <n v="75804.340000000026"/>
    <s v="Transfer Through UPI App"/>
    <s v="Google Pay App"/>
    <x v="173"/>
    <m/>
    <s v="2024-2025"/>
    <s v="CHECKED"/>
  </r>
  <r>
    <x v="1020"/>
    <d v="2024-10-04T00:00:00"/>
    <s v="   TO TRANSFER-UPI/DR/427833461725/UNIQUE I/ICIC/resident.u/Upi T--"/>
    <s v="TRANSFER TO 4897695162091"/>
    <n v="50"/>
    <m/>
    <n v="75754.340000000026"/>
    <s v="Transfer Through UPI App"/>
    <s v="Google Pay App"/>
    <x v="362"/>
    <m/>
    <s v="2024-2025"/>
    <s v="CHECKED"/>
  </r>
  <r>
    <x v="1020"/>
    <d v="2024-10-04T00:00:00"/>
    <s v="   TO TRANSFER-UPI/DR/427887491552/Mr SADHU/CBIN/9602787134/UPI--"/>
    <s v="TRANSFER TO 4897695162091"/>
    <n v="20"/>
    <m/>
    <n v="75734.340000000026"/>
    <s v="Transfer Through UPI App"/>
    <s v="Google Pay App"/>
    <x v="355"/>
    <m/>
    <s v="2024-2025"/>
    <s v="CHECKED"/>
  </r>
  <r>
    <x v="1021"/>
    <d v="2024-10-05T00:00:00"/>
    <s v="   TO TRANSFER-UPI/DR/427928508232/HARISH C/YESB/q334546118/medic--"/>
    <s v="TRANSFER TO 4897696162090"/>
    <n v="350"/>
    <m/>
    <n v="75384.340000000026"/>
    <s v="Transfer Through UPI App"/>
    <s v="Google Pay App"/>
    <x v="363"/>
    <m/>
    <s v="2024-2025"/>
    <s v="6. pending to check with daily expenses sheet"/>
  </r>
  <r>
    <x v="1022"/>
    <d v="2024-10-07T00:00:00"/>
    <s v="   BY TRANSFER-P102401471EDB HPCL LPG SUBSIDY HPAP34D--"/>
    <s v="TRANSFER FROM 4697727105219"/>
    <m/>
    <n v="9.9499999999999993"/>
    <n v="75394.290000000023"/>
    <s v="Subsidy"/>
    <m/>
    <x v="6"/>
    <m/>
    <s v="2024-2025"/>
    <s v="CHECKED"/>
  </r>
  <r>
    <x v="1023"/>
    <d v="2024-10-08T00:00:00"/>
    <s v="   TO TRANSFER-UPI/DR/428217179831/ASHOK/YESB/q282193224/aata--"/>
    <s v="TRANSFER TO 4897692162094"/>
    <n v="250"/>
    <m/>
    <n v="75144.290000000023"/>
    <s v="Transfer Through UPI App"/>
    <s v="Google Pay App"/>
    <x v="232"/>
    <m/>
    <s v="2024-2025"/>
    <s v="CHECKED"/>
  </r>
  <r>
    <x v="1023"/>
    <d v="2024-10-08T00:00:00"/>
    <s v="   TO TRANSFER-UPI/DR/428218313672/RACHANA /SBIN/9462908300/ratio--"/>
    <s v="TRANSFER TO 4897692162094"/>
    <n v="853"/>
    <m/>
    <n v="74291.290000000023"/>
    <s v="Transfer Through UPI App"/>
    <s v="Google Pay App"/>
    <x v="173"/>
    <m/>
    <s v="2024-2025"/>
    <s v="CHECKED"/>
  </r>
  <r>
    <x v="1023"/>
    <d v="2024-10-08T00:00:00"/>
    <s v="   TO TRANSFER-UPI/DR/428218391773/RACHANA /SBIN/9462908300/ratio--"/>
    <s v="TRANSFER TO 4897692162094"/>
    <n v="20"/>
    <m/>
    <n v="74271.290000000023"/>
    <s v="Transfer Through UPI App"/>
    <s v="Google Pay App"/>
    <x v="173"/>
    <m/>
    <s v="2024-2025"/>
    <s v="CHECKED"/>
  </r>
  <r>
    <x v="1024"/>
    <d v="2024-10-10T00:00:00"/>
    <s v="   FI Txn @ CSP outlet-027517457521480920 AEPS WDL TXN @KO 1A773C89--"/>
    <s v="TRANSFER TO 41308219010                           "/>
    <n v="5000"/>
    <m/>
    <n v="69271.290000000023"/>
    <s v="Cash Withdrwal"/>
    <m/>
    <x v="174"/>
    <m/>
    <s v="2024-2025"/>
    <s v="CHECKED"/>
  </r>
  <r>
    <x v="1024"/>
    <d v="2024-10-10T00:00:00"/>
    <s v="   TO TRANSFER-UPI/DR/428433445456/RAM KUMA/YESB/paytmqr281/bike--"/>
    <s v="TRANSFER TO 4897694162092"/>
    <n v="100"/>
    <m/>
    <n v="69171.290000000023"/>
    <s v="Transfer Through UPI App"/>
    <s v="Google Pay App"/>
    <x v="364"/>
    <m/>
    <s v="2024-2025"/>
    <s v="CHECKED"/>
  </r>
  <r>
    <x v="1025"/>
    <d v="2024-10-11T00:00:00"/>
    <s v="   TO TRANSFER-UPI/DR/428585509539/RELIANCE/CITI/jio@citiba/JIO20--"/>
    <s v="TRANSFER TO 4897695162091"/>
    <n v="19"/>
    <m/>
    <n v="69152.290000000023"/>
    <s v="Transfer Through UPI App"/>
    <s v="Google Pay App"/>
    <x v="262"/>
    <m/>
    <s v="2024-2025"/>
    <s v="CHECKED"/>
  </r>
  <r>
    <x v="1026"/>
    <d v="2024-10-13T00:00:00"/>
    <s v="   TO TRANSFER-UPI/DR/428792222455/KULDEEP /FDRL/bharatpe.9/Pay t--"/>
    <s v="TRANSFER TO 4897690162095"/>
    <n v="25"/>
    <m/>
    <n v="69127.290000000023"/>
    <s v="Transfer Through UPI App"/>
    <s v="Google Pay App"/>
    <x v="339"/>
    <m/>
    <s v="2024-2025"/>
    <s v="CHECKED"/>
  </r>
  <r>
    <x v="1026"/>
    <d v="2024-10-13T00:00:00"/>
    <s v="   TO TRANSFER-UPI/DR/428704627896/Buta Singh/YESB/q706402482/hai--"/>
    <s v="TRANSFER TO 4897690162095"/>
    <n v="60"/>
    <m/>
    <n v="69067.290000000023"/>
    <s v="Transfer Through UPI App"/>
    <s v="Google Pay App"/>
    <x v="353"/>
    <m/>
    <s v="2024-2025"/>
    <s v="CHECKED"/>
  </r>
  <r>
    <x v="1027"/>
    <d v="2024-10-15T00:00:00"/>
    <s v="   BY TRANSFER-UPI/CR/542673366064/SATISH  /SBIN/9413062235/Payme--"/>
    <s v="TRANSFER FROM 4897734162099"/>
    <m/>
    <n v="5000"/>
    <n v="74067.290000000023"/>
    <s v="Received Through UPI App"/>
    <s v="Phone Pe App"/>
    <x v="222"/>
    <m/>
    <s v="2024-2025"/>
    <s v="CHECKED"/>
  </r>
  <r>
    <x v="1027"/>
    <d v="2024-10-15T00:00:00"/>
    <s v="   TO TRANSFER-UPI/DR/428914627069/Mr SADHU/CBIN/9602787134/UPI--"/>
    <s v="TRANSFER TO 4897692162094"/>
    <n v="40"/>
    <m/>
    <n v="74027.290000000023"/>
    <s v="Transfer Through UPI App"/>
    <s v="Google Pay App"/>
    <x v="365"/>
    <m/>
    <s v="2024-2025"/>
    <s v="CHECKED"/>
  </r>
  <r>
    <x v="1028"/>
    <d v="2024-10-16T00:00:00"/>
    <s v="   TO TRANSFER-UPI/DR/429062175033/LAVISH C/YESB/paytmqrzox/UPI--"/>
    <s v="TRANSFER TO 4897693162093"/>
    <n v="230"/>
    <m/>
    <n v="73797.290000000023"/>
    <s v="Transfer Through UPI App"/>
    <s v="Google Pay App"/>
    <x v="366"/>
    <m/>
    <s v="2024-2025"/>
    <s v="CHECKED"/>
  </r>
  <r>
    <x v="1029"/>
    <d v="2024-10-17T00:00:00"/>
    <s v="   BY TRANSFER-UPI/CR/217733251224/AARIF  K/SBIN/aarif1986@/Payme--"/>
    <s v="TRANSFER FROM 4897736162097"/>
    <m/>
    <n v="11000"/>
    <n v="84797.290000000023"/>
    <s v="Received Through UPI App"/>
    <s v="Phone Pe App"/>
    <x v="228"/>
    <m/>
    <s v="2024-2025"/>
    <s v="CHECKED"/>
  </r>
  <r>
    <x v="1030"/>
    <d v="2024-10-19T00:00:00"/>
    <s v="   TO TRANSFER-UPI/DR/429393080476/LAVISH C/YESB/paytmqrzox/medic--"/>
    <s v="TRANSFER TO 4897696162090"/>
    <n v="60"/>
    <m/>
    <n v="84737.290000000023"/>
    <s v="Transfer Through UPI App"/>
    <s v="Google Pay App"/>
    <x v="234"/>
    <m/>
    <s v="2024-2025"/>
    <s v="CHECKED"/>
  </r>
  <r>
    <x v="1030"/>
    <d v="2024-10-19T00:00:00"/>
    <s v="   TO TRANSFER-UPI/DR/429393629591/ASHOK/YESB/q282193224/aata--"/>
    <s v="TRANSFER TO 4897696162090"/>
    <n v="160"/>
    <m/>
    <n v="84577.290000000023"/>
    <s v="Transfer Through UPI App"/>
    <s v="Google Pay App"/>
    <x v="232"/>
    <m/>
    <s v="2024-2025"/>
    <s v="CHECKED"/>
  </r>
  <r>
    <x v="1030"/>
    <d v="2024-10-19T00:00:00"/>
    <s v="   TO TRANSFER-UPI/DR/429305877090/Mr  VIKR/YESB/q095711324/sbji--"/>
    <s v="TRANSFER TO 4897696162090"/>
    <n v="30"/>
    <m/>
    <n v="84547.290000000023"/>
    <s v="Transfer Through UPI App"/>
    <s v="Google Pay App"/>
    <x v="233"/>
    <m/>
    <s v="2024-2025"/>
    <s v="CHECKED"/>
  </r>
  <r>
    <x v="1031"/>
    <d v="2024-10-20T00:00:00"/>
    <s v="   TO TRANSFER-UPI/DR/429454097597/KULDEEP /UTIB/9783918421/UPI--"/>
    <s v="TRANSFER TO 4897690162095"/>
    <n v="50"/>
    <m/>
    <n v="84497.290000000023"/>
    <s v="Transfer Through UPI App"/>
    <s v="Google Pay App"/>
    <x v="339"/>
    <m/>
    <s v="2024-2025"/>
    <s v="CHECKED"/>
  </r>
  <r>
    <x v="1031"/>
    <d v="2024-10-20T00:00:00"/>
    <s v="   TO TRANSFER-UPI/DR/429468217738/KULDEEP /UTIB/9783918421/UPI--"/>
    <s v="TRANSFER TO 4897690162095"/>
    <n v="50"/>
    <m/>
    <n v="84447.290000000023"/>
    <s v="Transfer Through UPI App"/>
    <s v="Google Pay App"/>
    <x v="339"/>
    <m/>
    <s v="2024-2025"/>
    <s v="CHECKED"/>
  </r>
  <r>
    <x v="1031"/>
    <d v="2024-10-20T00:00:00"/>
    <s v="   TO TRANSFER-UPI/DR/429479161478/Mr  VIKR/YESB/q095711324/sabji--"/>
    <s v="TRANSFER TO 4897690162095"/>
    <n v="180"/>
    <m/>
    <n v="84267.290000000023"/>
    <s v="Transfer Through UPI App"/>
    <s v="Google Pay App"/>
    <x v="233"/>
    <m/>
    <s v="2024-2025"/>
    <s v="CHECKED"/>
  </r>
  <r>
    <x v="1031"/>
    <d v="2024-10-20T00:00:00"/>
    <s v="   TO TRANSFER-UPI/DR/429480442343/Mr ROHIT/YESB/q440516765/UPI--"/>
    <s v="TRANSFER TO 4897690162095"/>
    <n v="125"/>
    <m/>
    <n v="84142.290000000023"/>
    <s v="Transfer Through UPI App"/>
    <s v="Google Pay App"/>
    <x v="367"/>
    <m/>
    <s v="2024-2025"/>
    <s v="CHECKED"/>
  </r>
  <r>
    <x v="1032"/>
    <d v="2024-10-21T00:00:00"/>
    <s v="   TO TRANSFER-UPI/DR/429597405813/Jio Prep/YESB/paytm-jiom/divya--"/>
    <s v="TRANSFER TO 4897691162095"/>
    <n v="249"/>
    <m/>
    <n v="83893.290000000023"/>
    <s v="Mobile Recharge"/>
    <s v="Google Pay App"/>
    <x v="35"/>
    <m/>
    <s v="2024-2025"/>
    <s v="CHECKED"/>
  </r>
  <r>
    <x v="1033"/>
    <d v="2024-10-22T00:00:00"/>
    <s v="   TO TRANSFER-UPI/DR/440376727040/ROHIT KU/SBIN/jainrohit2/Payme--"/>
    <s v="TRANSFER TO 4897692162094"/>
    <n v="35000"/>
    <m/>
    <n v="48893.290000000023"/>
    <s v="Transfer Through UPI App"/>
    <s v="Phone Pe App"/>
    <x v="154"/>
    <m/>
    <s v="2024-2025"/>
    <s v="8. Family Transfers"/>
  </r>
  <r>
    <x v="1033"/>
    <d v="2024-10-22T00:00:00"/>
    <s v="   TO TRANSFER-UPI/DR/429674018833/ANKUSH C/YESB/paytmqr1kh/UPI--"/>
    <s v="TRANSFER TO 4897692162094"/>
    <n v="30"/>
    <m/>
    <n v="48863.290000000023"/>
    <s v="Transfer Through UPI App"/>
    <s v="Phone Pe App"/>
    <x v="339"/>
    <m/>
    <s v="2024-2025"/>
    <s v="CHECKED"/>
  </r>
  <r>
    <x v="1033"/>
    <d v="2024-10-22T00:00:00"/>
    <s v="   TO TRANSFER-UPI/DR/429687411864/Lavish  /YESB/q174540525/UPI--"/>
    <s v="TRANSFER TO 4897692162094"/>
    <n v="565"/>
    <m/>
    <n v="48298.290000000023"/>
    <s v="Transfer Through UPI App"/>
    <s v="Phone Pe App"/>
    <x v="368"/>
    <m/>
    <s v="2024-2025"/>
    <s v="CHECKED"/>
  </r>
  <r>
    <x v="1033"/>
    <d v="2024-10-22T00:00:00"/>
    <s v="   TO TRANSFER-UPI/DR/429687952370/LALI COL/FDRL/bharatpe.9/Pay t--"/>
    <s v="TRANSFER TO 4897692162094"/>
    <n v="120"/>
    <m/>
    <n v="48178.290000000023"/>
    <s v="Transfer Through UPI App"/>
    <s v="Phone Pe App"/>
    <x v="369"/>
    <m/>
    <s v="2024-2025"/>
    <s v="CHECKED"/>
  </r>
  <r>
    <x v="1033"/>
    <d v="2024-10-22T00:00:00"/>
    <s v="   TO TRANSFER-UPI/DR/429688080959/KULDEEP /YESB/q106673568/UPI--"/>
    <s v="TRANSFER TO 4897692162094"/>
    <n v="370"/>
    <m/>
    <n v="47808.290000000023"/>
    <s v="Transfer Through UPI App"/>
    <s v="Phone Pe App"/>
    <x v="370"/>
    <m/>
    <s v="2024-2025"/>
    <s v="CHECKED"/>
  </r>
  <r>
    <x v="1033"/>
    <d v="2024-10-22T00:00:00"/>
    <s v="   TO TRANSFER-UPI/DR/429688369729/RAKESH/IPOS/7425820426/UPI--"/>
    <s v="TRANSFER TO 4897692162094"/>
    <n v="10"/>
    <m/>
    <n v="47798.290000000023"/>
    <s v="Transfer Through UPI App"/>
    <s v="Phone Pe App"/>
    <x v="371"/>
    <m/>
    <s v="2024-2025"/>
    <s v="CHECKED"/>
  </r>
  <r>
    <x v="1034"/>
    <d v="2024-10-23T00:00:00"/>
    <s v="   TO TRANSFER-UPI/DR/429727689251/SURENDRA/SBIN/surendrapa/UPI--"/>
    <s v="TRANSFER TO 4897693162093"/>
    <n v="200"/>
    <m/>
    <n v="47598.290000000023"/>
    <s v="Transfer Through UPI App"/>
    <s v="Phone Pe App"/>
    <x v="372"/>
    <m/>
    <s v="2024-2025"/>
    <s v="CHECKED"/>
  </r>
  <r>
    <x v="1035"/>
    <d v="2024-10-24T00:00:00"/>
    <s v="   TO TRANSFER-UPI/DR/429870513189/SADHU SI/YESB/paytm.s16e/UPI--"/>
    <s v="TRANSFER TO 4897694162092"/>
    <n v="190"/>
    <m/>
    <n v="47408.290000000023"/>
    <s v="Transfer Through UPI App"/>
    <s v="Phone Pe App"/>
    <x v="373"/>
    <m/>
    <s v="2024-2025"/>
    <s v="CHECKED"/>
  </r>
  <r>
    <x v="1035"/>
    <d v="2024-10-24T00:00:00"/>
    <s v="   TO TRANSFER-UPI/DR/429875540293/RELIANCE/CITI/jio@citiba/JIO20--"/>
    <s v="TRANSFER TO 4897694162092"/>
    <n v="352.82"/>
    <m/>
    <n v="47055.470000000023"/>
    <s v="Mobile Recharge"/>
    <m/>
    <x v="18"/>
    <m/>
    <s v="2024-2025"/>
    <s v="CHECKED"/>
  </r>
  <r>
    <x v="1035"/>
    <d v="2024-10-24T00:00:00"/>
    <s v="   TO TRANSFER-UPI/DR/429889605539/SADHU SI/YESB/paytm.s16e/UPI--"/>
    <s v="TRANSFER TO 4897694162092"/>
    <n v="100"/>
    <m/>
    <n v="46955.470000000023"/>
    <s v="Transfer Through UPI App"/>
    <s v="Google Pay App"/>
    <x v="374"/>
    <m/>
    <s v="2024-2025"/>
    <s v="6. pending to check with daily expenses sheet"/>
  </r>
  <r>
    <x v="1035"/>
    <d v="2024-10-24T00:00:00"/>
    <s v="   BY TRANSFER-NEFT*RBIS0GORJEP*RBI2992485472715*TREASURY OFFICE--"/>
    <s v="TRANSFER FROM 3199423044304"/>
    <m/>
    <n v="5080"/>
    <n v="52035.470000000023"/>
    <s v="Salary"/>
    <m/>
    <x v="10"/>
    <m/>
    <s v="2024-2025"/>
    <s v="CHECKED"/>
  </r>
  <r>
    <x v="1036"/>
    <d v="2024-10-25T00:00:00"/>
    <s v="   TO TRANSFER-UPI/DR/429913346779/ANKUSH M/PUNB/ankusharor/milk--"/>
    <s v="TRANSFER TO 4897695162091"/>
    <n v="3075"/>
    <m/>
    <n v="48960.470000000023"/>
    <s v="Transfer Through UPI App"/>
    <s v="Google Pay App"/>
    <x v="265"/>
    <m/>
    <s v="2024-2025"/>
    <s v="CHECKED"/>
  </r>
  <r>
    <x v="1036"/>
    <d v="2024-10-25T00:00:00"/>
    <s v="   TO TRANSFER-UPI/DR/429913319255/Mohit  S/SBIN/mohitratho/UPI--"/>
    <s v="TRANSFER TO 4897695162091"/>
    <n v="4000"/>
    <m/>
    <n v="44960.470000000023"/>
    <s v="Transfer Through UPI App"/>
    <s v="Google Pay App"/>
    <x v="238"/>
    <m/>
    <s v="2024-2025"/>
    <s v="CHECKED"/>
  </r>
  <r>
    <x v="1036"/>
    <d v="2024-10-25T00:00:00"/>
    <s v="   TO TRANSFER-UPI/DR/429913480855/RAVI KUM/SBIN/ravikumars/jaipu--"/>
    <s v="TRANSFER TO 4897695162091"/>
    <n v="400"/>
    <m/>
    <n v="44560.470000000023"/>
    <s v="Transfer Through UPI App"/>
    <s v="Google Pay App"/>
    <x v="375"/>
    <m/>
    <s v="2024-2025"/>
    <s v="CHECKED"/>
  </r>
  <r>
    <x v="1036"/>
    <d v="2024-10-25T00:00:00"/>
    <s v="   TO TRANSFER-UPI/DR/429915116138/KARISHAN/HDFC/karishanae/libra--"/>
    <s v="TRANSFER TO 4897695162091"/>
    <n v="2300"/>
    <m/>
    <n v="42260.470000000023"/>
    <s v="Transfer Through UPI App"/>
    <s v="Google Pay App"/>
    <x v="376"/>
    <m/>
    <s v="2024-2025"/>
    <s v="CHECKED"/>
  </r>
  <r>
    <x v="1037"/>
    <d v="2024-10-26T00:00:00"/>
    <s v="   TO TRANSFER-UPI/DR/430056642835/TIWARI B/YESB/q340477266/UPI--"/>
    <s v="TRANSFER TO 4897696162090"/>
    <n v="380"/>
    <m/>
    <n v="41880.470000000023"/>
    <s v="Transfer Through UPI App"/>
    <s v="Google Pay App"/>
    <x v="377"/>
    <m/>
    <s v="2024-2025"/>
    <s v="CHECKED"/>
  </r>
  <r>
    <x v="1037"/>
    <d v="2024-10-26T00:00:00"/>
    <s v="   TO TRANSFER-UPI/DR/430088737048/TIWARI B/YESB/q340477266/UPI--"/>
    <s v="TRANSFER TO 4897696162090"/>
    <n v="500"/>
    <m/>
    <n v="41380.470000000023"/>
    <s v="Transfer Through UPI App"/>
    <s v="Google Pay App"/>
    <x v="377"/>
    <m/>
    <s v="2024-2025"/>
    <s v="CHECKED"/>
  </r>
  <r>
    <x v="1038"/>
    <d v="2024-10-27T00:00:00"/>
    <s v="   TO TRANSFER-UPI/DR/430101144085/ROSHAN L/YESB/q005819170/rapid--"/>
    <s v="TRANSFER TO 4897690162095"/>
    <n v="70"/>
    <m/>
    <n v="41310.470000000023"/>
    <s v="Transfer Through UPI App"/>
    <s v="Google Pay App"/>
    <x v="378"/>
    <m/>
    <s v="2024-2025"/>
    <s v="CHECKED"/>
  </r>
  <r>
    <x v="1038"/>
    <d v="2024-10-27T00:00:00"/>
    <s v="   TO TRANSFER-UPI/DR/430131383423/Rapido/YESB/paytm-7688/UPI--"/>
    <s v="TRANSFER TO 4897690162095"/>
    <n v="74"/>
    <m/>
    <n v="41236.470000000023"/>
    <s v="Transfer Through UPI App"/>
    <s v="Google Pay App"/>
    <x v="378"/>
    <m/>
    <s v="2024-2025"/>
    <s v="CHECKED"/>
  </r>
  <r>
    <x v="1039"/>
    <d v="2024-10-28T00:00:00"/>
    <s v="   TO TRANSFER-UPI/DR/430276469697/Krishna /YESB/q710161381/petro--"/>
    <s v="TRANSFER TO 4897691162095"/>
    <n v="100"/>
    <m/>
    <n v="41136.470000000023"/>
    <s v="Transfer Through UPI App"/>
    <s v="Google Pay App"/>
    <x v="343"/>
    <m/>
    <s v="2024-2025"/>
    <s v="CHECKED"/>
  </r>
  <r>
    <x v="1039"/>
    <d v="2024-10-28T00:00:00"/>
    <s v="   TO TRANSFER-UPI/DR/430298988454/RELIANCE/CITI/jio@citiba/JIO20--"/>
    <s v="TRANSFER TO 4897691162095"/>
    <n v="19"/>
    <m/>
    <n v="41117.470000000023"/>
    <s v="Mobile Recharge"/>
    <s v="Google Pay App"/>
    <x v="262"/>
    <m/>
    <s v="2024-2025"/>
    <s v="CHECKED"/>
  </r>
  <r>
    <x v="1040"/>
    <d v="2024-10-29T00:00:00"/>
    <s v="   TO TRANSFER-UPI/DR/430316722950/SRAN IMA/HDFC/vyapar.170/ultra--"/>
    <s v="TRANSFER TO 4897692162094"/>
    <n v="600"/>
    <m/>
    <n v="40517.470000000023"/>
    <s v="Transfer Through UPI App"/>
    <s v="Google Pay App"/>
    <x v="379"/>
    <m/>
    <s v="2024-2025"/>
    <s v="CHECKED"/>
  </r>
  <r>
    <x v="1040"/>
    <d v="2024-10-29T00:00:00"/>
    <s v="   TO TRANSFER-UPI/DR/430319345873/RAJ RANI/YESB/paytmqr281/fruit--"/>
    <s v="TRANSFER TO 4897692162094"/>
    <n v="50"/>
    <m/>
    <n v="40467.470000000023"/>
    <s v="Transfer Through UPI App"/>
    <s v="Google Pay App"/>
    <x v="233"/>
    <m/>
    <s v="2024-2025"/>
    <s v="CHECKED"/>
  </r>
  <r>
    <x v="1041"/>
    <d v="2024-10-30T00:00:00"/>
    <s v="   TO TRANSFER-UPI/DR/430479516331/LACHHAMN/YESB/paytmqr281/kanak--"/>
    <s v="TRANSFER TO 4897693162093"/>
    <n v="90"/>
    <m/>
    <n v="40377.470000000023"/>
    <s v="Transfer Through UPI App"/>
    <s v="Google Pay App"/>
    <x v="380"/>
    <m/>
    <s v="2024-2025"/>
    <s v="CHECKED"/>
  </r>
  <r>
    <x v="1041"/>
    <d v="2024-10-30T00:00:00"/>
    <s v="   BY TRANSFER-NEFT*RBIS0GORJEP*RBI3042400453121*TREASURY OFFICE--"/>
    <s v="TRANSFER FROM 4697206044303"/>
    <m/>
    <n v="48413"/>
    <n v="88790.47000000003"/>
    <s v="Salary"/>
    <m/>
    <x v="0"/>
    <m/>
    <s v="2024-2025"/>
    <s v="CHECKED"/>
  </r>
  <r>
    <x v="1042"/>
    <d v="2024-10-31T00:00:00"/>
    <s v="   TO TRANSFER-UPI/DR/430528911424/Prem Chan/UTIB/gpay-11247/bike--"/>
    <s v="TRANSFER TO 4897694162092"/>
    <n v="70"/>
    <m/>
    <n v="88720.47000000003"/>
    <s v="Transfer Through UPI App"/>
    <s v="Google Pay App"/>
    <x v="381"/>
    <m/>
    <s v="2024-2025"/>
    <s v="CHECKED"/>
  </r>
  <r>
    <x v="1042"/>
    <d v="2024-10-31T00:00:00"/>
    <s v="   TO TRANSFER-UPI/DR/430529524284/Reliance/YESB/paytm-6391/UPI--"/>
    <s v="TRANSFER TO 4897694162092"/>
    <n v="750.12"/>
    <m/>
    <n v="87970.350000000035"/>
    <s v="Transfer Through UPI App"/>
    <s v="Google Pay App"/>
    <x v="382"/>
    <m/>
    <s v="2024-2025"/>
    <s v="CHECKED"/>
  </r>
  <r>
    <x v="1042"/>
    <d v="2024-10-31T00:00:00"/>
    <s v="   TO TRANSFER-UPI/DR/430560375587/BABBAL S/YESB/paytmqr281/sweet--"/>
    <s v="TRANSFER TO 4897694162092"/>
    <n v="1020"/>
    <m/>
    <n v="86950.350000000035"/>
    <s v="Transfer Through UPI App"/>
    <s v="Google Pay App"/>
    <x v="383"/>
    <m/>
    <s v="2024-2025"/>
    <s v="CHECKED"/>
  </r>
  <r>
    <x v="1043"/>
    <d v="2024-11-01T00:00:00"/>
    <s v="   TO TRANSFER-UPI/DR/430697328406/DEEPAK K/PUNB/kakkardeep/fruit--"/>
    <s v="TRANSFER TO 4897695162091"/>
    <n v="125"/>
    <m/>
    <n v="86825.350000000035"/>
    <s v="Transfer Through UPI App"/>
    <s v="Google Pay App"/>
    <x v="233"/>
    <m/>
    <s v="2024-2025"/>
    <s v="CHECKED"/>
  </r>
  <r>
    <x v="1043"/>
    <d v="2024-11-01T00:00:00"/>
    <s v="   TO TRANSFER-UPI/DR/430641239205/AND B FA/CNRB/3160400255/Pay t--"/>
    <s v="TRANSFER TO 4897695162091"/>
    <n v="270"/>
    <m/>
    <n v="86555.350000000035"/>
    <s v="Transfer Through UPI App"/>
    <s v="Google Pay App"/>
    <x v="384"/>
    <m/>
    <s v="2024-2025"/>
    <s v="CHECKED"/>
  </r>
  <r>
    <x v="1044"/>
    <d v="2024-11-03T00:00:00"/>
    <s v="   TO TRANSFER-UPI/DR/430811439482/VIJAY KU/HDFC/vijaykumar/barfi--"/>
    <s v="TRANSFER TO 4897690162095"/>
    <n v="460"/>
    <m/>
    <n v="86095.350000000035"/>
    <s v="Transfer Through UPI App"/>
    <s v="Google Pay App"/>
    <x v="385"/>
    <m/>
    <s v="2024-2025"/>
    <s v="CHECKED"/>
  </r>
  <r>
    <x v="1044"/>
    <d v="2024-11-03T00:00:00"/>
    <s v="   TO TRANSFER-UPI/DR/430823855972/Mr ROHIT/YESB/q440516765/grill--"/>
    <s v="TRANSFER TO 4897690162095"/>
    <n v="180"/>
    <m/>
    <n v="85915.350000000035"/>
    <s v="Transfer Through UPI App"/>
    <s v="Google Pay App"/>
    <x v="386"/>
    <m/>
    <s v="2024-2025"/>
    <s v="CHECKED"/>
  </r>
  <r>
    <x v="1044"/>
    <d v="2024-11-03T00:00:00"/>
    <s v="   TO TRANSFER-UPI/DR/430842850682/Lavish  /YESB/q174540525/UPI--"/>
    <s v="TRANSFER TO 4897690162095"/>
    <n v="220"/>
    <m/>
    <n v="85695.350000000035"/>
    <s v="Transfer Through UPI App"/>
    <s v="Google Pay App"/>
    <x v="366"/>
    <m/>
    <s v="2024-2025"/>
    <s v="CHECKED"/>
  </r>
  <r>
    <x v="1044"/>
    <d v="2024-11-03T00:00:00"/>
    <s v="   TO TRANSFER-UPI/DR/430843033597/Mr  VIKR/YESB/q028962466/fruit--"/>
    <s v="TRANSFER TO 4897690162095"/>
    <n v="50"/>
    <m/>
    <n v="85645.350000000035"/>
    <s v="Transfer Through UPI App"/>
    <s v="Google Pay App"/>
    <x v="233"/>
    <m/>
    <s v="2024-2025"/>
    <s v="CHECKED"/>
  </r>
  <r>
    <x v="1045"/>
    <d v="2024-11-05T00:00:00"/>
    <s v="   TO TRANSFER-UPI/DR/431020581907/Google I/ICIC/gpayutilit/UPI--"/>
    <s v="TRANSFER TO 4897692162094"/>
    <n v="4626"/>
    <m/>
    <n v="81019.350000000035"/>
    <s v="Transfer Through UPI App"/>
    <s v="Google Pay App"/>
    <x v="387"/>
    <m/>
    <s v="2024-2025"/>
    <s v="CHECKED"/>
  </r>
  <r>
    <x v="1046"/>
    <d v="2024-11-06T00:00:00"/>
    <s v="   TO TRANSFER-UPI/DR/431108196094/SADHU SI/YESB/paytm.s16e/drawi--"/>
    <s v="TRANSFER TO 4897693162093"/>
    <n v="70"/>
    <m/>
    <n v="80949.350000000035"/>
    <s v="Transfer Through UPI App"/>
    <s v="Google Pay App"/>
    <x v="388"/>
    <m/>
    <s v="2024-2025"/>
    <s v="CHECKED"/>
  </r>
  <r>
    <x v="1047"/>
    <d v="2024-11-07T00:00:00"/>
    <s v="   TO TRANSFER-UPI/DR/226796928173/ROHIT KU/SBIN/jainrohit2/Payme--"/>
    <s v="TRANSFER TO 4897694162092"/>
    <n v="25000"/>
    <m/>
    <n v="55949.350000000035"/>
    <s v="Transfer Through UPI App"/>
    <s v="Phone Pe App"/>
    <x v="154"/>
    <m/>
    <s v="2024-2025"/>
    <s v="8. Family Transfers"/>
  </r>
  <r>
    <x v="1047"/>
    <d v="2024-11-07T00:00:00"/>
    <s v="   TO TRANSFER-UPI/DR/431237899835/Google I/UTIB/gpay-utili/UPI--"/>
    <s v="TRANSFER TO 4897694162092"/>
    <n v="4626"/>
    <m/>
    <n v="51323.350000000035"/>
    <s v="Electricity Bill"/>
    <s v="Google Pay App"/>
    <x v="36"/>
    <m/>
    <s v="2024-2025"/>
    <s v="CHECKED"/>
  </r>
  <r>
    <x v="1048"/>
    <d v="2024-11-08T00:00:00"/>
    <s v="   BY TRANSFER-UPI/CR/431303445594/Google I/ICIC/gpayutilit/refun--"/>
    <s v="TRANSFER FROM 4897737162096"/>
    <m/>
    <n v="4626"/>
    <n v="55949.350000000035"/>
    <s v="Received Through Net Banking"/>
    <m/>
    <x v="389"/>
    <m/>
    <s v="2024-2025"/>
    <s v="CHECKED"/>
  </r>
  <r>
    <x v="1049"/>
    <d v="2024-11-09T00:00:00"/>
    <s v="   TO TRANSFER-UPI/DR/431451568967/Google I/UTIB/gpay-utili/UPI--"/>
    <s v="TRANSFER TO 4897696162090"/>
    <n v="95"/>
    <m/>
    <n v="55854.350000000035"/>
    <s v="Water Bill"/>
    <s v="Google Pay App"/>
    <x v="390"/>
    <m/>
    <s v="2024-2025"/>
    <s v="CHECKED"/>
  </r>
  <r>
    <x v="1049"/>
    <d v="2024-11-09T00:00:00"/>
    <s v="   TO TRANSFER-UPI/DR/431453463762/SADHU SI/YESB/paytm.s16e/UPI--"/>
    <s v="TRANSFER TO 4897696162090"/>
    <n v="40"/>
    <m/>
    <n v="55814.350000000035"/>
    <s v="Transfer Through UPI App"/>
    <s v="Google Pay App"/>
    <x v="391"/>
    <m/>
    <s v="2024-2025"/>
    <s v="1. House Expenses me abhi entry nhi ki hai"/>
  </r>
  <r>
    <x v="1050"/>
    <d v="2024-11-10T00:00:00"/>
    <s v="   TO TRANSFER-UPI/DR/431592882772/SHRI BAL/YESB/paytmqr1rc/elect--"/>
    <s v="TRANSFER TO 4897690162095"/>
    <n v="330"/>
    <m/>
    <n v="55484.350000000035"/>
    <s v="Transfer Through UPI App"/>
    <s v="Google Pay App"/>
    <x v="392"/>
    <m/>
    <s v="2024-2025"/>
    <s v="CHECKED"/>
  </r>
  <r>
    <x v="1050"/>
    <d v="2024-11-10T00:00:00"/>
    <s v="   TO TRANSFER-UPI/DR/431597851998/Mohit  S/SBIN/mohitratho/UPI--"/>
    <s v="TRANSFER TO 4897690162095"/>
    <n v="4000"/>
    <m/>
    <n v="51484.350000000035"/>
    <s v="Transfer Through UPI App"/>
    <s v="Google Pay App"/>
    <x v="238"/>
    <m/>
    <s v="2024-2025"/>
    <s v="CHECKED"/>
  </r>
  <r>
    <x v="1050"/>
    <d v="2024-11-10T00:00:00"/>
    <s v="   TO TRANSFER-UPI/DR/854933375504/LALI COL/FDRL/BHARATPE.9/Pay t--"/>
    <s v="TRANSFER TO 4897690162095"/>
    <n v="1300"/>
    <m/>
    <n v="50184.350000000035"/>
    <s v="Transfer Through UPI App"/>
    <s v="Google Pay App"/>
    <x v="393"/>
    <m/>
    <s v="2024-2025"/>
    <s v="6. pending to check with daily expenses sheet"/>
  </r>
  <r>
    <x v="1051"/>
    <d v="2024-11-12T00:00:00"/>
    <s v="   TO TRANSFER-UPI/DR/431776457969/DIVYA  J/SBIN/divya88jai/UPI--"/>
    <s v="TRANSFER TO 4897692162094"/>
    <n v="10000"/>
    <m/>
    <n v="40184.350000000035"/>
    <s v="Transfer Through UPI App"/>
    <s v="Google Pay App"/>
    <x v="394"/>
    <m/>
    <s v="2024-2025"/>
    <s v="CHECKED"/>
  </r>
  <r>
    <x v="1052"/>
    <d v="2024-11-16T00:00:00"/>
    <s v="   TO TRANSFER-UPI/DR/432182933413/DIVYA  J/SBIN/divya88jai/UPI--"/>
    <s v="TRANSFER TO 4897696162090"/>
    <n v="20000"/>
    <m/>
    <n v="20184.350000000035"/>
    <s v="Transfer Through UPI App"/>
    <s v="Google Pay App"/>
    <x v="394"/>
    <m/>
    <s v="2024-2025"/>
    <s v="CHECKED"/>
  </r>
  <r>
    <x v="1053"/>
    <d v="2024-11-17T00:00:00"/>
    <s v="   TO TRANSFER-UPI/DR/432255764097/DIVYA  J/SBIN/divya88jai/UPI--"/>
    <s v="TRANSFER TO 4897690162095"/>
    <n v="5000"/>
    <m/>
    <n v="15184.350000000035"/>
    <s v="Transfer Through UPI App"/>
    <s v="Google Pay App"/>
    <x v="394"/>
    <m/>
    <s v="2024-2025"/>
    <s v="CHECKED"/>
  </r>
  <r>
    <x v="1053"/>
    <d v="2024-11-17T00:00:00"/>
    <s v="   TO TRANSFER-UPI/DR/432264618168/MANNAT F/HDFC/vyapar.172/dinne--"/>
    <s v="TRANSFER TO 4897690162095"/>
    <n v="630"/>
    <m/>
    <n v="14554.350000000035"/>
    <s v="Transfer Through UPI App"/>
    <s v="Google Pay App"/>
    <x v="395"/>
    <m/>
    <s v="2024-2025"/>
    <s v="CHECKED"/>
  </r>
  <r>
    <x v="1054"/>
    <d v="2024-11-18T00:00:00"/>
    <s v="   TO TRANSFER-UPI/DR/432381762834/Jio Prep/YESB/paytm-jiom/divya--"/>
    <s v="TRANSFER TO 4897691162095"/>
    <n v="249"/>
    <m/>
    <n v="14305.350000000035"/>
    <s v="Mobile Recharge"/>
    <s v="Google Pay App"/>
    <x v="35"/>
    <m/>
    <s v="2024-2025"/>
    <s v="CHECKED"/>
  </r>
  <r>
    <x v="1055"/>
    <d v="2024-11-19T00:00:00"/>
    <s v="   BY TRANSFER-NEFT*HDFC0000240*N324243405477664*INDIAN CLEARING--"/>
    <s v="TRANSFER FROM 3199417044302"/>
    <m/>
    <n v="8525.86"/>
    <n v="22831.210000000036"/>
    <s v="Mutual Fund Sold"/>
    <m/>
    <x v="396"/>
    <m/>
    <s v="2024-2025"/>
    <s v="CHECKED"/>
  </r>
  <r>
    <x v="1055"/>
    <d v="2024-11-19T00:00:00"/>
    <s v="   TO TRANSFER-UPI/DR/432452094034/GURMIT K/BARB/lokendersi/UPI--"/>
    <s v="TRANSFER TO 4897692162094"/>
    <n v="80"/>
    <m/>
    <n v="22751.210000000036"/>
    <s v="Transfer Through UPI App"/>
    <s v="Google Pay App"/>
    <x v="397"/>
    <m/>
    <s v="2024-2025"/>
    <s v="1. House Expenses me abhi entry nhi ki hai"/>
  </r>
  <r>
    <x v="1056"/>
    <d v="2024-11-21T00:00:00"/>
    <s v="   BY TRANSFER-NEFT*HDFC0000240*N326243408623038*INDIAN CLEARING--"/>
    <s v="TRANSFER FROM 4697186044303"/>
    <m/>
    <n v="9745.27"/>
    <n v="32496.480000000036"/>
    <s v="Mutual Fund Sold"/>
    <m/>
    <x v="398"/>
    <m/>
    <s v="2024-2025"/>
    <s v="CHECKED"/>
  </r>
  <r>
    <x v="1056"/>
    <d v="2024-11-21T00:00:00"/>
    <s v="   BY TRANSFER-NEFT*HDFC0000240*N326243408623037*INDIAN CLEARING--"/>
    <s v="TRANSFER FROM 4697187044302"/>
    <m/>
    <n v="9718.75"/>
    <n v="42215.23000000004"/>
    <s v="Mutual Fund Sold"/>
    <m/>
    <x v="399"/>
    <m/>
    <s v="2024-2025"/>
    <s v="CHECKED"/>
  </r>
  <r>
    <x v="1057"/>
    <d v="2024-11-23T00:00:00"/>
    <s v="   TO TRANSFER-UPI/DR/432840809007/DIVYA  J/SBIN/divya88jai/UPI--"/>
    <s v="TRANSFER TO 4897696162090"/>
    <n v="15000"/>
    <m/>
    <n v="27215.23000000004"/>
    <s v="Transfer Through UPI App"/>
    <s v="Google Pay App"/>
    <x v="394"/>
    <m/>
    <s v="2024-2025"/>
    <s v="CHECKED"/>
  </r>
  <r>
    <x v="1058"/>
    <d v="2024-11-24T00:00:00"/>
    <s v="   TO TRANSFER-UPI/DR/432987526751/RELIANCE/CITI/jio@citiba/JIO20--"/>
    <s v="TRANSFER TO 4897690162095"/>
    <n v="352.82"/>
    <m/>
    <n v="26862.41000000004"/>
    <s v="Mobile Recharge"/>
    <m/>
    <x v="18"/>
    <m/>
    <s v="2024-2025"/>
    <s v="CHECKED"/>
  </r>
  <r>
    <x v="1059"/>
    <d v="2024-11-25T00:00:00"/>
    <s v="   TO TRANSFER-UPI/DR/433039322391/RAMESH/HDFC/9414486280/UPI--"/>
    <s v="TRANSFER TO 4897691162095"/>
    <n v="200"/>
    <m/>
    <n v="26662.41000000004"/>
    <s v="Transfer Through UPI App"/>
    <s v="Google Pay App"/>
    <x v="400"/>
    <m/>
    <s v="2024-2025"/>
    <s v="1. House Expenses me abhi entry nhi ki hai"/>
  </r>
  <r>
    <x v="1059"/>
    <d v="2024-11-25T00:00:00"/>
    <s v="   TO TRANSFER-UPI/DR/433039524633/ANKUSH C/YESB/paytmqr550/ratio--"/>
    <s v="TRANSFER TO 4897691162095"/>
    <n v="1900"/>
    <m/>
    <n v="24762.41000000004"/>
    <s v="Transfer Through UPI App"/>
    <s v="Google Pay App"/>
    <x v="173"/>
    <m/>
    <s v="2024-2025"/>
    <s v="CHECKED"/>
  </r>
  <r>
    <x v="1059"/>
    <d v="2024-11-25T00:00:00"/>
    <s v="   TO TRANSFER-UPI/DR/433042950792/DIVYA  J/SBIN/divya88jai/UPI--"/>
    <s v="TRANSFER TO 4897691162095"/>
    <n v="12000"/>
    <m/>
    <n v="12762.41000000004"/>
    <s v="Transfer Through UPI App"/>
    <s v="Google Pay App"/>
    <x v="394"/>
    <m/>
    <s v="2024-2025"/>
    <s v="CHECKED"/>
  </r>
  <r>
    <x v="1060"/>
    <d v="2024-11-28T00:00:00"/>
    <s v="   TO TRANSFER-UPI/DR/433316618796/SURENDRA/SBIN/surendrapa/honey--"/>
    <s v="TRANSFER TO 4897694162092"/>
    <n v="600"/>
    <m/>
    <n v="12162.41000000004"/>
    <s v="Transfer Through UPI App"/>
    <s v="Google Pay App"/>
    <x v="401"/>
    <m/>
    <s v="2024-2025"/>
    <s v="CHECKED"/>
  </r>
  <r>
    <x v="1060"/>
    <d v="2024-11-28T00:00:00"/>
    <s v="   BY TRANSFER-NEFT*HDFC0000240*N333243419763693*INDIAN CLEARING--"/>
    <s v="TRANSFER FROM 4697237044307"/>
    <m/>
    <n v="7496.17"/>
    <n v="19658.580000000038"/>
    <s v="Mutual Fund Sold"/>
    <m/>
    <x v="402"/>
    <m/>
    <s v="2024-2025"/>
    <s v="CHECKED"/>
  </r>
  <r>
    <x v="1061"/>
    <d v="2024-11-30T00:00:00"/>
    <s v="   TO TRANSFER-UPI/DR/433541275285/MANNAT F/HDFC/vyapar.172/dinne--"/>
    <s v="TRANSFER TO 4897696162090"/>
    <n v="320"/>
    <m/>
    <n v="19338.580000000038"/>
    <s v="Transfer Through UPI App"/>
    <s v="Google Pay App"/>
    <x v="395"/>
    <m/>
    <s v="2024-2025"/>
    <s v="CHECKED"/>
  </r>
  <r>
    <x v="1062"/>
    <d v="2024-12-01T00:00:00"/>
    <s v="   TO TRANSFER-UPI/DR/433660633933/ANKUSH M/PUNB/ankusharor/Milk--"/>
    <s v="TRANSFER TO 4897690162095"/>
    <n v="3000"/>
    <m/>
    <n v="16338.580000000038"/>
    <s v="Transfer Through UPI App"/>
    <s v="Google Pay App"/>
    <x v="265"/>
    <m/>
    <s v="2024-2025"/>
    <s v="CHECKED"/>
  </r>
  <r>
    <x v="1062"/>
    <d v="2024-12-01T00:00:00"/>
    <s v="   TO TRANSFER-UPI/DR/433696406907/Lavish  /YESB/q174540525/UPI--"/>
    <s v="TRANSFER TO 4897690162095"/>
    <n v="700"/>
    <m/>
    <n v="15638.580000000038"/>
    <s v="Transfer Through UPI App"/>
    <s v="Google Pay App"/>
    <x v="234"/>
    <m/>
    <s v="2024-2025"/>
    <s v="CHECKED"/>
  </r>
  <r>
    <x v="1062"/>
    <d v="2024-12-01T00:00:00"/>
    <s v="   TO TRANSFER-UPI/DR/433696765480/Mr  VIKR/YESB/q028962466/UPI--"/>
    <s v="TRANSFER TO 4897690162095"/>
    <n v="50"/>
    <m/>
    <n v="15588.580000000038"/>
    <s v="Transfer Through UPI App"/>
    <s v="Google Pay App"/>
    <x v="233"/>
    <m/>
    <s v="2024-2025"/>
    <s v="CHECKED"/>
  </r>
  <r>
    <x v="1063"/>
    <d v="2024-12-02T00:00:00"/>
    <s v="   BY TRANSFER-NEFT*RBIS0GORJEP*RBI3382471635105*TREASURY OFFICE--"/>
    <s v="TRANSFER FROM 4698202044309"/>
    <m/>
    <n v="49889"/>
    <n v="65477.580000000038"/>
    <s v="Salary"/>
    <m/>
    <x v="0"/>
    <m/>
    <s v="2024-2025"/>
    <s v="CHECKED"/>
  </r>
  <r>
    <x v="1063"/>
    <d v="2024-12-02T00:00:00"/>
    <s v="   TO TRANSFER-UPI/DR/433745971192/Google I/UTIB/gpay-utili/UPI--"/>
    <s v="TRANSFER TO 4897691162095"/>
    <n v="834"/>
    <m/>
    <n v="64643.580000000038"/>
    <s v="Transfer Through UPI App"/>
    <s v="Google Pay App"/>
    <x v="113"/>
    <m/>
    <s v="2024-2025"/>
    <s v="CHECKED"/>
  </r>
  <r>
    <x v="1064"/>
    <d v="2024-12-04T00:00:00"/>
    <s v="   FI Txn @ CSP outlet-002409160819959720 AEPS WDL TXN @KO 1A773C89--"/>
    <s v="TRANSFER TO 41308218798                           "/>
    <n v="20000"/>
    <m/>
    <n v="44643.580000000038"/>
    <s v="Cash Withdrwal"/>
    <m/>
    <x v="174"/>
    <s v="20000 from bank and 5000 from home cash and 20 k note ki 3 gtti 6000_x000a_Total 31000 given to divya for vikas marriage"/>
    <s v="2024-2025"/>
    <s v="CHECKED"/>
  </r>
  <r>
    <x v="1065"/>
    <d v="2024-12-06T00:00:00"/>
    <s v="   BY TRANSFER-P12240101E0CF HPCL LPG SUBSIDY HPAP34D--"/>
    <s v="TRANSFER FROM 4697815105219"/>
    <m/>
    <n v="9.9499999999999993"/>
    <n v="44653.530000000035"/>
    <s v="Subsidy"/>
    <m/>
    <x v="6"/>
    <m/>
    <s v="2024-2025"/>
    <s v="CHECKED"/>
  </r>
  <r>
    <x v="1066"/>
    <d v="2024-12-07T00:00:00"/>
    <s v="   TO TRANSFER-UPI/DR/434244855735/ANKUSH M/PUNB/ankusharor/milk--"/>
    <s v="TRANSFER TO 4897696162090"/>
    <n v="700"/>
    <m/>
    <n v="43953.530000000035"/>
    <s v="Transfer Through UPI App"/>
    <s v="Google Pay App"/>
    <x v="265"/>
    <m/>
    <s v="2024-2025"/>
    <s v="CHECKED"/>
  </r>
  <r>
    <x v="1066"/>
    <d v="2024-12-07T00:00:00"/>
    <s v="   TO TRANSFER-UPI/DR/434253631419/KULAR FI/YESB/paytmqr5g7/petro--"/>
    <s v="TRANSFER TO 4897696162090"/>
    <n v="700"/>
    <m/>
    <n v="43253.530000000035"/>
    <s v="Transfer Through UPI App"/>
    <s v="Google Pay App"/>
    <x v="403"/>
    <m/>
    <s v="2024-2025"/>
    <s v="CHECKED"/>
  </r>
  <r>
    <x v="1067"/>
    <d v="2024-12-08T00:00:00"/>
    <s v="   TO TRANSFER-UPI/DR/434395737600/SURAJ SA/KKBK/7385506648/UPI--"/>
    <s v="TRANSFER TO 4897690162095"/>
    <n v="38"/>
    <m/>
    <n v="43215.530000000035"/>
    <s v="Transfer Through UPI App"/>
    <s v="Google Pay App"/>
    <x v="404"/>
    <m/>
    <s v="2024-2025"/>
    <s v="6. pending to check with daily expenses sheet"/>
  </r>
  <r>
    <x v="1068"/>
    <d v="2024-12-10T00:00:00"/>
    <s v="   TO TRANSFER-UPI/DR/434508706382/Mohit  S/SBIN/mohitratho/UPI--"/>
    <s v="TRANSFER TO 4897692162094"/>
    <n v="4000"/>
    <m/>
    <n v="39215.530000000035"/>
    <s v="Transfer Through UPI App"/>
    <s v="Google Pay App"/>
    <x v="238"/>
    <m/>
    <s v="2024-2025"/>
    <s v="CHECKED"/>
  </r>
  <r>
    <x v="1069"/>
    <d v="2024-12-11T00:00:00"/>
    <s v="   TO TRANSFER-UPI/DR/434641964793/Jio Prep/YESB/paytm-jiom/divya--"/>
    <s v="TRANSFER TO 4897693162093"/>
    <n v="249"/>
    <m/>
    <n v="38966.530000000035"/>
    <s v="Mobile Recharge"/>
    <s v="Google Pay App"/>
    <x v="35"/>
    <m/>
    <s v="2024-2025"/>
    <s v="CHECKED"/>
  </r>
  <r>
    <x v="1070"/>
    <d v="2024-12-18T00:00:00"/>
    <s v="   FI Txn @ CSP outlet-003617811298813579 AEPS WDL TXN @KO 1A900867--"/>
    <s v="TRANSFER TO 35749786402                           "/>
    <n v="15000"/>
    <m/>
    <n v="23966.530000000035"/>
    <s v="Cash Withdrwal"/>
    <m/>
    <x v="174"/>
    <m/>
    <s v="2024-2025"/>
    <s v="CHECKED"/>
  </r>
  <r>
    <x v="1071"/>
    <d v="2024-12-24T00:00:00"/>
    <s v="   TO TRANSFER-UPI/DR/435986243576/RELIANCE/CITI/jio@citiba/JIO20--"/>
    <s v="TRANSFER TO 4897692162094"/>
    <n v="483.63"/>
    <m/>
    <n v="23482.900000000034"/>
    <s v="Mobile Recharge"/>
    <m/>
    <x v="18"/>
    <m/>
    <s v="2024-2025"/>
    <s v="CHECKED"/>
  </r>
  <r>
    <x v="1072"/>
    <d v="2024-12-25T00:00:00"/>
    <s v="   CREDIT INTEREST---"/>
    <m/>
    <m/>
    <n v="329"/>
    <n v="23811.900000000034"/>
    <s v="Credit Interest"/>
    <m/>
    <x v="0"/>
    <m/>
    <s v="2024-2025"/>
    <s v="CHECKED"/>
  </r>
  <r>
    <x v="1073"/>
    <d v="2024-12-31T00:00:00"/>
    <s v="   TO TRANSFER-UPI/DR/436605793412/ANKUSH M/PUNB/ankusharor/milk--"/>
    <s v="TRANSFER TO 4897692162094"/>
    <n v="650"/>
    <m/>
    <n v="23161.900000000034"/>
    <s v="Transfer Through UPI App"/>
    <s v="Google Pay App"/>
    <x v="265"/>
    <m/>
    <s v="2024-2025"/>
    <s v="CHECKED"/>
  </r>
  <r>
    <x v="1074"/>
    <d v="2025-01-01T00:00:00"/>
    <s v="   BY TRANSFER-NEFT*RBIS0GORJEP*RBI0012525447729*TREASURY OFFICE--"/>
    <s v="TRANSFER FROM 4697176044305"/>
    <m/>
    <n v="49889"/>
    <n v="73050.900000000038"/>
    <s v="Salary"/>
    <m/>
    <x v="0"/>
    <m/>
    <s v="2024-2025"/>
    <s v="CHECKED"/>
  </r>
  <r>
    <x v="1075"/>
    <d v="2025-01-06T00:00:00"/>
    <s v="   TO TRANSFER-UPI/DR/500601402280/Lavish  /YESB/q174540525/UPI--"/>
    <s v="TRANSFER TO 4897691162095"/>
    <n v="700"/>
    <m/>
    <n v="72350.900000000038"/>
    <s v="Transfer Through UPI App"/>
    <s v="Google Pay App"/>
    <x v="405"/>
    <m/>
    <s v="2024-2025"/>
    <s v="1. House Expenses me abhi entry nhi ki hai"/>
  </r>
  <r>
    <x v="1075"/>
    <d v="2025-01-06T00:00:00"/>
    <s v="   TO TRANSFER-UPI/DR/500604310120/Mr  VIKR/YESB/q028962466/sbji--"/>
    <s v="TRANSFER TO 4897691162095"/>
    <n v="25"/>
    <m/>
    <n v="72325.900000000038"/>
    <s v="Transfer Through UPI App"/>
    <s v="Google Pay App"/>
    <x v="233"/>
    <m/>
    <s v="2024-2025"/>
    <s v="CHECKED"/>
  </r>
  <r>
    <x v="1075"/>
    <d v="2025-01-06T00:00:00"/>
    <s v="   TO TRANSFER-UPI/DR/500626526421/Buta Singh/YESB/q706402482/UPI--"/>
    <s v="TRANSFER TO 4897691162095"/>
    <n v="60"/>
    <m/>
    <n v="72265.900000000038"/>
    <s v="Transfer Through UPI App"/>
    <s v="Google Pay App"/>
    <x v="353"/>
    <m/>
    <s v="2024-2025"/>
    <s v="CHECKED"/>
  </r>
  <r>
    <x v="1076"/>
    <d v="2025-01-07T00:00:00"/>
    <s v="   TO TRANSFER-UPI/DR/500739894022/SATISH K/PUNB/kumarsatis/UPI--"/>
    <s v="TRANSFER TO 4897692162094"/>
    <n v="3000"/>
    <m/>
    <n v="69265.900000000038"/>
    <s v="Transfer Through UPI App"/>
    <s v="Google Pay App"/>
    <x v="348"/>
    <m/>
    <s v="2024-2025"/>
    <s v="CHECKED"/>
  </r>
  <r>
    <x v="1077"/>
    <d v="2025-01-08T00:00:00"/>
    <s v="   BY TRANSFER-UPI/CR/565401482129/MANISH  /SBIN/9462176031/Payme--"/>
    <s v="TRANSFER FROM 4897735162098"/>
    <m/>
    <n v="4300"/>
    <n v="73565.900000000038"/>
    <s v="Received Through UPI App"/>
    <s v="Phone Pe App"/>
    <x v="304"/>
    <m/>
    <s v="2024-2025"/>
    <s v="CHECKED"/>
  </r>
  <r>
    <x v="1078"/>
    <d v="2025-01-09T00:00:00"/>
    <s v="   TO TRANSFER-UPI/DR/500944899899/JITENDER/PUNB/rajatgarg2/langa--"/>
    <s v="TRANSFER TO 4897694162092"/>
    <n v="100"/>
    <m/>
    <n v="73465.900000000038"/>
    <s v="Transfer Through UPI App"/>
    <s v="Google Pay App"/>
    <x v="406"/>
    <m/>
    <s v="2024-2025"/>
    <s v="1. House Expenses me abhi entry nhi ki hai"/>
  </r>
  <r>
    <x v="1079"/>
    <d v="2025-01-10T00:00:00"/>
    <s v="   TO TRANSFER-UPI/DR/501070920572/Mohit  S/SBIN/mohitratho/UPI--"/>
    <s v="TRANSFER TO 4897695162091"/>
    <n v="4000"/>
    <m/>
    <n v="69465.900000000038"/>
    <s v="Transfer Through UPI App"/>
    <s v="Google Pay App"/>
    <x v="238"/>
    <m/>
    <s v="2024-2025"/>
    <s v="1. House Expenses me abhi entry nhi ki hai"/>
  </r>
  <r>
    <x v="1079"/>
    <d v="2025-01-10T00:00:00"/>
    <s v="   BY TRANSFER-UPI/CR/589581340480/SURENDER/IPOS/9680404767/Payme--"/>
    <s v="TRANSFER FROM 4897737162096"/>
    <m/>
    <n v="200"/>
    <n v="69665.900000000038"/>
    <s v="Received Through UPI App"/>
    <s v="Phone Pe App"/>
    <x v="407"/>
    <m/>
    <s v="2024-2025"/>
    <s v="CHECKED"/>
  </r>
  <r>
    <x v="1079"/>
    <d v="2025-01-10T00:00:00"/>
    <s v="   BY TRANSFER-UPI/CR/726257000935/SATISH  /SBIN/9413062235/Payme--"/>
    <s v="TRANSFER FROM 4897737162096"/>
    <m/>
    <n v="3000"/>
    <n v="72665.900000000038"/>
    <s v="Received Through UPI App"/>
    <s v="Phone Pe App"/>
    <x v="222"/>
    <m/>
    <s v="2024-2025"/>
    <s v="CHECKED"/>
  </r>
  <r>
    <x v="1080"/>
    <d v="2025-01-12T00:00:00"/>
    <s v="   TO TRANSFER-UPI/DR/501289411409/FASHION /HDFC/fashioncam/cloth--"/>
    <s v="TRANSFER TO 4897690162095"/>
    <n v="6300"/>
    <m/>
    <n v="66365.900000000038"/>
    <s v="Transfer Through UPI App"/>
    <s v="Google Pay App"/>
    <x v="408"/>
    <m/>
    <s v="2024-2025"/>
    <s v="1. House Expenses me abhi entry nhi ki hai"/>
  </r>
  <r>
    <x v="1081"/>
    <d v="2025-01-13T00:00:00"/>
    <s v="   TO TRANSFER-UPI/DR/501329815802/Jio Prep/YESB/paytm-jiom/divya--"/>
    <s v="TRANSFER TO 4897691162095"/>
    <n v="249"/>
    <m/>
    <n v="66116.900000000038"/>
    <s v="Mobile Recharge"/>
    <s v="Google Pay App"/>
    <x v="35"/>
    <m/>
    <s v="2024-2025"/>
    <s v="CHECKED"/>
  </r>
  <r>
    <x v="1082"/>
    <d v="2025-01-14T00:00:00"/>
    <s v="   TO TRANSFER-UPI/DR/501484509838/RED TAPE/HDFC/redtapesho/UPI--"/>
    <s v="TRANSFER TO 4897692162094"/>
    <n v="1999"/>
    <m/>
    <n v="64117.900000000038"/>
    <s v="Transfer Through UPI App"/>
    <s v="Google Pay App"/>
    <x v="409"/>
    <m/>
    <s v="2024-2025"/>
    <s v="1. House Expenses me abhi entry nhi ki hai"/>
  </r>
  <r>
    <x v="1083"/>
    <d v="2025-01-16T00:00:00"/>
    <s v="   TO TRANSFER-UPI/DR/501632543564/DIVYA  J/SBIN/divya88jai/UPI--"/>
    <s v="TRANSFER TO 4897694162092"/>
    <n v="11000"/>
    <m/>
    <n v="53117.900000000038"/>
    <s v="Transfer Through UPI App"/>
    <s v="Google Pay App"/>
    <x v="394"/>
    <m/>
    <s v="2024-2025"/>
    <s v="CHECKED"/>
  </r>
  <r>
    <x v="1083"/>
    <d v="2025-01-16T00:00:00"/>
    <s v="   BULK POSTING-ITDTAX REFUND 2024-25 ANBPJ3859N--"/>
    <m/>
    <m/>
    <n v="10500"/>
    <n v="63617.900000000038"/>
    <s v="Retrun from Income Tax Department"/>
    <m/>
    <x v="410"/>
    <m/>
    <s v="2024-2025"/>
    <s v="CHECKED"/>
  </r>
  <r>
    <x v="1084"/>
    <d v="2025-01-20T00:00:00"/>
    <s v="   BY TRANSFER-NEFT*HDFC0000240*HDFCH00013553403*INDIAN CLEARING--"/>
    <s v="TRANSFER FROM 4697197044300"/>
    <m/>
    <n v="10547.31"/>
    <n v="74165.210000000036"/>
    <s v="Mutual Fund Sold"/>
    <m/>
    <x v="411"/>
    <m/>
    <s v="2024-2025"/>
    <s v="CHECKED"/>
  </r>
  <r>
    <x v="1084"/>
    <d v="2025-01-20T00:00:00"/>
    <s v="   BY TRANSFER-NEFT*HDFC0000240*HDFCH00013552712*INDIAN CLEARING--"/>
    <s v="TRANSFER FROM 4697196044301"/>
    <m/>
    <n v="13609.1"/>
    <n v="87774.310000000041"/>
    <s v="Mutual Fund Sold"/>
    <m/>
    <x v="412"/>
    <m/>
    <s v="2024-2025"/>
    <s v="CHECKED"/>
  </r>
  <r>
    <x v="1084"/>
    <d v="2025-01-20T00:00:00"/>
    <s v="   TO TRANSFER-UPI/DR/502005652660/Mr  VIKR/YESB/q028962466/sabji--"/>
    <s v="TRANSFER TO 4897691162095"/>
    <n v="100"/>
    <m/>
    <n v="87674.310000000041"/>
    <s v="Transfer Through UPI App"/>
    <s v="Google Pay App"/>
    <x v="233"/>
    <m/>
    <s v="2024-2025"/>
    <s v="CHECKED"/>
  </r>
  <r>
    <x v="1085"/>
    <d v="2025-01-21T00:00:00"/>
    <s v="   TO TRANSFER-UPI/DR/646344873708/ROHIT KU/SBIN/jainrohit2/Payme--"/>
    <s v="TRANSFER TO 4897692162094"/>
    <n v="30000"/>
    <m/>
    <n v="57674.310000000041"/>
    <s v="Transfer Through UPI App"/>
    <s v="Phone Pe App"/>
    <x v="154"/>
    <m/>
    <s v="2024-2025"/>
    <s v="8. Family Transfers"/>
  </r>
  <r>
    <x v="1085"/>
    <d v="2025-01-21T00:00:00"/>
    <s v="   TO TRANSFER-UPI/DR/502141999578/ASHOK/YESB/q734627083/aata--"/>
    <s v="TRANSFER TO 4897692162094"/>
    <n v="180"/>
    <m/>
    <n v="57494.310000000041"/>
    <s v="Transfer Through UPI App"/>
    <s v="Google Pay App"/>
    <x v="232"/>
    <m/>
    <s v="2024-2025"/>
    <s v="1. House Expenses me abhi entry nhi ki hai"/>
  </r>
  <r>
    <x v="1086"/>
    <d v="2025-01-23T00:00:00"/>
    <s v="   TO TRANSFER-UPI/DR/502395046506/Google I/UTIB/gpay-utili/UPI--"/>
    <s v="TRANSFER TO 4897694162092"/>
    <n v="429"/>
    <m/>
    <n v="57065.310000000041"/>
    <s v="Electricity Bill"/>
    <s v="Google Pay App"/>
    <x v="36"/>
    <m/>
    <s v="2024-2025"/>
    <s v="1. House Expenses me abhi entry nhi ki hai"/>
  </r>
  <r>
    <x v="1086"/>
    <d v="2025-01-23T00:00:00"/>
    <s v="   TO TRANSFER-UPI/DR/988821685379/SURENDER/IPOS/9680404767/Payme--"/>
    <s v="TRANSFER TO 4897694162092"/>
    <n v="3000"/>
    <m/>
    <n v="54065.310000000041"/>
    <s v="Transfer Through UPI App"/>
    <s v="Phone Pe App"/>
    <x v="413"/>
    <m/>
    <s v="2024-2025"/>
    <s v="CHECKED"/>
  </r>
  <r>
    <x v="1087"/>
    <d v="2025-01-24T00:00:00"/>
    <s v="   TO TRANSFER-UPI/DR/502457363703/ASHOK/YESB/q734627083/aata--"/>
    <s v="TRANSFER TO 4897695162091"/>
    <n v="170"/>
    <m/>
    <n v="53895.310000000041"/>
    <s v="Transfer Through UPI App"/>
    <s v="Google Pay App"/>
    <x v="232"/>
    <m/>
    <s v="2024-2025"/>
    <s v="1. House Expenses me abhi entry nhi ki hai"/>
  </r>
  <r>
    <x v="1087"/>
    <d v="2025-01-24T00:00:00"/>
    <s v="   TO TRANSFER-UPI/DR/502474713726/RELIANCE/CITI/jio@citiba/JIO20--"/>
    <s v="TRANSFER TO 4897695162091"/>
    <n v="357.64"/>
    <m/>
    <n v="53537.670000000042"/>
    <s v="Mobile Recharge"/>
    <m/>
    <x v="18"/>
    <m/>
    <s v="2024-2025"/>
    <s v="1. House Expenses me abhi entry nhi ki hai"/>
  </r>
  <r>
    <x v="1088"/>
    <d v="2025-01-26T00:00:00"/>
    <s v="   TO TRANSFER-UPI/DR/502624288862/Zerodha /HDFC/zerodhabro/88774--"/>
    <s v="TRANSFER TO 4897690162095"/>
    <n v="100"/>
    <m/>
    <n v="53437.670000000042"/>
    <s v="Transfer Through UPI App"/>
    <s v="Google Pay App"/>
    <x v="414"/>
    <m/>
    <s v="2024-2025"/>
    <s v="CHECKED"/>
  </r>
  <r>
    <x v="1089"/>
    <d v="2025-01-27T00:00:00"/>
    <s v="   TO TRANSFER-UPI/DR/502770099107/DIVYA  J/SBIN/divya88jai/UPI--"/>
    <s v="TRANSFER TO 4897691162095"/>
    <n v="27000"/>
    <m/>
    <n v="26437.670000000042"/>
    <s v="Transfer Through UPI App"/>
    <s v="Google Pay App"/>
    <x v="394"/>
    <m/>
    <s v="2024-2025"/>
    <s v="CHECKED"/>
  </r>
  <r>
    <x v="1090"/>
    <d v="2025-01-29T00:00:00"/>
    <s v="   BY TRANSFER-NEFT*HDFC0000240*HDFCH00027562511*INDIAN CLEARING--"/>
    <s v="TRANSFER FROM 3199969044303"/>
    <m/>
    <n v="25781.56"/>
    <n v="52219.23000000004"/>
    <s v="Mutual Fund Sold"/>
    <m/>
    <x v="182"/>
    <m/>
    <s v="2024-2025"/>
    <s v="CHECKED"/>
  </r>
  <r>
    <x v="1090"/>
    <d v="2025-01-29T00:00:00"/>
    <s v="   TO TRANSFER-UPI/DR/502932486001/DIVYA  J/SBIN/divya88jai/UPI--"/>
    <s v="TRANSFER TO 4897693162093"/>
    <n v="19000"/>
    <m/>
    <n v="33219.23000000004"/>
    <s v="Transfer Through UPI App"/>
    <s v="Google Pay App"/>
    <x v="394"/>
    <m/>
    <s v="2024-2025"/>
    <s v="CHECKED"/>
  </r>
  <r>
    <x v="1090"/>
    <d v="2025-01-29T00:00:00"/>
    <s v="   BY TRANSFER-UPI/CR/893270496647/SURENDER/IPOS/9680404767/Payme--"/>
    <s v="TRANSFER FROM 4897735162098"/>
    <m/>
    <n v="3000"/>
    <n v="36219.23000000004"/>
    <s v="Received Through UPI App"/>
    <s v="Phone Pe App"/>
    <x v="413"/>
    <m/>
    <s v="2024-2025"/>
    <s v="CHECKED"/>
  </r>
  <r>
    <x v="1090"/>
    <d v="2025-01-29T00:00:00"/>
    <s v="   TO TRANSFER-UPI/DR/502970378169/DIVYA  J/SBIN/divya88jai/UPI--"/>
    <s v="TRANSFER TO 4897693162093"/>
    <n v="16000"/>
    <m/>
    <n v="20219.23000000004"/>
    <s v="Transfer Through UPI App"/>
    <s v="Google Pay App"/>
    <x v="394"/>
    <m/>
    <s v="2024-2025"/>
    <s v="CHECKED"/>
  </r>
  <r>
    <x v="1091"/>
    <d v="2025-01-30T00:00:00"/>
    <s v="   TO TRANSFER-UPI/DR/161014056382/SABANA  /SBIN/8560928685/Payme--"/>
    <s v="TRANSFER TO 4897694162092"/>
    <n v="1500"/>
    <m/>
    <n v="18719.23000000004"/>
    <s v="Transfer Through UPI App"/>
    <s v="Phone Pe App"/>
    <x v="165"/>
    <m/>
    <s v="2024-2025"/>
    <s v="CHECKED"/>
  </r>
  <r>
    <x v="1092"/>
    <d v="2025-01-31T00:00:00"/>
    <s v="   BY TRANSFER-NEFT*HDFC0000240*HDFCH00031747789*INDIAN CLEARING--"/>
    <s v="TRANSFER FROM 4697226044300"/>
    <m/>
    <n v="19053.32"/>
    <n v="37772.550000000039"/>
    <s v="Mutual Fund Sold"/>
    <m/>
    <x v="415"/>
    <m/>
    <s v="2024-2025"/>
    <s v="CHECKED"/>
  </r>
  <r>
    <x v="1092"/>
    <d v="2025-01-31T00:00:00"/>
    <s v="   TO TRANSFER-UPI/DR/503154674836/RACHNA  /SBIN/ankushchug/ratio--"/>
    <s v="TRANSFER TO 4897695162091"/>
    <n v="2060"/>
    <m/>
    <n v="35712.550000000039"/>
    <s v="Transfer Through UPI App"/>
    <s v="Google Pay App"/>
    <x v="173"/>
    <m/>
    <s v="2024-2025"/>
    <s v="1. House Expenses me abhi entry nhi ki hai"/>
  </r>
  <r>
    <x v="1092"/>
    <d v="2025-01-31T00:00:00"/>
    <s v="   TO TRANSFER-UPI/DR/503161550429/ANKUSH M/PUNB/ankusharor/milk--"/>
    <s v="TRANSFER TO 4897695162091"/>
    <n v="440"/>
    <m/>
    <n v="35272.550000000039"/>
    <s v="Transfer Through UPI App"/>
    <s v="Google Pay App"/>
    <x v="265"/>
    <m/>
    <s v="2024-2025"/>
    <s v="1. House Expenses me abhi entry nhi ki hai"/>
  </r>
  <r>
    <x v="1092"/>
    <d v="2025-01-31T00:00:00"/>
    <s v="   TO TRANSFER-UPI/DR/503161636427/ANKUSH M/PUNB/ankusharor/milk--"/>
    <s v="TRANSFER TO 4897695162091"/>
    <n v="40"/>
    <m/>
    <n v="35232.550000000039"/>
    <s v="Transfer Through UPI App"/>
    <s v="Google Pay App"/>
    <x v="265"/>
    <m/>
    <s v="2024-2025"/>
    <s v="1. House Expenses me abhi entry nhi ki hai"/>
  </r>
  <r>
    <x v="1093"/>
    <d v="2025-02-01T00:00:00"/>
    <s v="   TO TRANSFER-UPI/DR/503215850475/Amazon Pay/UTIB/amazonupi@/You--"/>
    <s v="TRANSFER TO 4897696162090"/>
    <n v="913"/>
    <m/>
    <n v="34319.550000000039"/>
    <s v="Transfer Through UPI App"/>
    <s v="Google Pay App"/>
    <x v="416"/>
    <m/>
    <s v="2024-2025"/>
    <s v="1. House Expenses me abhi entry nhi ki hai"/>
  </r>
  <r>
    <x v="1093"/>
    <d v="2025-02-01T00:00:00"/>
    <s v="   TO TRANSFER-UPI/DR/503268965631/Amazon P/RATN/amazonpayg/You a--"/>
    <s v="TRANSFER TO 4897696162090"/>
    <n v="1763"/>
    <m/>
    <n v="32556.550000000039"/>
    <s v="Transfer Through UPI App"/>
    <s v="Google Pay App"/>
    <x v="417"/>
    <m/>
    <s v="2024-2025"/>
    <s v="1. House Expenses me abhi entry nhi ki hai"/>
  </r>
  <r>
    <x v="1094"/>
    <d v="2025-02-02T00:00:00"/>
    <s v="   TO TRANSFER-UPI/DR/503347136170/ASHOK/YESB/q282193224/aata--"/>
    <s v="TRANSFER TO 4897690162095"/>
    <n v="280"/>
    <m/>
    <n v="32276.550000000039"/>
    <s v="Transfer Through UPI App"/>
    <s v="Google Pay App"/>
    <x v="232"/>
    <m/>
    <s v="2024-2025"/>
    <s v="1. House Expenses me abhi entry nhi ki hai"/>
  </r>
  <r>
    <x v="1095"/>
    <d v="2025-02-03T00:00:00"/>
    <s v="   TO TRANSFER-UPI/DR/503469780094/DIVYA  J/SBIN/divya88jai/UPI--"/>
    <s v="TRANSFER TO 4897691162095"/>
    <n v="20000"/>
    <m/>
    <n v="12276.550000000039"/>
    <s v="Transfer Through UPI App"/>
    <s v="Google Pay App"/>
    <x v="394"/>
    <m/>
    <s v="2024-2025"/>
    <s v="CHECKED"/>
  </r>
  <r>
    <x v="1095"/>
    <d v="2025-02-03T00:00:00"/>
    <s v="   BY TRANSFER-NEFT*HDFC0000240*HDFCH00038027891*INDIAN CLEARING--"/>
    <s v="TRANSFER FROM 4698171044302"/>
    <m/>
    <n v="15844.32"/>
    <n v="28120.870000000039"/>
    <s v="Mutual Fund Sold"/>
    <m/>
    <x v="257"/>
    <m/>
    <s v="2024-2025"/>
    <s v="CHECKED"/>
  </r>
  <r>
    <x v="1096"/>
    <d v="2025-02-04T00:00:00"/>
    <s v="   TO TRANSFER-UPI/DR/503599946299/Google I/UTIB/gpay-utili/UPI--"/>
    <s v="TRANSFER TO 4897692162094"/>
    <n v="65"/>
    <m/>
    <n v="28055.870000000039"/>
    <s v="Electricity Bill"/>
    <s v="Google Pay App"/>
    <x v="36"/>
    <m/>
    <s v="2024-2025"/>
    <s v="1. House Expenses me abhi entry nhi ki hai"/>
  </r>
  <r>
    <x v="1097"/>
    <d v="2025-02-05T00:00:00"/>
    <s v="   BY TRANSFER-NEFT*HDFC0000240*HDFCH00042986575*INDIAN CLEARING--"/>
    <s v="TRANSFER FROM 4697194044303"/>
    <m/>
    <n v="6224.92"/>
    <n v="34280.790000000037"/>
    <s v="Mutual Fund Sold"/>
    <m/>
    <x v="255"/>
    <m/>
    <s v="2024-2025"/>
    <s v="CHECKED"/>
  </r>
  <r>
    <x v="1097"/>
    <d v="2025-02-05T00:00:00"/>
    <s v="   BY TRANSFER-NEFT*HDFC0000240*HDFCH00042986576*INDIAN CLEARING--"/>
    <s v="TRANSFER FROM 4697195044302"/>
    <m/>
    <n v="7839.53"/>
    <n v="42120.320000000036"/>
    <s v="Mutual Fund Sold"/>
    <m/>
    <x v="178"/>
    <m/>
    <s v="2024-2025"/>
    <s v="CHECKED"/>
  </r>
  <r>
    <x v="1097"/>
    <d v="2025-02-05T00:00:00"/>
    <s v="   BY TRANSFER-NEFT*RBIS0GORJEP*RBI0372510609880*TREASURY OFFICE--"/>
    <s v="TRANSFER FROM 3199412044307"/>
    <m/>
    <n v="49889"/>
    <n v="92009.320000000036"/>
    <s v="Salary"/>
    <m/>
    <x v="0"/>
    <m/>
    <s v="2024-2025"/>
    <s v="CHECKED"/>
  </r>
  <r>
    <x v="1097"/>
    <d v="2025-02-05T00:00:00"/>
    <s v="   BY TRANSFER-UPI/CR/109382170325/AARIF  K/SBIN/aarif1986@/Payme--"/>
    <s v="TRANSFER FROM 4897735162098"/>
    <m/>
    <n v="1500"/>
    <n v="93509.320000000036"/>
    <s v="Received Through UPI App"/>
    <s v="Phone Pe App"/>
    <x v="228"/>
    <m/>
    <s v="2024-2025"/>
    <s v="CHECKED"/>
  </r>
  <r>
    <x v="1098"/>
    <d v="2025-02-10T00:00:00"/>
    <s v="   TO TRANSFER-UPI/DR/504177841366/RELIANCE/CITI/jio@citiba/JIO20--"/>
    <s v="TRANSFER TO 4897691162095"/>
    <n v="11"/>
    <m/>
    <n v="93498.320000000036"/>
    <s v="Mobile Recharge"/>
    <s v="Google Pay App"/>
    <x v="35"/>
    <m/>
    <s v="2024-2025"/>
    <s v="1. House Expenses me abhi entry nhi ki hai"/>
  </r>
  <r>
    <x v="1098"/>
    <d v="2025-02-10T00:00:00"/>
    <s v="   TO TRANSFER-UPI/DR/504183063739/RELIANCE/CITI/jio@citiba/JIO20--"/>
    <s v="TRANSFER TO 4897691162095"/>
    <n v="19"/>
    <m/>
    <n v="93479.320000000036"/>
    <s v="Mobile Recharge"/>
    <s v="Google Pay App"/>
    <x v="35"/>
    <m/>
    <s v="2024-2025"/>
    <s v="1. House Expenses me abhi entry nhi ki hai"/>
  </r>
  <r>
    <x v="1099"/>
    <d v="2025-02-11T00:00:00"/>
    <s v="   TO TRANSFER-UPI/DR/504219732023/Mohit  S/SBIN/mohitratho/UPI--"/>
    <s v="TRANSFER TO 4897692162094"/>
    <n v="4000"/>
    <m/>
    <n v="89479.320000000036"/>
    <s v="Transfer Through UPI App"/>
    <s v="Google Pay App"/>
    <x v="238"/>
    <m/>
    <s v="2024-2025"/>
    <s v="1. House Expenses me abhi entry nhi ki hai"/>
  </r>
  <r>
    <x v="1099"/>
    <d v="2025-02-11T00:00:00"/>
    <s v="   BY TRANSFER-NEFT*UTIB0000004*AXISCN0913518384*NIPPON INDIA BAN--"/>
    <s v="TRANSFER FROM 3199676044305"/>
    <m/>
    <n v="1858.63"/>
    <n v="91337.950000000041"/>
    <s v="Mutual Fund Sold"/>
    <m/>
    <x v="181"/>
    <s v="Dividend"/>
    <s v="2024-2025"/>
    <s v="CHECKED"/>
  </r>
  <r>
    <x v="1099"/>
    <d v="2025-02-11T00:00:00"/>
    <s v="   TO TRANSFER-UPI/DR/504242856987/RELIANCE/CITI/jio@citiba/JIO20--"/>
    <s v="TRANSFER TO 4897692162094"/>
    <n v="249"/>
    <m/>
    <n v="91088.950000000041"/>
    <s v="Mobile Recharge"/>
    <s v="Google Pay App"/>
    <x v="35"/>
    <m/>
    <s v="2024-2025"/>
    <s v="1. House Expenses me abhi entry nhi ki hai"/>
  </r>
  <r>
    <x v="1100"/>
    <d v="2025-02-12T00:00:00"/>
    <s v="   TO TRANSFER-UPI/DR/504353728183/DIVYA  J/SBIN/divya88jai/UPI--"/>
    <s v="TRANSFER TO 4897693162093"/>
    <n v="25000"/>
    <m/>
    <n v="66088.950000000041"/>
    <s v="Transfer Through UPI App"/>
    <s v="Google Pay App"/>
    <x v="394"/>
    <m/>
    <s v="2024-2025"/>
    <s v="CHECKED"/>
  </r>
  <r>
    <x v="1100"/>
    <d v="2025-02-12T00:00:00"/>
    <s v="   TO TRANSFER-UPI/DR/504396940949/SAURABH/YESB/paytmqrc9j/UPI--"/>
    <s v="TRANSFER TO 4897693162093"/>
    <n v="970"/>
    <m/>
    <n v="65118.950000000041"/>
    <s v="Transfer Through UPI App"/>
    <s v="Google Pay App"/>
    <x v="173"/>
    <m/>
    <s v="2024-2025"/>
    <s v="1. House Expenses me abhi entry nhi ki hai"/>
  </r>
  <r>
    <x v="1101"/>
    <d v="2025-02-14T00:00:00"/>
    <s v="   BY TRANSFER-NEFT*HDFC0000240*HDFCH00064518090*INDIAN CLEARING--"/>
    <s v="TRANSFER FROM 4697182044307"/>
    <m/>
    <n v="24864.38"/>
    <n v="89983.330000000045"/>
    <s v="Mutual Fund Sold"/>
    <m/>
    <x v="181"/>
    <m/>
    <s v="2024-2025"/>
    <s v="CHECKED"/>
  </r>
  <r>
    <x v="1102"/>
    <d v="2025-02-15T00:00:00"/>
    <s v="   FI Txn @ CSP outlet-008701071985335624 AEPS WDL TXN @KO 1006A014--"/>
    <s v="TRANSFER TO 61155898648                           "/>
    <n v="30000"/>
    <m/>
    <n v="59983.330000000045"/>
    <s v="Cash Withdrwal"/>
    <m/>
    <x v="418"/>
    <s v="for payment of laptop of Deepak Jain Pilibangan"/>
    <s v="2024-2025"/>
    <s v="CHECKED"/>
  </r>
  <r>
    <x v="1102"/>
    <d v="2025-02-15T00:00:00"/>
    <s v="   CASH DEPOSIT-CASH DEPOSIT SELF--"/>
    <m/>
    <m/>
    <n v="30000"/>
    <n v="89983.330000000045"/>
    <s v="Cash Deposit"/>
    <m/>
    <x v="419"/>
    <s v="for payment of laptop of Deepak Jain Pilibangan"/>
    <s v="2024-2025"/>
    <s v="CHECKED"/>
  </r>
  <r>
    <x v="1102"/>
    <d v="2025-02-15T00:00:00"/>
    <s v="   TO TRANSFER-UPI/DR/504626698212/ASHOK/YESB/q282193224/aata--"/>
    <s v="TRANSFER TO 4897696162090"/>
    <n v="280"/>
    <m/>
    <n v="89703.330000000045"/>
    <s v="Transfer Through UPI App"/>
    <s v="Google Pay App"/>
    <x v="232"/>
    <m/>
    <s v="2024-2025"/>
    <s v="1. House Expenses me abhi entry nhi ki hai"/>
  </r>
  <r>
    <x v="1102"/>
    <d v="2025-02-15T00:00:00"/>
    <s v="   TO TRANSFER-UPI/DR/504633007916/MANNAT F/HDFC/vyapar.172/bday--"/>
    <s v="TRANSFER TO 4897696162090"/>
    <n v="850"/>
    <m/>
    <n v="88853.330000000045"/>
    <s v="Transfer Through UPI App"/>
    <s v="Google Pay App"/>
    <x v="286"/>
    <m/>
    <s v="2024-2025"/>
    <s v="1. House Expenses me abhi entry nhi ki hai"/>
  </r>
  <r>
    <x v="1103"/>
    <d v="2025-02-16T00:00:00"/>
    <s v="   TO TRANSFER-UPI/DR/504765433413/DIVYA  J/SBIN/divya88jai/UPI--"/>
    <s v="TRANSFER TO 4897690162095"/>
    <n v="20000"/>
    <m/>
    <n v="68853.330000000045"/>
    <s v="Transfer Through UPI App"/>
    <s v="Google Pay App"/>
    <x v="394"/>
    <m/>
    <s v="2024-2025"/>
    <s v="1. House Expenses me abhi entry nhi ki hai"/>
  </r>
  <r>
    <x v="1104"/>
    <d v="2025-02-17T00:00:00"/>
    <s v="   TO TRANSFER-UPI/DR/305002627927/ROHIT KU/SBIN/jainrohit2/Payme--"/>
    <s v="TRANSFER TO 4897691162095"/>
    <n v="25000"/>
    <m/>
    <n v="43853.330000000045"/>
    <s v="Transfer Through UPI App"/>
    <s v="Phone Pe App"/>
    <x v="154"/>
    <m/>
    <s v="2024-2025"/>
    <s v="8. Family Transfers"/>
  </r>
  <r>
    <x v="1105"/>
    <d v="2025-02-18T00:00:00"/>
    <s v="   TO TRANSFER-UPI/DR/504906123672/Google I/UTIB/gpay-utili/UPI--"/>
    <s v="TRANSFER TO 4897692162094"/>
    <n v="834"/>
    <m/>
    <n v="43019.330000000045"/>
    <s v="Transfer Through UPI App"/>
    <s v="Google Pay App"/>
    <x v="113"/>
    <m/>
    <s v="2024-2025"/>
    <s v="1. House Expenses me abhi entry nhi ki hai"/>
  </r>
  <r>
    <x v="1106"/>
    <d v="2025-02-19T00:00:00"/>
    <s v="   TO TRANSFER-UPI/DR/505066268965/DIVYA  J/SBIN/divya88jai/UPI--"/>
    <s v="TRANSFER TO 4897693162093"/>
    <n v="15000"/>
    <m/>
    <n v="28019.330000000045"/>
    <s v="Transfer Through UPI App"/>
    <s v="Google Pay App"/>
    <x v="394"/>
    <m/>
    <s v="2024-2025"/>
    <s v="CHECKED"/>
  </r>
  <r>
    <x v="1107"/>
    <d v="2025-02-20T00:00:00"/>
    <s v="   BY TRANSFER-NEFT*RBIS0GORJEP*RBI0512542712910*TREASURY OFFICE--"/>
    <s v="TRANSFER FROM 4698180044300"/>
    <m/>
    <n v="150"/>
    <n v="28169.330000000045"/>
    <s v="Other Bill Reimbursement (DOIT)"/>
    <m/>
    <x v="420"/>
    <m/>
    <s v="2024-2025"/>
    <s v="CHECKED"/>
  </r>
  <r>
    <x v="1107"/>
    <d v="2025-02-20T00:00:00"/>
    <s v="   BY TRANSFER-P02250524AC06 HPCL LPG SUBSIDY HPAP34D--"/>
    <s v="TRANSFER FROM 4599404105210"/>
    <m/>
    <n v="9.9499999999999993"/>
    <n v="28179.280000000046"/>
    <s v="Subsidy"/>
    <m/>
    <x v="113"/>
    <m/>
    <s v="2024-2025"/>
    <s v="CHECKED"/>
  </r>
  <r>
    <x v="1108"/>
    <d v="2025-02-21T00:00:00"/>
    <s v="   BY TRANSFER-NEFT*RBIS0GORJEP*RBI0522544000047*TREASURY OFFICE--"/>
    <s v="TRANSFER FROM 4698183044308"/>
    <m/>
    <n v="519"/>
    <n v="28698.280000000046"/>
    <s v="TA Bill Reimbursement (DOIT)"/>
    <m/>
    <x v="421"/>
    <m/>
    <s v="2024-2025"/>
    <s v="CHECKED"/>
  </r>
  <r>
    <x v="1108"/>
    <d v="2025-02-21T00:00:00"/>
    <s v="   BY TRANSFER-NEFT*RBIS0GORJEP*RBI0522544000046*TREASURY OFFICE--"/>
    <s v="TRANSFER FROM 4698182044309"/>
    <m/>
    <n v="936"/>
    <n v="29634.280000000046"/>
    <s v="TA Bill Reimbursement (DOIT)"/>
    <m/>
    <x v="422"/>
    <m/>
    <s v="2024-2025"/>
    <s v="CHECKED"/>
  </r>
  <r>
    <x v="1108"/>
    <d v="2025-02-21T00:00:00"/>
    <s v="   BY TRANSFER-NEFT*RBIS0GORJEP*RBI0522544000045*TREASURY OFFICE--"/>
    <s v="TRANSFER FROM 4698181044300"/>
    <m/>
    <n v="825"/>
    <n v="30459.280000000046"/>
    <s v="TA Bill Reimbursement (DOIT)"/>
    <m/>
    <x v="423"/>
    <m/>
    <s v="2024-2025"/>
    <s v="CHECKED"/>
  </r>
  <r>
    <x v="1109"/>
    <d v="2025-02-24T00:00:00"/>
    <s v="   TO TRANSFER-UPI/DR/505524800878/RELIANCE/CITI/jio@citiba/JIO20--"/>
    <s v="TRANSFER TO 4897691162095"/>
    <n v="367.1"/>
    <m/>
    <n v="30092.180000000048"/>
    <s v="Mobile Recharge"/>
    <s v="Google Pay App"/>
    <x v="18"/>
    <m/>
    <s v="2024-2025"/>
    <s v="1. House Expenses me abhi entry nhi ki hai"/>
  </r>
  <r>
    <x v="1110"/>
    <d v="2025-02-25T00:00:00"/>
    <s v="   TO TRANSFER-UPI/DR/505671597954/Kailash /YESB/q295002237/petro--"/>
    <s v="TRANSFER TO 4897692162094"/>
    <n v="500"/>
    <m/>
    <n v="29592.180000000048"/>
    <s v="Transfer Through UPI App"/>
    <s v="Google Pay App"/>
    <x v="343"/>
    <m/>
    <s v="2024-2025"/>
    <s v="1. House Expenses me abhi entry nhi ki hai"/>
  </r>
  <r>
    <x v="1110"/>
    <d v="2025-02-25T00:00:00"/>
    <s v="   BY TRANSFER-NEFT*RBIS0GORJEP*RBI0562547424881*TREASURY OFFICE--"/>
    <s v="TRANSFER FROM 4698165044300"/>
    <m/>
    <n v="519"/>
    <n v="30111.180000000048"/>
    <s v="TA Bill Reimbursement (DOIT)"/>
    <m/>
    <x v="424"/>
    <m/>
    <s v="2024-2025"/>
    <s v="CHECKED"/>
  </r>
  <r>
    <x v="1110"/>
    <d v="2025-02-25T00:00:00"/>
    <s v="   BY TRANSFER-NEFT*RBIS0GORJEP*RBI0562547424886*TREASURY OFFICE--"/>
    <s v="TRANSFER FROM 4698207044304"/>
    <m/>
    <n v="519"/>
    <n v="30630.180000000048"/>
    <s v="TA Bill Reimbursement (DOIT)"/>
    <m/>
    <x v="425"/>
    <m/>
    <s v="2024-2025"/>
    <s v="CHECKED"/>
  </r>
  <r>
    <x v="1110"/>
    <d v="2025-02-25T00:00:00"/>
    <s v="   BY TRANSFER-NEFT*RBIS0GORJEP*RBI0562547424888*TREASURY OFFICE--"/>
    <s v="TRANSFER FROM 4698208044303"/>
    <m/>
    <n v="519"/>
    <n v="31149.180000000048"/>
    <s v="TA Bill Reimbursement (DOIT)"/>
    <m/>
    <x v="426"/>
    <m/>
    <s v="2024-2025"/>
    <s v="CHECKED"/>
  </r>
  <r>
    <x v="1110"/>
    <d v="2025-02-25T00:00:00"/>
    <s v="   BY TRANSFER-NEFT*RBIS0GORJEP*RBI0562547424890*TREASURY OFFICE--"/>
    <s v="TRANSFER FROM 4698209044302"/>
    <m/>
    <n v="280"/>
    <n v="31429.180000000048"/>
    <s v="TA Bill Reimbursement (DOIT)"/>
    <m/>
    <x v="427"/>
    <m/>
    <s v="2024-2025"/>
    <s v="CHECKED"/>
  </r>
  <r>
    <x v="1110"/>
    <d v="2025-02-25T00:00:00"/>
    <s v="   BY TRANSFER-NEFT*RBIS0GORJEP*RBI0562547424891*TREASURY OFFICE--"/>
    <s v="TRANSFER FROM 4698210044309"/>
    <m/>
    <n v="274"/>
    <n v="31703.180000000048"/>
    <s v="TA Bill Reimbursement (DOIT)"/>
    <m/>
    <x v="428"/>
    <m/>
    <s v="2024-2025"/>
    <s v="CHECKED"/>
  </r>
  <r>
    <x v="1110"/>
    <d v="2025-02-25T00:00:00"/>
    <s v="   TO TRANSFER-UPI/DR/505684260324/SURENDRA/SBIN/surendrapa/honey--"/>
    <s v="TRANSFER TO 4897692162094"/>
    <n v="277"/>
    <m/>
    <n v="31426.180000000048"/>
    <s v="Transfer Through UPI App"/>
    <s v="Google Pay App"/>
    <x v="429"/>
    <m/>
    <s v="2024-2025"/>
    <s v="1. House Expenses me abhi entry nhi ki hai"/>
  </r>
  <r>
    <x v="1111"/>
    <d v="2025-03-01T00:00:00"/>
    <s v="   BY TRANSFER-NEFT*RBIS0GORJEP*RBI0602563672771*TREASURY OFFICE--"/>
    <s v="TRANSFER FROM 4698187044304"/>
    <m/>
    <n v="49889"/>
    <n v="81315.180000000051"/>
    <s v="Salary"/>
    <m/>
    <x v="0"/>
    <m/>
    <s v="2024-2025"/>
    <s v="Pending to Check"/>
  </r>
  <r>
    <x v="1112"/>
    <d v="2025-03-02T00:00:00"/>
    <s v="   TO TRANSFER-UPI/DR/506144758906/ANKUSH M/PUNB/ankusharor/milk--"/>
    <s v="TRANSFER TO 4897690162095"/>
    <n v="2850"/>
    <m/>
    <n v="78465.180000000051"/>
    <s v="Transfer Through UPI App"/>
    <s v="Google Pay App"/>
    <x v="265"/>
    <m/>
    <s v="2024-2025"/>
    <s v="Pending to Check"/>
  </r>
  <r>
    <x v="1113"/>
    <d v="2025-03-04T00:00:00"/>
    <s v="   TO TRANSFER-UPI/DR/506337185277/ASHOK/YESB/q282193224/aata--"/>
    <s v="TRANSFER TO 4897692162094"/>
    <n v="280"/>
    <m/>
    <n v="78185.180000000051"/>
    <s v="Transfer Through UPI App"/>
    <s v="Google Pay App"/>
    <x v="232"/>
    <m/>
    <s v="2024-2025"/>
    <s v="Pending to Check"/>
  </r>
  <r>
    <x v="1114"/>
    <d v="2025-03-05T00:00:00"/>
    <s v="   TO TRANSFER-UPI/DR/506450345905/Google I/UTIB/gpay-utili/UPI--"/>
    <s v="TRANSFER TO 4897693162093"/>
    <n v="221"/>
    <m/>
    <n v="77964.180000000051"/>
    <s v="Electricity Bill"/>
    <s v="Google Pay App"/>
    <x v="36"/>
    <m/>
    <s v="2024-2025"/>
    <s v="Pending to Check"/>
  </r>
  <r>
    <x v="1114"/>
    <d v="2025-03-05T00:00:00"/>
    <s v="   TO TRANSFER-UPI/DR/506459932638/SURENDER/IPOS/9680404767/UPI--"/>
    <s v="TRANSFER TO 4897693162093"/>
    <n v="1400"/>
    <m/>
    <n v="76564.180000000051"/>
    <s v="Transfer Through UPI App"/>
    <s v="Google Pay App"/>
    <x v="430"/>
    <m/>
    <s v="2024-2025"/>
    <s v="Pending to Check"/>
  </r>
  <r>
    <x v="1115"/>
    <d v="2025-03-07T00:00:00"/>
    <s v="   TO TRANSFER-UPI/DR/506620246119/JioPostp/YESB/paytm-5739/UPI--"/>
    <s v="TRANSFER TO 4897695162091"/>
    <n v="549"/>
    <m/>
    <n v="76015.180000000051"/>
    <s v="Mobile Recharge"/>
    <s v="Google Pay App"/>
    <x v="161"/>
    <s v="Port to JIO Post paid 8003027591"/>
    <s v="2024-2025"/>
    <s v="Pending to Check"/>
  </r>
  <r>
    <x v="1115"/>
    <d v="2025-03-07T00:00:00"/>
    <s v="   TO TRANSFER-UPI/DR/506635848930/ANKUSH C/YESB/paytmqr550/ratio--"/>
    <s v="TRANSFER TO 4897695162091"/>
    <n v="830"/>
    <m/>
    <n v="75185.180000000051"/>
    <s v="Transfer Through UPI App"/>
    <s v="Google Pay App"/>
    <x v="173"/>
    <m/>
    <s v="2024-2025"/>
    <s v="Pending to Check"/>
  </r>
  <r>
    <x v="1116"/>
    <d v="2025-03-11T00:00:00"/>
    <s v="   TO TRANSFER-UPI/DR/507071095704/DIVYA  J/SBIN/divya88jai/UPI--"/>
    <s v="TRANSFER TO 4897692162094"/>
    <n v="10000"/>
    <m/>
    <n v="65185.180000000051"/>
    <s v="Transfer Through UPI App"/>
    <s v="Google Pay App"/>
    <x v="394"/>
    <m/>
    <s v="2024-2025"/>
    <s v="Pending to Check"/>
  </r>
  <r>
    <x v="1116"/>
    <d v="2025-03-11T00:00:00"/>
    <s v="   TO TRANSFER-UPI/DR/507090871847/Mohit  S/SBIN/mohitratho/UPI--"/>
    <s v="TRANSFER TO 4897692162094"/>
    <n v="4000"/>
    <m/>
    <n v="61185.180000000051"/>
    <s v="Transfer Through UPI App"/>
    <s v="Google Pay App"/>
    <x v="238"/>
    <m/>
    <s v="2024-2025"/>
    <s v="Pending to Check"/>
  </r>
  <r>
    <x v="1116"/>
    <d v="2025-03-11T00:00:00"/>
    <s v="   TO TRANSFER-UPI/DR/507095061121/DIVYA  J/SBIN/divya88jai/UPI--"/>
    <s v="TRANSFER TO 4897692162094"/>
    <n v="50000"/>
    <m/>
    <n v="11185.180000000051"/>
    <s v="Transfer Through UPI App"/>
    <s v="Google Pay App"/>
    <x v="394"/>
    <m/>
    <s v="2024-2025"/>
    <s v="Pending to Check"/>
  </r>
  <r>
    <x v="1117"/>
    <d v="2025-03-12T00:00:00"/>
    <s v="   TO TRANSFER-UPI/DR/507100577582/RELIANCE/CITI/jio@citiba/JIO20--"/>
    <s v="TRANSFER TO 4897693162093"/>
    <n v="448"/>
    <m/>
    <n v="10737.180000000051"/>
    <s v="Mobile Recharge"/>
    <s v="Google Pay App"/>
    <x v="35"/>
    <m/>
    <s v="2024-2025"/>
    <s v="Pending to Check"/>
  </r>
  <r>
    <x v="1118"/>
    <d v="2025-03-17T00:00:00"/>
    <s v="   BY TRANSFER-NEFT*HDFC0000240*HDFCH00124708665*INDIAN CLEARING--"/>
    <s v="TRANSFER FROM 4697240044301"/>
    <m/>
    <n v="46815.57"/>
    <n v="57552.750000000051"/>
    <s v="Mutual Fund Sold"/>
    <m/>
    <x v="254"/>
    <m/>
    <s v="2024-2025"/>
    <s v="CHECKED"/>
  </r>
  <r>
    <x v="1118"/>
    <d v="2025-03-17T00:00:00"/>
    <s v="   TO TRANSFER-UPI/DR/507646239385/ASHOK/YESB/q282193224/aata--"/>
    <s v="TRANSFER TO 4897691162095"/>
    <n v="280"/>
    <m/>
    <n v="57272.750000000051"/>
    <s v="Transfer Through UPI App"/>
    <s v="Google Pay App"/>
    <x v="232"/>
    <m/>
    <s v="2024-2025"/>
    <s v="Pending to Check"/>
  </r>
  <r>
    <x v="1119"/>
    <d v="2025-03-22T00:00:00"/>
    <s v="   TO TRANSFER-UPI/DR/508120001922/RELIANCE/CITI/jio@citiba/JIO20--"/>
    <s v="TRANSFER TO 4897696162090"/>
    <n v="161.79"/>
    <m/>
    <n v="57110.96000000005"/>
    <s v="Mobile Recharge"/>
    <s v="Google Pay App"/>
    <x v="161"/>
    <m/>
    <s v="2024-2025"/>
    <s v="Pending to Check"/>
  </r>
  <r>
    <x v="1119"/>
    <d v="2025-03-22T00:00:00"/>
    <s v="   TO TRANSFER-UPI/DR/508120858863/ASHIRVAD/HDFC/vyapar.171/kids--"/>
    <s v="TRANSFER TO 4897696162090"/>
    <n v="1300"/>
    <m/>
    <n v="55810.96000000005"/>
    <s v="Transfer Through UPI App"/>
    <s v="Google Pay App"/>
    <x v="431"/>
    <m/>
    <s v="2024-2025"/>
    <s v="Pending to Check"/>
  </r>
  <r>
    <x v="1120"/>
    <d v="2025-03-23T00:00:00"/>
    <s v="   TO TRANSFER-UPI/DR/508291292419/Amazon I/UTIB/amazonupi@/You a--"/>
    <s v="TRANSFER TO 4897690162095"/>
    <n v="289"/>
    <m/>
    <n v="55521.96000000005"/>
    <s v="Transfer Through UPI App"/>
    <s v="Google Pay App"/>
    <x v="432"/>
    <m/>
    <s v="2024-2025"/>
    <s v="Pending to Check"/>
  </r>
  <r>
    <x v="1121"/>
    <d v="2025-03-24T00:00:00"/>
    <s v="   TO TRANSFER-UPI/DR/508397869307/RELIANCE/CITI/jio@citiba/JIO20--"/>
    <s v="TRANSFER TO 4897691162095"/>
    <n v="352.82"/>
    <m/>
    <n v="55169.14000000005"/>
    <s v="Mobile Recharge"/>
    <s v="Google Pay App"/>
    <x v="433"/>
    <m/>
    <s v="2024-2025"/>
    <s v="Pending to Check"/>
  </r>
  <r>
    <x v="1121"/>
    <d v="2025-03-24T00:00:00"/>
    <s v="   TO TRANSFER-UPI/DR/508316817541/Lavish  /YESB/q174540525/UPI--"/>
    <s v="TRANSFER TO 4897691162095"/>
    <n v="155"/>
    <m/>
    <n v="55014.14000000005"/>
    <s v="Transfer Through Net Banking"/>
    <s v="Google Pay App"/>
    <x v="234"/>
    <m/>
    <s v="2024-2025"/>
    <s v="Pending to Check"/>
  </r>
  <r>
    <x v="1122"/>
    <d v="2025-03-25T00:00:00"/>
    <s v="   TO TRANSFER-UPI/DR/508456651460/Google I/UTIB/gpay-utili/UPI--"/>
    <s v="TRANSFER TO 4897692162094"/>
    <n v="138"/>
    <m/>
    <n v="54876.14000000005"/>
    <s v="Transfer Through Net Banking"/>
    <s v="Google Pay App"/>
    <x v="390"/>
    <m/>
    <s v="2024-2025"/>
    <s v="Pending to Check"/>
  </r>
  <r>
    <x v="1122"/>
    <d v="2025-03-25T00:00:00"/>
    <s v="   CREDIT INTEREST---"/>
    <m/>
    <m/>
    <n v="361"/>
    <n v="55237.14000000005"/>
    <s v="Credit Interest"/>
    <m/>
    <x v="0"/>
    <m/>
    <s v="2024-2025"/>
    <s v="Pending to Check"/>
  </r>
  <r>
    <x v="1123"/>
    <d v="2025-03-27T00:00:00"/>
    <s v="   CREDIT-7914018  RAJ COMP CHQ 786893 DT 26032025--"/>
    <m/>
    <m/>
    <n v="2843"/>
    <n v="58080.14000000005"/>
    <s v="Mobile Bill Reimbursement (DOIT)"/>
    <m/>
    <x v="0"/>
    <m/>
    <s v="2024-2025"/>
    <s v="Pending to Check"/>
  </r>
  <r>
    <x v="1123"/>
    <d v="2025-03-27T00:00:00"/>
    <s v="   TO TRANSFER-UPI/DR/508634122946/ANKUSH C/YESB/paytmqr6as/ratio--"/>
    <s v="TRANSFER TO 4897694162092"/>
    <n v="875"/>
    <m/>
    <n v="57205.14000000005"/>
    <s v="Transfer Through Net Banking"/>
    <s v="Google Pay App"/>
    <x v="173"/>
    <m/>
    <s v="2024-2025"/>
    <s v="Pending to Check"/>
  </r>
  <r>
    <x v="1124"/>
    <d v="2025-03-29T00:00:00"/>
    <s v="   TO TRANSFER-UPI/DR/508818745027/SAURABH/YESB/paytmqr13c/ration--"/>
    <s v="TRANSFER TO 4897696162090"/>
    <n v="1250"/>
    <m/>
    <n v="55955.14000000005"/>
    <s v="Transfer Through Net Banking"/>
    <s v="Google Pay App"/>
    <x v="173"/>
    <m/>
    <s v="2024-2025"/>
    <s v="Pending to Check"/>
  </r>
  <r>
    <x v="1125"/>
    <d v="2025-03-30T00:00:00"/>
    <s v="   TO TRANSFER-UPI/DR/508942749794/SUBHASH /RMGB/9664483760/RO Se--"/>
    <s v="TRANSFER TO 4897690162095"/>
    <n v="3020"/>
    <s v=" "/>
    <n v="52935.14"/>
    <s v="Transfer Through Net Banking"/>
    <s v="Google Pay App"/>
    <x v="434"/>
    <m/>
    <s v="2024-2025"/>
    <s v="Pending to Check"/>
  </r>
  <r>
    <x v="1126"/>
    <d v="2025-03-31T00:00:00"/>
    <s v="   TO TRANSFER-UPI/DR/509073900185/SUBHASH /RMGB/9664483760/RO Re--"/>
    <s v="TRANSFER TO 4897691162095"/>
    <n v="1650"/>
    <s v=" "/>
    <n v="51285.14"/>
    <s v="Transfer Through Net Banking"/>
    <s v="Google Pay App"/>
    <x v="434"/>
    <m/>
    <s v="2024-2025"/>
    <s v="Pending to Check"/>
  </r>
  <r>
    <x v="1126"/>
    <d v="2025-03-31T00:00:00"/>
    <s v="   TO TRANSFER-UPI/DR/509078411008/ANKUSH M/PUNB/ankusharor/Milk--"/>
    <s v="TRANSFER TO 4897691162095"/>
    <n v="3750"/>
    <s v=" "/>
    <n v="47535.14"/>
    <s v="Transfer Through Net Banking"/>
    <s v="Google Pay App"/>
    <x v="265"/>
    <m/>
    <s v="2024-2025"/>
    <s v="Pending to Check"/>
  </r>
  <r>
    <x v="1126"/>
    <d v="2025-03-31T00:00:00"/>
    <s v="   TO TRANSFER-UPI/DR/509078638198/RELIANCE/CITI/jio@citiba/JIO20--"/>
    <s v="TRANSFER TO 4897691162095"/>
    <n v="45.51"/>
    <s v=" "/>
    <n v="47489.63"/>
    <s v="Mobile Bill Reimbursement (DOIT)"/>
    <s v="Google Pay App"/>
    <x v="433"/>
    <s v="last payment"/>
    <s v="2024-2025"/>
    <s v="Pending to Check"/>
  </r>
  <r>
    <x v="1126"/>
    <d v="2025-03-31T00:00:00"/>
    <s v="   TO TRANSFER-UPI/DR/509079798544/ASHOK/YESB/q282193224/aata--"/>
    <s v="TRANSFER TO 4897691162095"/>
    <n v="340"/>
    <s v=" "/>
    <n v="47149.63"/>
    <s v="Transfer Through Net Banking"/>
    <s v="Google Pay App"/>
    <x v="232"/>
    <m/>
    <s v="2024-2025"/>
    <s v="Pending to Check"/>
  </r>
  <r>
    <x v="1127"/>
    <d v="2025-04-02T00:00:00"/>
    <s v="   TO TRANSFER-UPI/DR/509210181443/DIVYA  J/SBIN/divya88jai/UPI--"/>
    <s v="TRANSFER TO 4897693162093"/>
    <n v="13000"/>
    <s v=" "/>
    <n v="34149.629999999997"/>
    <s v="Transfer Through UPI App"/>
    <s v="Google Pay App"/>
    <x v="394"/>
    <m/>
    <s v="2025-2026"/>
    <s v="Pending to Check"/>
  </r>
  <r>
    <x v="1127"/>
    <d v="2025-04-02T00:00:00"/>
    <s v="   BY TRANSFER-NEFT*RBIS0GORJEP*RBI0932570079649*TREASURY OFFICE--"/>
    <s v="TRANSFER FROM 99509044300"/>
    <s v=" "/>
    <n v="52389"/>
    <n v="86538.63"/>
    <s v="Salary"/>
    <m/>
    <x v="0"/>
    <m/>
    <s v="2025-2026"/>
    <s v="Pending to Check"/>
  </r>
  <r>
    <x v="1128"/>
    <d v="2025-04-04T00:00:00"/>
    <s v="   TO TRANSFER-UPI/DR/509408419484/DIVYA  J/SBIN/divya88jai/UPI--"/>
    <s v="TRANSFER TO 4897695162091"/>
    <n v="18000"/>
    <s v=" "/>
    <n v="68538.63"/>
    <s v="Transfer Through UPI App"/>
    <s v="Google Pay App"/>
    <x v="394"/>
    <m/>
    <s v="2025-2026"/>
    <s v="Pending to Check"/>
  </r>
  <r>
    <x v="1128"/>
    <d v="2025-04-04T00:00:00"/>
    <s v="   BY TRANSFER-NEFT*HDFC0000240*HDFCH00161356760*INDIAN CLEARING--"/>
    <s v="TRANSFER FROM 99509044300"/>
    <s v=" "/>
    <n v="12232.43"/>
    <n v="80771.06"/>
    <s v="Mutual Fund Sold"/>
    <m/>
    <x v="435"/>
    <m/>
    <s v="2025-2026"/>
    <s v="Pending to Check"/>
  </r>
  <r>
    <x v="1129"/>
    <d v="2025-04-05T00:00:00"/>
    <s v="   TO TRANSFER-UPI/DR/509559022511/MANENDER/PUNB/monasandhu/schoo--"/>
    <s v="TRANSFER TO 4897696162090"/>
    <n v="40000"/>
    <s v=" "/>
    <n v="40771.06"/>
    <s v="Transfer Through Net Banking"/>
    <s v="Google Pay App"/>
    <x v="436"/>
    <m/>
    <s v="2025-2026"/>
    <s v="Pending to Check"/>
  </r>
  <r>
    <x v="1130"/>
    <d v="2025-04-07T00:00:00"/>
    <s v="   TO TRANSFER-UPI/DR/509724168461/KATARIYA/YESB/m2281jqrxl/Payme--"/>
    <s v="TRANSFER TO 4897691162095"/>
    <n v="750"/>
    <s v=" "/>
    <n v="40021.06"/>
    <s v="Transfer Through Net Banking"/>
    <s v="Google Pay App"/>
    <x v="437"/>
    <m/>
    <s v="2025-2026"/>
    <s v="Pending to Check"/>
  </r>
  <r>
    <x v="1130"/>
    <d v="2025-04-07T00:00:00"/>
    <s v="   TO TRANSFER-UPI/DR/509728277001/DIVYA  J/SBIN/divya88jai/UPI--"/>
    <s v="TRANSFER TO 4897691162095"/>
    <n v="15000"/>
    <s v=" "/>
    <n v="25021.06"/>
    <s v="Transfer Through UPI App"/>
    <s v="Google Pay App"/>
    <x v="394"/>
    <m/>
    <s v="2025-2026"/>
    <s v="Pending to Check"/>
  </r>
  <r>
    <x v="1130"/>
    <d v="2025-04-07T00:00:00"/>
    <s v="   FI Txn @ CSP outlet-009790631035390228 AEPS WDL TXN @KO 1A773C89--"/>
    <s v="TRANSFER TO 41308218798                           "/>
    <n v="10000"/>
    <s v=" "/>
    <n v="15021.06"/>
    <s v="Cash Deposit"/>
    <m/>
    <x v="174"/>
    <m/>
    <s v="2025-2026"/>
    <s v="Pending to Check"/>
  </r>
  <r>
    <x v="1131"/>
    <d v="2025-04-11T00:00:00"/>
    <s v="   TO TRANSFER-UPI/DR/510183841346/Mohit  S/SBIN/mohitratho/UPI--"/>
    <s v="TRANSFER TO 4897695162091"/>
    <n v="4000"/>
    <s v=" "/>
    <n v="11021.06"/>
    <s v="Transfer Through UPI App"/>
    <s v="Google Pay App"/>
    <x v="238"/>
    <m/>
    <s v="2025-2026"/>
    <s v="Pending to Check"/>
  </r>
  <r>
    <x v="1131"/>
    <d v="2025-04-11T00:00:00"/>
    <s v="   TO TRANSFER-UPI/DR/510184282380/Google I/UTIB/gpay-utili/UPI--"/>
    <s v="TRANSFER TO 4897695162091"/>
    <n v="612"/>
    <s v=" "/>
    <n v="10409.06"/>
    <s v="Electricity Bill"/>
    <s v="Google Pay App"/>
    <x v="36"/>
    <m/>
    <s v="2025-2026"/>
    <s v="Pending to Check"/>
  </r>
  <r>
    <x v="1131"/>
    <d v="2025-04-11T00:00:00"/>
    <s v="   TO TRANSFER-UPI/DR/510185133221/SHRI BAL/YESB/paytmqr1rc/paint--"/>
    <s v="TRANSFER TO 4897695162091"/>
    <n v="400"/>
    <s v=" "/>
    <n v="10009.06"/>
    <s v="Transfer Through UPI App"/>
    <s v="Google Pay App"/>
    <x v="438"/>
    <m/>
    <s v="2025-2026"/>
    <s v="Pending to Check"/>
  </r>
  <r>
    <x v="1131"/>
    <d v="2025-04-11T00:00:00"/>
    <s v="   TO TRANSFER-UPI/DR/510114486467/LALI COL/FDRL/bharatpe.9/Pay t--"/>
    <s v="TRANSFER TO 4897695162091"/>
    <n v="1340"/>
    <s v=" "/>
    <n v="8669.06"/>
    <s v="Transfer Through UPI App"/>
    <s v="Google Pay App"/>
    <x v="439"/>
    <m/>
    <s v="2025-2026"/>
    <s v="Pending to Check"/>
  </r>
  <r>
    <x v="1132"/>
    <d v="2025-04-15T00:00:00"/>
    <s v="   BY TRANSFER-SBIYA25105092404148443852-Trf to mohit--"/>
    <s v="TRANSFER FROM 20078643908                         "/>
    <s v=" "/>
    <n v="500000"/>
    <n v="508669.06"/>
    <s v="Received Through Net Banking"/>
    <m/>
    <x v="151"/>
    <m/>
    <s v="2025-2026"/>
    <s v="Pending to Check"/>
  </r>
  <r>
    <x v="1132"/>
    <d v="2025-04-15T00:00:00"/>
    <s v="   TO TRANSFER-INB Gift to relatives / Friends--"/>
    <s v="IT00ZNLES1               TRANSFER TO 20412315947  "/>
    <n v="500000"/>
    <s v=" "/>
    <n v="8669.06"/>
    <s v="Transfer Through Net Banking"/>
    <m/>
    <x v="394"/>
    <m/>
    <s v="2025-2026"/>
    <s v="Pending to Check"/>
  </r>
  <r>
    <x v="1132"/>
    <d v="2025-04-15T00:00:00"/>
    <s v="   TO TRANSFER-UPI/DR/510502764125/ASHOK/YESB/q282193224/aata--"/>
    <s v="TRANSFER TO 4897692162094"/>
    <n v="265"/>
    <s v=" "/>
    <n v="8404.06"/>
    <s v="Transfer Through Net Banking"/>
    <s v="Google Pay App"/>
    <x v="232"/>
    <m/>
    <s v="2025-2026"/>
    <s v="Pending to Check"/>
  </r>
  <r>
    <x v="1132"/>
    <d v="2025-04-15T00:00:00"/>
    <s v="   TO TRANSFER-UPI/DR/510504410797/Amar Kir/UTIB/gpay-11257/ratio--"/>
    <s v="TRANSFER TO 4897692162094"/>
    <n v="1790"/>
    <s v=" "/>
    <n v="6614.06"/>
    <s v="Transfer Through Net Banking"/>
    <s v="Google Pay App"/>
    <x v="173"/>
    <m/>
    <s v="2025-2026"/>
    <s v="Pending to Check"/>
  </r>
  <r>
    <x v="1133"/>
    <d v="2025-04-16T00:00:00"/>
    <s v="   TO TRANSFER-UPI/DR/510626863820/Google I/UTIB/gpay-utili/UPI--"/>
    <s v="TRANSFER TO 4897693162093"/>
    <n v="884"/>
    <s v=" "/>
    <n v="5730.06"/>
    <s v="Transfer Through UPI App"/>
    <s v="Google Pay App"/>
    <x v="113"/>
    <m/>
    <s v="2025-2026"/>
    <s v="Pending to Check"/>
  </r>
  <r>
    <x v="1134"/>
    <d v="2025-04-17T00:00:00"/>
    <s v="   BY TRANSFER-NEFT*HDFC0000240*HDFCH00188446753*INDIAN CLEARING--"/>
    <s v="TRANSFER FROM 99509044300"/>
    <s v=" "/>
    <n v="172672.87"/>
    <n v="178402.93"/>
    <s v="Mutual Fund Sold"/>
    <m/>
    <x v="179"/>
    <m/>
    <s v="2025-2026"/>
    <s v="CHECKED"/>
  </r>
  <r>
    <x v="1134"/>
    <d v="2025-04-17T00:00:00"/>
    <s v="   BY TRANSFER-NEFT*HDFC0000240*HDFCH00188495197*INDIAN CLEARING--"/>
    <s v="TRANSFER FROM 99509044300"/>
    <s v=" "/>
    <n v="70776.05"/>
    <n v="249178.98"/>
    <s v="Mutual Fund Sold"/>
    <m/>
    <x v="244"/>
    <m/>
    <s v="2025-2026"/>
    <s v="CHECKED"/>
  </r>
  <r>
    <x v="1134"/>
    <d v="2025-04-17T00:00:00"/>
    <s v="   BY TRANSFER-NEFT*HDFC0000240*HDFCH00188495198*INDIAN CLEARING--"/>
    <s v="TRANSFER FROM 99509044300"/>
    <s v=" "/>
    <n v="84221.92"/>
    <n v="333400.90000000002"/>
    <s v="Mutual Fund Sold"/>
    <m/>
    <x v="249"/>
    <m/>
    <s v="2025-2026"/>
    <s v="CHECKED"/>
  </r>
  <r>
    <x v="1134"/>
    <d v="2025-04-17T00:00:00"/>
    <s v="   BY TRANSFER-NEFT*HDFC0000240*HDFCH00188495432*INDIAN CLEARING--"/>
    <s v="TRANSFER FROM 99509044300"/>
    <s v=" "/>
    <n v="83517.8"/>
    <n v="416918.7"/>
    <s v="Mutual Fund Sold"/>
    <m/>
    <x v="243"/>
    <m/>
    <s v="2025-2026"/>
    <s v="CHECKED"/>
  </r>
  <r>
    <x v="1134"/>
    <d v="2025-04-17T00:00:00"/>
    <s v="   TO TRANSFER-SBIYA25107152904849573819-Transfer to fa--"/>
    <s v="TRANSFER TO 20078643908                           "/>
    <n v="400000"/>
    <s v=" "/>
    <n v="16918.7"/>
    <s v="Transfer Through Net Banking"/>
    <s v="YONO"/>
    <x v="154"/>
    <m/>
    <s v="2025-2026"/>
    <s v="CHECKED"/>
  </r>
  <r>
    <x v="1135"/>
    <d v="2025-04-19T00:00:00"/>
    <s v="   BY TRANSFER-P0425044260A6 HPCL LPG SUBSIDY HPAP34D--"/>
    <s v="TRANSFER FROM 4697841105217"/>
    <s v=" "/>
    <n v="9.9499999999999993"/>
    <n v="16928.650000000001"/>
    <s v="Subsidy"/>
    <m/>
    <x v="113"/>
    <m/>
    <s v="2025-2026"/>
    <s v="Pending to Check"/>
  </r>
  <r>
    <x v="1135"/>
    <d v="2025-04-19T00:00:00"/>
    <s v="   TO TRANSFER-UPI/DR/510990309524/Mr ROHIT/YESB/q628573032/cold--"/>
    <s v="TRANSFER TO 4897696162090"/>
    <n v="60"/>
    <s v=" "/>
    <n v="16868.650000000001"/>
    <s v="Transfer Through Net Banking"/>
    <s v="Google Pay App"/>
    <x v="315"/>
    <m/>
    <s v="2025-2026"/>
    <s v="Pending to Check"/>
  </r>
  <r>
    <x v="1135"/>
    <d v="2025-04-19T00:00:00"/>
    <s v="   TO TRANSFER-UPI/DR/510990333925/Mr ROHIT/YESB/q628573032/cold--"/>
    <s v="TRANSFER TO 4897696162090"/>
    <n v="40"/>
    <s v=" "/>
    <n v="16828.650000000001"/>
    <s v="Transfer Through Net Banking"/>
    <s v="Google Pay App"/>
    <x v="315"/>
    <m/>
    <s v="2025-2026"/>
    <s v="Pending to Check"/>
  </r>
  <r>
    <x v="1135"/>
    <d v="2025-04-19T00:00:00"/>
    <s v="   TO TRANSFER-UPI/DR/510990379851/SAURABH/YESB/paytmqr13c/agrbat--"/>
    <s v="TRANSFER TO 4897696162090"/>
    <n v="100"/>
    <s v=" "/>
    <n v="16728.650000000001"/>
    <s v="Transfer Through Net Banking"/>
    <s v="Google Pay App"/>
    <x v="440"/>
    <m/>
    <s v="2025-2026"/>
    <s v="Pending to Check"/>
  </r>
  <r>
    <x v="1135"/>
    <d v="2025-04-19T00:00:00"/>
    <s v="   TO TRANSFER-UPI/DR/510990460014/ANKUSH C/YESB/paytmqr6as/ratio--"/>
    <s v="TRANSFER TO 4897696162090"/>
    <n v="440"/>
    <s v=" "/>
    <n v="16288.65"/>
    <s v="Transfer Through Net Banking"/>
    <s v="Google Pay App"/>
    <x v="173"/>
    <m/>
    <s v="2025-2026"/>
    <s v="Pending to Check"/>
  </r>
  <r>
    <x v="1136"/>
    <d v="2025-04-21T00:00:00"/>
    <s v="   BY TRANSFER-NEFT*HDFC0000240*HDFCH00193183058*INDIAN CLEARING--"/>
    <s v="TRANSFER FROM 99509044300"/>
    <s v=" "/>
    <n v="55749.23"/>
    <n v="72037.88"/>
    <s v="Mutual Fund Sold"/>
    <m/>
    <x v="245"/>
    <m/>
    <s v="2025-2026"/>
    <s v="CHECKED"/>
  </r>
  <r>
    <x v="1136"/>
    <d v="2025-04-21T00:00:00"/>
    <s v="   TO TRANSFER-SBIYA25111100702899847187-Transfer to fa--"/>
    <s v="TRANSFER TO 20078643908                           "/>
    <n v="50000"/>
    <s v=" "/>
    <n v="22037.88"/>
    <s v="Transfer Through Net Banking"/>
    <s v="YONO"/>
    <x v="154"/>
    <m/>
    <s v="2025-2026"/>
    <s v="CHECKED"/>
  </r>
  <r>
    <x v="1137"/>
    <d v="2025-04-22T00:00:00"/>
    <s v="   TO TRANSFER-UPI/DR/511231607700/RELIANCE/CITI/jio@citiba/JIO20--"/>
    <s v="TRANSFER TO 4897692162094"/>
    <n v="411.82"/>
    <s v=" "/>
    <n v="21626.06"/>
    <s v="Mobile Recharge"/>
    <s v="Google Pay App"/>
    <x v="161"/>
    <m/>
    <s v="2025-2026"/>
    <s v="Pending to Check"/>
  </r>
  <r>
    <x v="1138"/>
    <d v="2025-04-26T00:00:00"/>
    <s v="   TO TRANSFER-UPI/DR/511671570283/ASHOK/YESB/q282193224/aata--"/>
    <s v="TRANSFER TO 4897696162090"/>
    <n v="260"/>
    <s v=" "/>
    <n v="21366.06"/>
    <s v="Transfer Through Net Banking"/>
    <s v="Google Pay App"/>
    <x v="232"/>
    <m/>
    <s v="2025-2026"/>
    <s v="Pending to Check"/>
  </r>
  <r>
    <x v="1138"/>
    <d v="2025-04-26T00:00:00"/>
    <s v="   TO TRANSFER-UPI/DR/511672031527/TARSEM S/YESB/paytmqr65h/elect--"/>
    <s v="TRANSFER TO 4897696162090"/>
    <n v="530"/>
    <s v=" "/>
    <n v="20836.060000000001"/>
    <s v="Transfer Through Net Banking"/>
    <s v="Google Pay App"/>
    <x v="441"/>
    <m/>
    <s v="2025-2026"/>
    <s v="Pending to Check"/>
  </r>
  <r>
    <x v="1139"/>
    <d v="2025-04-30T00:00:00"/>
    <s v="   TO TRANSFER-UPI/DR/512033010860/ANKUSH M/PUNB/ankusharor/milk--"/>
    <s v="TRANSFER TO 4897693162093"/>
    <n v="4730"/>
    <s v=" "/>
    <n v="16106.06"/>
    <s v="Transfer Through Net Banking"/>
    <s v="Google Pay App"/>
    <x v="265"/>
    <m/>
    <s v="2025-2026"/>
    <s v="Pending to Check"/>
  </r>
  <r>
    <x v="1140"/>
    <d v="2025-05-01T00:00:00"/>
    <s v="   BY TRANSFER-NEFT*RBIS0GORJEP*RBI1222518203962*TREASURY OFFICE--"/>
    <s v="TRANSFER FROM 99509044300"/>
    <s v=" "/>
    <n v="51027"/>
    <n v="67133.06"/>
    <s v="Salary"/>
    <m/>
    <x v="0"/>
    <m/>
    <s v="2025-2026"/>
    <s v="Pending to Check"/>
  </r>
  <r>
    <x v="1141"/>
    <d v="2025-05-03T00:00:00"/>
    <s v="   TO TRANSFER-SBIYA25123080601969151018-PPF--"/>
    <s v="TRANSFER TO 32500545461                           "/>
    <n v="500"/>
    <s v=" "/>
    <n v="66633.06"/>
    <s v="PPF"/>
    <m/>
    <x v="0"/>
    <m/>
    <s v="2025-2026"/>
    <s v="Pending to Check"/>
  </r>
  <r>
    <x v="1142"/>
    <d v="2025-05-06T00:00:00"/>
    <s v="   TO TRANSFER-UPI/DR/512611814164/Google I/ICIC/gpayutilit/UPI--"/>
    <s v="TRANSFER TO 4897692162094"/>
    <n v="1558"/>
    <s v=" "/>
    <n v="65075.06"/>
    <s v="Electricity Bill"/>
    <s v="Google Pay App"/>
    <x v="36"/>
    <m/>
    <s v="2025-2026"/>
    <s v="Pending to Check"/>
  </r>
  <r>
    <x v="1142"/>
    <d v="2025-05-06T00:00:00"/>
    <s v="   FI Txn @ CSP outlet-000052720663713910 AEPS WDL TXN @KO 1A773C89--"/>
    <s v="TRANSFER TO 41308218798                           "/>
    <n v="10000"/>
    <s v=" "/>
    <n v="55075.06"/>
    <s v="Cash Withdrwal"/>
    <m/>
    <x v="174"/>
    <m/>
    <s v="2025-2026"/>
    <s v="Pending to Check"/>
  </r>
  <r>
    <x v="1143"/>
    <d v="2025-05-07T00:00:00"/>
    <s v="   BY TRANSFER-SBIYA25127085601171755308-Transfer to fa--"/>
    <s v="TRANSFER FROM 20078643908                         "/>
    <s v=" "/>
    <n v="70000"/>
    <n v="125075.06"/>
    <s v="Received Through Net Banking"/>
    <m/>
    <x v="151"/>
    <m/>
    <s v="2025-2026"/>
    <s v="Pending to Check"/>
  </r>
  <r>
    <x v="1143"/>
    <d v="2025-05-07T00:00:00"/>
    <s v="   TO TRANSFER-SBIYA25127092003933506979-Transfer to fa--"/>
    <s v="TRANSFER TO 20412315947                           "/>
    <n v="70000"/>
    <s v=" "/>
    <n v="55075.06"/>
    <s v="Transfer Through Net Banking"/>
    <s v="YONO"/>
    <x v="394"/>
    <m/>
    <s v="2025-2026"/>
    <s v="Pending to Check"/>
  </r>
  <r>
    <x v="1143"/>
    <d v="2025-05-07T00:00:00"/>
    <s v="   TO TRANSFER-UPI/DR/512762081939/LALI COL/FDRL/bharatpe.9/Pay t--"/>
    <s v="TRANSFER TO 4897693162093"/>
    <n v="420"/>
    <s v=" "/>
    <n v="54655.06"/>
    <s v="Transfer Through Net Banking"/>
    <s v="Google Pay App"/>
    <x v="442"/>
    <m/>
    <s v="2025-2026"/>
    <s v="Pending to Check"/>
  </r>
  <r>
    <x v="1144"/>
    <d v="2025-05-08T00:00:00"/>
    <s v="   TO TRANSFER-UPI/DR/512894267465/Mr  VIKR/YESB/q028962466/sbji--"/>
    <s v="TRANSFER TO 4897694162092"/>
    <n v="450"/>
    <s v=" "/>
    <n v="54205.06"/>
    <s v="Transfer Through Net Banking"/>
    <s v="Google Pay App"/>
    <x v="233"/>
    <m/>
    <s v="2025-2026"/>
    <s v="Pending to Check"/>
  </r>
  <r>
    <x v="1144"/>
    <d v="2025-05-08T00:00:00"/>
    <s v="   TO TRANSFER-UPI/DR/512820036115/Amar Kir/UTIB/gpay-11257/ratio--"/>
    <s v="TRANSFER TO 4897694162092"/>
    <n v="1340"/>
    <s v=" "/>
    <n v="52865.06"/>
    <s v="Transfer Through Net Banking"/>
    <s v="Google Pay App"/>
    <x v="173"/>
    <m/>
    <s v="2025-2026"/>
    <s v="Pending to Check"/>
  </r>
  <r>
    <x v="1145"/>
    <d v="2025-05-09T00:00:00"/>
    <s v="   TO TRANSFER-UPI/DR/512948382727/ASHOK/YESB/q282193224/aata--"/>
    <s v="TRANSFER TO 4897695162091"/>
    <n v="250"/>
    <s v=" "/>
    <n v="52615.06"/>
    <s v="Transfer Through Net Banking"/>
    <s v="Google Pay App"/>
    <x v="232"/>
    <m/>
    <s v="2025-2026"/>
    <s v="Pending to Check"/>
  </r>
  <r>
    <x v="1146"/>
    <d v="2025-05-11T00:00:00"/>
    <s v="   TO TRANSFER-UPI/DR/513160658634/Mohit  S/SBIN/mohitratho/UPI--"/>
    <s v="TRANSFER TO 4897690162095"/>
    <n v="4000"/>
    <s v=" "/>
    <n v="48615.06"/>
    <s v="Transfer Through UPI App"/>
    <s v="Google Pay App"/>
    <x v="238"/>
    <m/>
    <s v="2025-2026"/>
    <s v="Pending to Check"/>
  </r>
  <r>
    <x v="1147"/>
    <d v="2025-05-12T00:00:00"/>
    <s v="   TO TRANSFER-UPI/DR/513215289815/Amar Kir/UTIB/gpay-11257/ratio--"/>
    <s v="TRANSFER TO 4897691162095"/>
    <n v="800"/>
    <s v=" "/>
    <n v="47815.06"/>
    <s v="Transfer Through Net Banking"/>
    <s v="Google Pay App"/>
    <x v="173"/>
    <m/>
    <s v="2025-2026"/>
    <s v="Pending to Check"/>
  </r>
  <r>
    <x v="1148"/>
    <d v="2025-05-13T00:00:00"/>
    <s v="   BY TRANSFER-NEFT*RBIS0GORJEP*RBI1342548507145*TREASURY OFFICE--"/>
    <s v="TRANSFER FROM 99509044300"/>
    <s v=" "/>
    <n v="28598"/>
    <n v="76413.06"/>
    <s v="Salary"/>
    <m/>
    <x v="19"/>
    <m/>
    <s v="2025-2026"/>
    <s v="CHECKED"/>
  </r>
  <r>
    <x v="1148"/>
    <d v="2025-05-13T00:00:00"/>
    <s v="   BY TRANSFER-NEFT*RBIS0GORJEP*RBI1342548848733*TERASURY OFFICE--"/>
    <s v="TRANSFER FROM 99509044300"/>
    <s v=" "/>
    <n v="434500"/>
    <n v="510913.06"/>
    <s v="Salary"/>
    <m/>
    <x v="443"/>
    <m/>
    <s v="2025-2026"/>
    <s v="CHECKED"/>
  </r>
  <r>
    <x v="1149"/>
    <d v="2025-05-15T00:00:00"/>
    <s v="   TO TRANSFER-SBIYA25135155101723265769-Transfer to fa--"/>
    <s v="TRANSFER TO 20078643908                           "/>
    <n v="434500"/>
    <s v=" "/>
    <n v="76413.06"/>
    <s v="Transfer Through Net Banking"/>
    <s v="YONO"/>
    <x v="154"/>
    <m/>
    <s v="2025-2026"/>
    <s v="CHECKED"/>
  </r>
  <r>
    <x v="1150"/>
    <d v="2025-05-16T00:00:00"/>
    <s v="   TO TRANSFER-UPI/DR/513666059793/Buta Singh/YESB/q706402482/hai--"/>
    <s v="TRANSFER TO 4897695162091"/>
    <n v="60"/>
    <s v=" "/>
    <n v="76353.06"/>
    <s v="Transfer Through Net Banking"/>
    <s v="Google Pay App"/>
    <x v="444"/>
    <m/>
    <s v="2025-2026"/>
    <s v="CHECKED"/>
  </r>
  <r>
    <x v="1151"/>
    <d v="2025-05-19T00:00:00"/>
    <s v="   TO TRANSFER-UPI/DR/513984267460/ANKUSH M/PUNB/ankusharor/milk--"/>
    <s v="TRANSFER TO 4897691162095"/>
    <n v="3200"/>
    <s v=" "/>
    <n v="73153.06"/>
    <s v="Transfer Through Net Banking"/>
    <s v="Google Pay App"/>
    <x v="265"/>
    <m/>
    <s v="2025-2026"/>
    <s v="CHECKED"/>
  </r>
  <r>
    <x v="1152"/>
    <d v="2025-05-20T00:00:00"/>
    <s v="   TO TRANSFER-UPI/DR/100585159888/ICCL ZER/HDFC/zerodhamf@/A0gi6--"/>
    <s v="TRANSFER TO 4897692162094"/>
    <n v="1000"/>
    <s v=" "/>
    <n v="72153.06"/>
    <s v="Transfer Through Net Banking"/>
    <s v="Google Pay App"/>
    <x v="33"/>
    <m/>
    <s v="2025-2026"/>
    <s v="CHECKED"/>
  </r>
  <r>
    <x v="1153"/>
    <d v="2025-05-23T00:00:00"/>
    <s v="   TO TRANSFER-UPI/DR/514397954336/ASHOK/YESB/q282193224/aata--"/>
    <s v="TRANSFER TO 4897695162091"/>
    <n v="250"/>
    <s v=" "/>
    <n v="71903.06"/>
    <s v="Transfer Through Net Banking"/>
    <s v="Google Pay App"/>
    <x v="232"/>
    <m/>
    <s v="2025-2026"/>
    <s v="CHECKED"/>
  </r>
  <r>
    <x v="1154"/>
    <d v="2025-05-24T00:00:00"/>
    <s v="   TO TRANSFER-UPI/DR/514416847070/Mr  VIKR/YESB/q028962466/sabji--"/>
    <s v="TRANSFER TO 4897696162090"/>
    <n v="85"/>
    <s v=" "/>
    <n v="71818.06"/>
    <s v="Transfer Through Net Banking"/>
    <s v="Google Pay App"/>
    <x v="233"/>
    <m/>
    <s v="2025-2026"/>
    <s v="CHECKED"/>
  </r>
  <r>
    <x v="1155"/>
    <d v="2025-05-26T00:00:00"/>
    <s v="   TO TRANSFER-UPI/DR/514604277000/RELIANCE/CITI/jio@citiba/JIO20--"/>
    <s v="TRANSFER TO 4897691162095"/>
    <n v="411.82"/>
    <s v=" "/>
    <n v="71406.240000000005"/>
    <s v="Mobile Recharge"/>
    <s v="Google Pay App"/>
    <x v="161"/>
    <m/>
    <s v="2025-2026"/>
    <s v="CHECKED"/>
  </r>
  <r>
    <x v="1156"/>
    <d v="2025-05-30T00:00:00"/>
    <s v="   TO TRANSFER-UPI/DR/515013376487/AMAR/IPOS/7073791585/Pollution--"/>
    <s v="TRANSFER TO 4897695162091"/>
    <n v="60"/>
    <s v=" "/>
    <n v="71346.240000000005"/>
    <s v="Transfer Through Net Banking"/>
    <s v="Google Pay App"/>
    <x v="445"/>
    <m/>
    <s v="2025-2026"/>
    <s v="Pending to Check"/>
  </r>
  <r>
    <x v="1157"/>
    <d v="2025-05-31T00:00:00"/>
    <s v="   TO TRANSFER-UPI/DR/515193041686/TARSEM S/YESB/paytmqr65h/elect--"/>
    <s v="TRANSFER TO 4897696162090"/>
    <n v="400"/>
    <s v=" "/>
    <n v="70946.240000000005"/>
    <s v="Transfer Through Net Banking"/>
    <s v="Google Pay App"/>
    <x v="446"/>
    <m/>
    <s v="2025-2026"/>
    <s v="Pending to Check"/>
  </r>
  <r>
    <x v="1158"/>
    <d v="2025-06-02T00:00:00"/>
    <s v="   BY TRANSFER-NEFT*RBIS0GORJEP*RBI1532589582159*TREASURY OFFICE--"/>
    <s v="TRANSFER FROM 99509044300"/>
    <s v=" "/>
    <n v="53127"/>
    <n v="124073.24"/>
    <s v="Salary"/>
    <m/>
    <x v="0"/>
    <m/>
    <s v="2025-2026"/>
    <s v="Pending to Check"/>
  </r>
  <r>
    <x v="1159"/>
    <d v="2025-06-05T00:00:00"/>
    <s v="   TO TRANSFER-UPI/DR/515660047833/POLICYBA/AIRP/policybaza/Payvi--"/>
    <s v="TRANSFER TO 4897694162092"/>
    <n v="894"/>
    <s v=" "/>
    <n v="123179.24"/>
    <s v="Transfer Through Net Banking"/>
    <s v="Google Pay App"/>
    <x v="320"/>
    <m/>
    <s v="2025-2026"/>
    <s v="Pending to Check"/>
  </r>
  <r>
    <x v="1160"/>
    <d v="2025-06-06T00:00:00"/>
    <s v="   BY TRANSFER-SBIYA25157142003548183334-Loan repayment--"/>
    <s v="TRANSFER FROM 20078643908                         "/>
    <s v=" "/>
    <n v="200000"/>
    <n v="323179.24"/>
    <s v="Transfer Through Net Banking"/>
    <m/>
    <x v="151"/>
    <m/>
    <s v="2025-2026"/>
    <s v="Pending to Check"/>
  </r>
  <r>
    <x v="1160"/>
    <d v="2025-06-06T00:00:00"/>
    <s v="   TO TRANSFER-SBIYA25157142405605119270-Transfer to fa--"/>
    <s v="TRANSFER TO 20412315947                           "/>
    <n v="150000"/>
    <s v=" "/>
    <n v="173179.24"/>
    <s v="Transfer Through Net Banking"/>
    <m/>
    <x v="394"/>
    <m/>
    <s v="2025-2026"/>
    <s v="Pending to Check"/>
  </r>
  <r>
    <x v="1161"/>
    <d v="2025-06-09T00:00:00"/>
    <s v="   TO TRANSFER-UPI/DR/516097687473/Google I/ICIC/googlebbps/UPI--"/>
    <s v="TRANSFER TO 4897691162095"/>
    <n v="1532"/>
    <s v=" "/>
    <n v="171647.24"/>
    <s v="Electricity Bill"/>
    <s v="Google Pay App"/>
    <x v="36"/>
    <m/>
    <s v="2025-2026"/>
    <s v="Pending to Check"/>
  </r>
  <r>
    <x v="1162"/>
    <d v="2025-06-11T00:00:00"/>
    <s v="   TO TRANSFER-UPI/DR/516266973897/Mohit  S/SBIN/mohitratho/UPI--"/>
    <s v="TRANSFER TO 4897693162093"/>
    <n v="4000"/>
    <s v=" "/>
    <n v="167647.24"/>
    <s v="Transfer Through UPI App"/>
    <s v="Google Pay App"/>
    <x v="238"/>
    <m/>
    <s v="2025-2026"/>
    <s v="Pending to Check"/>
  </r>
  <r>
    <x v="1163"/>
    <d v="2025-06-22T00:00:00"/>
    <s v="   DEBIT-PMJJBY UPTO 31-05-26 CIF : 71186437959--"/>
    <s v="IHT1393718"/>
    <n v="406"/>
    <s v=" "/>
    <n v="167241.24"/>
    <s v="Transfer Through Net Banking"/>
    <m/>
    <x v="447"/>
    <m/>
    <s v="2025-2026"/>
    <s v="Pending to Check"/>
  </r>
  <r>
    <x v="1163"/>
    <d v="2025-06-22T00:00:00"/>
    <s v="   DEBIT-PMSBY UPTO 31-05-26 CIF : 71186437959--"/>
    <s v="IHT1393723"/>
    <n v="19"/>
    <s v=" "/>
    <n v="167222.24"/>
    <s v="Transfer Through Net Banking"/>
    <m/>
    <x v="448"/>
    <m/>
    <s v="2025-2026"/>
    <s v="Pending to Check"/>
  </r>
  <r>
    <x v="1163"/>
    <d v="2025-06-22T00:00:00"/>
    <s v="   TO TRANSFER-UPI/DR/517317715263/RELIANCE/CITI/jio@citiba/JIO20--"/>
    <s v="TRANSFER TO 4897690162095"/>
    <n v="411.82"/>
    <s v=" "/>
    <n v="166810.42000000001"/>
    <s v="Mobile Recharge"/>
    <s v="Google Pay App"/>
    <x v="161"/>
    <m/>
    <s v="2025-2026"/>
    <s v="Pending to Check"/>
  </r>
  <r>
    <x v="1164"/>
    <d v="2025-06-25T00:00:00"/>
    <s v="   CREDIT INTEREST---"/>
    <m/>
    <s v=" "/>
    <n v="581"/>
    <n v="167391.42000000001"/>
    <s v="Credit Interest"/>
    <m/>
    <x v="0"/>
    <m/>
    <s v="2025-2026"/>
    <s v="Pending to Check"/>
  </r>
  <r>
    <x v="1165"/>
    <d v="2025-07-01T00:00:00"/>
    <s v="   TO TRANSFER-UPI/DR/100866559311/ICCL ZER/HDFC/zerodhamf@/BFewo--"/>
    <s v="TRANSFER TO 4897692162094"/>
    <n v="1000"/>
    <s v=" "/>
    <n v="166391.42000000001"/>
    <s v="Transfer Through Net Banking"/>
    <s v="Google Pay App"/>
    <x v="33"/>
    <m/>
    <s v="2025-2026"/>
    <s v="Pending to Check"/>
  </r>
  <r>
    <x v="1165"/>
    <d v="2025-07-01T00:00:00"/>
    <s v="   BY TRANSFER-NEFT*RBIS0GORJEP*RBI1822554397501*TREASURY OFFICE--"/>
    <s v="TRANSFER FROM 99509044300"/>
    <s v=" "/>
    <n v="45885"/>
    <n v="212276.42"/>
    <s v="Salary"/>
    <m/>
    <x v="0"/>
    <m/>
    <s v="2025-2026"/>
    <s v="Pending to Check"/>
  </r>
  <r>
    <x v="1166"/>
    <d v="2025-07-04T00:00:00"/>
    <s v="   TO TRANSFER-SBIYA25185083203992907488-ppf--"/>
    <s v="TRANSFER TO 32500545461                           "/>
    <n v="31000"/>
    <s v=" "/>
    <n v="181276.42"/>
    <s v="PPF"/>
    <m/>
    <x v="0"/>
    <m/>
    <s v="2025-2026"/>
    <s v="Pending to Check"/>
  </r>
  <r>
    <x v="1167"/>
    <d v="2025-07-05T00:00:00"/>
    <s v="   TO TRANSFER-UPI/DR/518672673972/RELIANCE/CITI/jio@citiba/JIO20--"/>
    <s v="TRANSFER TO 4897696162090"/>
    <n v="899"/>
    <s v=" "/>
    <n v="180377.42"/>
    <s v="Mobile Recharge"/>
    <s v="Google Pay App"/>
    <x v="35"/>
    <m/>
    <s v="2025-2026"/>
    <s v="Pending to Check"/>
  </r>
  <r>
    <x v="1168"/>
    <d v="2025-07-07T00:00:00"/>
    <s v="   TO TRANSFER-UPI/DR/100922791278/ICCL ZER/HDFC/zerodhamf@/wwRTz--"/>
    <s v="TRANSFER TO 4897691162095"/>
    <n v="14000"/>
    <s v=" "/>
    <n v="166377.42000000001"/>
    <s v="Transfer Through Net Banking"/>
    <s v="Google Pay App"/>
    <x v="33"/>
    <m/>
    <s v="2025-2026"/>
    <s v="Pending to Check"/>
  </r>
  <r>
    <x v="1169"/>
    <d v="2025-07-10T00:00:00"/>
    <s v="   TO TRANSFER-UPI/DR/519157380297/Mohit  S/SBIN/mohitratho/UPI--"/>
    <s v="TRANSFER TO 4897694162092"/>
    <n v="4000"/>
    <s v=" "/>
    <n v="162377.42000000001"/>
    <s v="Transfer Through UPI App"/>
    <s v="Google Pay App"/>
    <x v="238"/>
    <m/>
    <s v="2025-2026"/>
    <s v="Pending to Check"/>
  </r>
  <r>
    <x v="1169"/>
    <d v="2025-07-10T00:00:00"/>
    <s v="   TO TRANSFER-UPI/DR/519158522904/Google I/UTIB/gpay-utili/UPI--"/>
    <s v="TRANSFER TO 4897694162092"/>
    <n v="2165"/>
    <s v=" "/>
    <n v="160212.42000000001"/>
    <s v="Electricity Bill"/>
    <s v="Google Pay App"/>
    <x v="36"/>
    <m/>
    <s v="2025-2026"/>
    <s v="Pending to Check"/>
  </r>
  <r>
    <x v="1170"/>
    <d v="2025-07-16T00:00:00"/>
    <s v="   TO TRANSFER-UPI/DR/519741381259/SURENDRA/SBIN/surendrapa/nuker--"/>
    <s v="TRANSFER TO 4897693162093"/>
    <n v="200"/>
    <s v=" "/>
    <n v="160012.42000000001"/>
    <s v="Transfer Through UPI App"/>
    <s v="Google Pay App"/>
    <x v="449"/>
    <m/>
    <s v="2025-2026"/>
    <s v="Pending to Check"/>
  </r>
  <r>
    <x v="1171"/>
    <d v="2025-07-19T00:00:00"/>
    <s v="   TO TRANSFER-UPI/DR/520068470537/Google I/ICIC/gpayutilit/UPI--"/>
    <s v="TRANSFER TO 4897696162090"/>
    <n v="884"/>
    <s v=" "/>
    <n v="159128.42000000001"/>
    <s v="Transfer Through UPI App"/>
    <s v="Google Pay App"/>
    <x v="113"/>
    <m/>
    <s v="2025-2026"/>
    <s v="Pending to Check"/>
  </r>
  <r>
    <x v="1172"/>
    <d v="2025-07-24T00:00:00"/>
    <s v="   BY TRANSFER-P0725063609BD HPCL LPG SUBSIDY HPAP34D--"/>
    <s v="TRANSFER FROM 4697658105216"/>
    <s v=" "/>
    <n v="9.9499999999999993"/>
    <n v="159138.37"/>
    <s v="Subsidy"/>
    <m/>
    <x v="6"/>
    <m/>
    <s v="2025-2026"/>
    <s v="Pending to Check"/>
  </r>
  <r>
    <x v="1173"/>
    <d v="2025-07-25T00:00:00"/>
    <s v="   TO TRANSFER-UPI/DR/520685490987/RELIANCE/CITI/jio@citiba/JIO20--"/>
    <s v="TRANSFER TO 4897695162091"/>
    <n v="411.82"/>
    <s v=" "/>
    <n v="158726.54999999999"/>
    <s v="Mobile Recharge"/>
    <s v="Google Pay App"/>
    <x v="161"/>
    <m/>
    <s v="2025-2026"/>
    <s v="Pending to Check"/>
  </r>
  <r>
    <x v="1174"/>
    <d v="2025-07-28T00:00:00"/>
    <s v="   TO TRANSFER-UPI/DR/520906546738/Zerodha /HDFC/zerodhabro/69762--"/>
    <s v="TRANSFER TO 4897691162095"/>
    <n v="500"/>
    <s v=" "/>
    <n v="158226.54999999999"/>
    <s v="Transfer Through UPI App"/>
    <s v="Google Pay App"/>
    <x v="414"/>
    <m/>
    <s v="2025-2026"/>
    <s v="Pending to Check"/>
  </r>
  <r>
    <x v="1174"/>
    <d v="2025-07-28T00:00:00"/>
    <s v="   TO TRANSFER-UPI/DR/520928282786/IndianCl/ICIC/bsestarmfr/J4QJk--"/>
    <s v="TRANSFER TO 4897691162095"/>
    <n v="10000"/>
    <s v=" "/>
    <n v="148226.54999999999"/>
    <s v="Transfer Through UPI App"/>
    <s v="Google Pay App"/>
    <x v="33"/>
    <m/>
    <s v="2025-2026"/>
    <s v="Pending to Check"/>
  </r>
  <r>
    <x v="1175"/>
    <d v="2025-08-01T00:00:00"/>
    <s v="   BY TRANSFER-NEFT*RBIS0GORJEP*RBI2132513734093*TREASURY OFFICE--"/>
    <s v="TRANSFER FROM 99509044300"/>
    <s v=" "/>
    <n v="47700"/>
    <n v="195926.55"/>
    <s v="Salary"/>
    <m/>
    <x v="0"/>
    <m/>
    <s v="2025-2026"/>
    <s v="Pending to Check"/>
  </r>
  <r>
    <x v="1176"/>
    <d v="2025-08-02T00:00:00"/>
    <s v="   BY TRANSFER-NEFT*YESB0000001*YESF352142963710*ZERODHA BROKING--"/>
    <s v="TRANSFER FROM 99509044300"/>
    <s v=" "/>
    <n v="138.63"/>
    <n v="196065.18"/>
    <s v="Received Through Net Banking"/>
    <m/>
    <x v="450"/>
    <m/>
    <s v="2025-2026"/>
    <s v="Pending to Check"/>
  </r>
  <r>
    <x v="1176"/>
    <d v="2025-08-02T00:00:00"/>
    <s v="   TO TRANSFER-UPI/DR/558088021138/Indian C/HDFC/icclzerodh/Merch--"/>
    <s v="TRANSFER TO 4897696162090"/>
    <n v="2000"/>
    <s v=" "/>
    <n v="194065.18"/>
    <s v="Transfer Through UPI App"/>
    <s v="Google Pay App"/>
    <x v="33"/>
    <m/>
    <s v="2025-2026"/>
    <s v="Pending to Check"/>
  </r>
  <r>
    <x v="1177"/>
    <d v="2025-08-04T00:00:00"/>
    <s v="   TO TRANSFER-UPI/DR/521634674796/Google I/UTIB/gpay-utili/UPI--"/>
    <s v="TRANSFER TO 4897691162095"/>
    <n v="1776"/>
    <s v=" "/>
    <n v="192289.18"/>
    <s v="Electricity Bill"/>
    <s v="Google Pay App"/>
    <x v="36"/>
    <m/>
    <s v="2025-2026"/>
    <s v="Pending to Check"/>
  </r>
  <r>
    <x v="1178"/>
    <d v="2025-08-06T00:00:00"/>
    <s v="   BY TRANSFER-UPI/CR/521827494374/NAVJOT  /SBIN/164nav@oks/UPI--"/>
    <s v="TRANSFER FROM 4897735162098"/>
    <s v=" "/>
    <n v="60"/>
    <n v="192349.18"/>
    <s v="Received Through UPI App"/>
    <m/>
    <x v="451"/>
    <m/>
    <s v="2025-2026"/>
    <s v="Pending to Check"/>
  </r>
  <r>
    <x v="1179"/>
    <d v="2025-08-08T00:00:00"/>
    <s v="   TO TRANSFER-UPI/DR/101165628165/ICCL ZER/HDFC/zerodhamf@/FN6zY--"/>
    <s v="TRANSFER TO 4897695162091"/>
    <n v="5000"/>
    <s v=" "/>
    <n v="187349.18"/>
    <s v="Transfer Through UPI App"/>
    <s v="Google Pay App"/>
    <x v="33"/>
    <m/>
    <s v="2025-2026"/>
    <s v="Pending to Check"/>
  </r>
  <r>
    <x v="1180"/>
    <d v="2025-08-09T00:00:00"/>
    <s v="   TO TRANSFER-UPI/DR/522153824088/OlaCabs/AIRP/olacabs902/Paymen--"/>
    <s v="TRANSFER TO 4897696162090"/>
    <n v="102"/>
    <s v=" "/>
    <n v="187247.18"/>
    <s v="Transfer Through UPI App"/>
    <s v="Google Pay App"/>
    <x v="452"/>
    <m/>
    <s v="2025-2026"/>
    <s v="Pending to Check"/>
  </r>
  <r>
    <x v="1181"/>
    <d v="2025-08-17T00:00:00"/>
    <s v="   TO TRANSFER-UPI/DR/522954294511/Google I/UTIB/gpay-utili/UPI--"/>
    <s v="TRANSFER TO 4897690162095"/>
    <n v="28"/>
    <s v=" "/>
    <n v="187219.18"/>
    <s v="Water Bill"/>
    <s v="Google Pay App"/>
    <x v="0"/>
    <m/>
    <s v="2025-2026"/>
    <s v="Pending to Check"/>
  </r>
  <r>
    <x v="1182"/>
    <d v="2025-08-22T00:00:00"/>
    <s v="   TO TRANSFER-UPI/DR/523431216399/RELIANCE/CITI/jio@citiba/JIO20--"/>
    <s v="TRANSFER TO 4897695162091"/>
    <n v="411.82"/>
    <s v=" "/>
    <n v="186807.36"/>
    <s v="Mobile Recharge"/>
    <s v="Google Pay App"/>
    <x v="161"/>
    <m/>
    <s v="2025-2026"/>
    <s v="Pending to Check"/>
  </r>
  <r>
    <x v="1183"/>
    <d v="2025-08-26T00:00:00"/>
    <s v="   TO TRANSFER-UPI/DR/523887827680/IndianCl/ICIC/bsestarmfr/2TtO3--"/>
    <s v="TRANSFER TO 4897692162094"/>
    <n v="1000"/>
    <s v=" "/>
    <n v="185807.35999999999"/>
    <s v="Transfer Through UPI App"/>
    <s v="Google Pay App"/>
    <x v="33"/>
    <m/>
    <s v="2025-2026"/>
    <s v="Pending to Check"/>
  </r>
  <r>
    <x v="1184"/>
    <d v="2025-08-28T00:00:00"/>
    <s v="   TO TRANSFER-UPI/DR/524000320616/IndianCl/ICIC/bsestarmfr/Njkpg--"/>
    <s v="TRANSFER TO 4897694162092"/>
    <n v="17000"/>
    <s v=" "/>
    <n v="168807.36"/>
    <s v="Transfer Through UPI App"/>
    <s v="Google Pay App"/>
    <x v="33"/>
    <m/>
    <s v="2025-2026"/>
    <s v="Pending to Check"/>
  </r>
  <r>
    <x v="1185"/>
    <d v="2025-09-01T00:00:00"/>
    <s v="   BY TRANSFER-NEFT*RBIS0GORJEP*RBI2442580091872*TREASURY OFFICE--"/>
    <s v="TRANSFER FROM 99509044300"/>
    <s v=" "/>
    <n v="10113"/>
    <n v="178920.36"/>
    <s v="Salary"/>
    <m/>
    <x v="0"/>
    <m/>
    <s v="2025-2026"/>
    <s v="Pending to Check"/>
  </r>
  <r>
    <x v="1186"/>
    <d v="2025-09-03T00:00:00"/>
    <s v="   BY TRANSFER-NEFT*RBIS0GORJEP*RBI2472593163289*TREASURY OFFICE--"/>
    <s v="TRANSFER FROM 99509044300"/>
    <s v=" "/>
    <n v="41613"/>
    <n v="220533.36"/>
    <s v="Salary"/>
    <m/>
    <x v="0"/>
    <m/>
    <s v="2025-2026"/>
    <s v="Pending to Check"/>
  </r>
  <r>
    <x v="1187"/>
    <d v="2025-09-10T00:00:00"/>
    <s v="   TO TRANSFER-UPI/DR/525323558594/Google I/UTIB/gpay-utili/UPI--"/>
    <s v="TRANSFER TO 4897693162093"/>
    <n v="2011"/>
    <s v=" "/>
    <n v="218522.36"/>
    <s v="Electricity Bill"/>
    <s v="Google Pay App"/>
    <x v="36"/>
    <m/>
    <s v="2025-2026"/>
    <s v="Pending to Check"/>
  </r>
  <r>
    <x v="1188"/>
    <d v="2025-09-11T00:00:00"/>
    <s v="   TO TRANSFER-UPI/DR/525445284865/Amazon I/UTIB/amazonupi@/You a--"/>
    <s v="TRANSFER TO 4897694162092"/>
    <n v="303"/>
    <s v=" "/>
    <n v="218219.36"/>
    <s v="Transfer Through UPI App"/>
    <s v="Google Pay App"/>
    <x v="453"/>
    <m/>
    <s v="2025-2026"/>
    <s v="Pending to Check"/>
  </r>
  <r>
    <x v="1189"/>
    <d v="2025-09-12T00:00:00"/>
    <s v="   TO TRANSFER-UPI/DR/525599295904/Amazon I/RATN/amazon@rap/You a--"/>
    <s v="TRANSFER TO 4897695162091"/>
    <n v="1179.04"/>
    <s v=" "/>
    <n v="217040.32"/>
    <s v="Transfer Through UPI App"/>
    <s v="Google Pay App"/>
    <x v="454"/>
    <m/>
    <s v="2025-2026"/>
    <s v="Pending to Check"/>
  </r>
  <r>
    <x v="1189"/>
    <d v="2025-09-12T00:00:00"/>
    <s v="   TO TRANSFER-UPI/DR/291546284184/Flipkart/YESB/paytm-5650/OidPZ--"/>
    <s v="TRANSFER TO 4897695162091"/>
    <n v="885"/>
    <s v=" "/>
    <n v="216155.32"/>
    <s v="Transfer Through UPI App"/>
    <s v="Google Pay App"/>
    <x v="0"/>
    <m/>
    <s v="2025-2026"/>
    <s v="Pending to Check"/>
  </r>
  <r>
    <x v="1190"/>
    <d v="2025-09-22T00:00:00"/>
    <s v="   TO TRANSFER-UPI/DR/526580046807/RELIANCE/CITI/jio@citiba/JIO20--"/>
    <s v="TRANSFER TO 4897691162095"/>
    <n v="411.82"/>
    <s v=" "/>
    <n v="215743.5"/>
    <s v="Mobile Recharge"/>
    <s v="Google Pay App"/>
    <x v="161"/>
    <m/>
    <s v="2025-2026"/>
    <s v="Pending to Check"/>
  </r>
  <r>
    <x v="1191"/>
    <d v="2025-09-23T00:00:00"/>
    <s v="   TO TRANSFER-UPI/DR/526670710270/Ashu Art/UTIB/9521623541/UPI--"/>
    <s v="TRANSFER TO 4897692162094"/>
    <n v="200"/>
    <s v=" "/>
    <n v="215543.5"/>
    <s v="Transfer Through UPI App"/>
    <s v="Google Pay App"/>
    <x v="453"/>
    <m/>
    <s v="2025-2026"/>
    <s v="Pending to Check"/>
  </r>
  <r>
    <x v="1192"/>
    <d v="2025-09-25T00:00:00"/>
    <s v="   CREDIT INTEREST---"/>
    <m/>
    <s v=" "/>
    <n v="1172"/>
    <n v="216715.5"/>
    <s v="Credit Interest"/>
    <m/>
    <x v="0"/>
    <m/>
    <s v="2025-2026"/>
    <s v="Pending to Check"/>
  </r>
  <r>
    <x v="1193"/>
    <d v="2025-09-27T00:00:00"/>
    <s v="   TO TRANSFER-UPI/DR/101552869330/ICCL ZER/HDFC/zerodhamf@/qh6vU--"/>
    <s v="TRANSFER TO 4897696162090"/>
    <n v="4000"/>
    <s v=" "/>
    <n v="212715.5"/>
    <s v="Transfer Through UPI App"/>
    <s v="Google Pay App"/>
    <x v="33"/>
    <m/>
    <s v="2025-2026"/>
    <s v="Pending to Check"/>
  </r>
  <r>
    <x v="1194"/>
    <d v="2025-10-01T00:00:00"/>
    <s v="   BY TRANSFER-NEFT*RBIS0GORJEP*RBISH00043920195*TREASURY OFFICE--"/>
    <s v="TRANSFER FROM 99509044300"/>
    <s v=" "/>
    <n v="52500"/>
    <n v="265215.5"/>
    <s v="Salary"/>
    <m/>
    <x v="0"/>
    <m/>
    <s v="2025-2026"/>
    <s v="Pending to Check"/>
  </r>
  <r>
    <x v="1195"/>
    <d v="2025-10-02T00:00:00"/>
    <s v="   TO TRANSFER-UPI/DR/527597191917/FASHION /HDFC/vyapar.173/cloth--"/>
    <s v="TRANSFER TO 4897694162092"/>
    <n v="4146"/>
    <s v=" "/>
    <n v="261069.5"/>
    <s v="Transfer Through UPI App"/>
    <s v="Google Pay App"/>
    <x v="455"/>
    <m/>
    <s v="2025-2026"/>
    <s v="Pending to Check"/>
  </r>
  <r>
    <x v="1195"/>
    <d v="2025-10-02T00:00:00"/>
    <s v="   BY TRANSFER-UPI/CR/293063562755/GOOGLE I/utib/goog-payme/UPI--"/>
    <s v="TRANSFER FROM 4897736162097"/>
    <s v=" "/>
    <n v="6"/>
    <n v="261075.5"/>
    <s v="Earning From UPI App"/>
    <s v="Google Pay App"/>
    <x v="0"/>
    <m/>
    <s v="2025-2026"/>
    <s v="Pending to Check"/>
  </r>
  <r>
    <x v="1196"/>
    <d v="2025-10-03T00:00:00"/>
    <s v="   TO TRANSFER-UPI/DR/527616263477/RELIANCE/CITI/jio@citiba/JIO20--"/>
    <s v="TRANSFER TO 4897695162091"/>
    <n v="899"/>
    <s v=" "/>
    <n v="260176.5"/>
    <s v="Mobile Recharge"/>
    <s v="Google Pay App"/>
    <x v="35"/>
    <m/>
    <s v="2025-2026"/>
    <s v="Pending to Check"/>
  </r>
  <r>
    <x v="1197"/>
    <d v="2025-10-06T00:00:00"/>
    <s v="   TO TRANSFER-UPI/DR/527916983950/TINKAL  /SBIN/tinkalsain/rapid--"/>
    <s v="TRANSFER TO 4897691162095"/>
    <n v="58"/>
    <s v=" "/>
    <n v="260118.5"/>
    <s v="Transfer Through UPI App"/>
    <s v="Google Pay App"/>
    <x v="456"/>
    <m/>
    <s v="2025-2026"/>
    <s v="Pending to Check"/>
  </r>
  <r>
    <x v="1198"/>
    <d v="2025-10-07T00:00:00"/>
    <s v="   TO TRANSFER-UPI/DR/528032419347/Google I/UTIB/gpay-utili/UPI--"/>
    <s v="TRANSFER TO 4897692162094"/>
    <n v="1634"/>
    <s v=" "/>
    <n v="258484.5"/>
    <s v="Electricity Bill"/>
    <s v="Google Pay App"/>
    <x v="36"/>
    <m/>
    <s v="2025-2026"/>
    <s v="Pending to Check"/>
  </r>
  <r>
    <x v="1199"/>
    <d v="2025-10-11T00:00:00"/>
    <s v="   TO TRANSFER-UPI/DR/528463210829/amazon p/YESB/amazonpayg/You a--"/>
    <s v="TRANSFER TO 4897696162090"/>
    <n v="259"/>
    <s v=" "/>
    <n v="258225.5"/>
    <s v="Transfer Through UPI App"/>
    <s v="Google Pay App"/>
    <x v="457"/>
    <m/>
    <s v="2025-2026"/>
    <s v="Pending to Check"/>
  </r>
  <r>
    <x v="1199"/>
    <d v="2025-10-11T00:00:00"/>
    <s v="   TO TRANSFER-UPI/DR/528497816074/Ramkunwa/AUBL/9672235383/rapid--"/>
    <s v="TRANSFER TO 4897696162090"/>
    <n v="85"/>
    <s v=" "/>
    <n v="258140.5"/>
    <s v="Transfer Through UPI App"/>
    <s v="Google Pay App"/>
    <x v="456"/>
    <m/>
    <s v="2025-2026"/>
    <s v="Pending to Check"/>
  </r>
  <r>
    <x v="1199"/>
    <d v="2025-10-11T00:00:00"/>
    <s v="   TO TRANSFER-UPI/DR/528406759909/TANDOORI/PSIB/8059260877/Merch--"/>
    <s v="TRANSFER TO 4897696162090"/>
    <n v="590"/>
    <s v=" "/>
    <n v="257550.5"/>
    <s v="Transfer Through UPI App"/>
    <s v="Google Pay App"/>
    <x v="458"/>
    <m/>
    <s v="2025-2026"/>
    <s v="Pending to Check"/>
  </r>
  <r>
    <x v="1200"/>
    <d v="2025-10-13T00:00:00"/>
    <s v="   TO TRANSFER-UPI/DR/528625497816/ROPPEN T/AIRP/roppentran/ROPPE--"/>
    <s v="TRANSFER TO 4897691162095"/>
    <n v="87"/>
    <s v=" "/>
    <n v="257463.5"/>
    <s v="Transfer Through UPI App"/>
    <s v="Google Pay App"/>
    <x v="456"/>
    <m/>
    <s v="2025-2026"/>
    <s v="Pending to Check"/>
  </r>
  <r>
    <x v="1201"/>
    <d v="2025-10-16T00:00:00"/>
    <s v="   TO TRANSFER-UPI/DR/528954773624/Mr GAUTA/MAHB/9079215592/rapid--"/>
    <s v="TRANSFER TO 4897694162092"/>
    <n v="59"/>
    <s v=" "/>
    <n v="257404.5"/>
    <s v="Transfer Through UPI App"/>
    <s v="Google Pay App"/>
    <x v="456"/>
    <m/>
    <s v="2025-2026"/>
    <s v="Pending to Check"/>
  </r>
  <r>
    <x v="1201"/>
    <d v="2025-10-16T00:00:00"/>
    <s v="   TO TRANSFER-UPI/DR/528964749976/KAMAL KI/YESB/paytmqr6m5/toys--"/>
    <s v="TRANSFER TO 4897694162092"/>
    <n v="60"/>
    <s v=" "/>
    <n v="257344.5"/>
    <s v="Transfer Through UPI App"/>
    <s v="Google Pay App"/>
    <x v="453"/>
    <m/>
    <s v="2025-2026"/>
    <s v="Pending to Check"/>
  </r>
  <r>
    <x v="1202"/>
    <d v="2025-10-17T00:00:00"/>
    <s v="   TO TRANSFER-UPI/DR/529087015461/Ozo Hote/UTIB/gpay-11259/dinne--"/>
    <s v="TRANSFER TO 4897695162091"/>
    <n v="300"/>
    <s v=" "/>
    <n v="257044.5"/>
    <s v="Transfer Through UPI App"/>
    <s v="Google Pay App"/>
    <x v="459"/>
    <m/>
    <s v="2025-2026"/>
    <s v="Pending to Check"/>
  </r>
  <r>
    <x v="1202"/>
    <d v="2025-10-17T00:00:00"/>
    <s v="   BY TRANSFER-NEFT*RBIS0GORJEP*RBISH00089757409*TREASURY OFFICE--"/>
    <s v="TRANSFER FROM 99509044300"/>
    <s v=" "/>
    <n v="5080"/>
    <n v="262124.5"/>
    <s v="Salary"/>
    <m/>
    <x v="10"/>
    <m/>
    <s v="2025-2026"/>
    <s v="Pending to Check"/>
  </r>
  <r>
    <x v="1203"/>
    <d v="2025-10-18T00:00:00"/>
    <s v="   BULK POSTING-ITDTAX REFUND 2025-26 ANBPJ3859N--"/>
    <m/>
    <s v=" "/>
    <n v="28460"/>
    <n v="290584.5"/>
    <s v="Retrun from Income Tax Department"/>
    <m/>
    <x v="0"/>
    <m/>
    <s v="2025-2026"/>
    <s v="Pending to Check"/>
  </r>
  <r>
    <x v="1203"/>
    <d v="2025-10-18T00:00:00"/>
    <s v="   BY TRANSFER-NEFT*RBIS0GORJEP*RBISH00091719174*TREASURY OFFICE--"/>
    <s v="TRANSFER FROM 99509044300"/>
    <s v=" "/>
    <n v="770"/>
    <n v="291354.5"/>
    <s v="TA Bill Reimbursement (DOIT)"/>
    <m/>
    <x v="0"/>
    <m/>
    <s v="2025-2026"/>
    <s v="Pending to Check"/>
  </r>
  <r>
    <x v="1203"/>
    <d v="2025-10-18T00:00:00"/>
    <s v="   BY TRANSFER-NEFT*RBIS0GORJEP*RBISH00091719173*TREASURY OFFICE--"/>
    <s v="TRANSFER FROM 99509044300"/>
    <s v=" "/>
    <n v="1346"/>
    <n v="292700.5"/>
    <s v="TA Bill Reimbursement (DOIT)"/>
    <m/>
    <x v="0"/>
    <m/>
    <s v="2025-2026"/>
    <s v="Pending to Check"/>
  </r>
  <r>
    <x v="1203"/>
    <d v="2025-10-18T00:00:00"/>
    <s v="   BY TRANSFER-NEFT*RBIS0GORJEP*RBISH00091719172*TREASURY OFFICE--"/>
    <s v="TRANSFER FROM 99509044300"/>
    <s v=" "/>
    <n v="1330"/>
    <n v="294030.5"/>
    <s v="TA Bill Reimbursement (DOIT)"/>
    <m/>
    <x v="0"/>
    <m/>
    <s v="2025-2026"/>
    <s v="Pending to Check"/>
  </r>
  <r>
    <x v="1203"/>
    <d v="2025-10-18T00:00:00"/>
    <s v="   BY TRANSFER-NEFT*RBIS0GORJEP*RBISH00091719169*TREASURY OFFICE--"/>
    <s v="TRANSFER FROM 99509044300"/>
    <s v=" "/>
    <n v="1338"/>
    <n v="295368.5"/>
    <s v="TA Bill Reimbursement (DOIT)"/>
    <m/>
    <x v="0"/>
    <m/>
    <s v="2025-2026"/>
    <s v="Pending to Check"/>
  </r>
  <r>
    <x v="1203"/>
    <d v="2025-10-18T00:00:00"/>
    <s v="   BY TRANSFER-NEFT*RBIS0GORJEP*RBISH00091719168*TREASURY OFFICE--"/>
    <s v="TRANSFER FROM 99509044300"/>
    <s v=" "/>
    <n v="1619"/>
    <n v="296987.5"/>
    <s v="TA Bill Reimbursement (DOIT)"/>
    <m/>
    <x v="0"/>
    <m/>
    <s v="2025-2026"/>
    <s v="Pending to Check"/>
  </r>
  <r>
    <x v="1203"/>
    <d v="2025-10-18T00:00:00"/>
    <s v="   BY TRANSFER-NEFT*RBIS0GORJEP*RBISH00091719170*TREASURY OFFICE--"/>
    <s v="TRANSFER FROM 99509044300"/>
    <s v=" "/>
    <n v="1324"/>
    <n v="298311.5"/>
    <s v="TA Bill Reimbursement (DOIT)"/>
    <m/>
    <x v="0"/>
    <m/>
    <s v="2025-2026"/>
    <s v="Pending to Check"/>
  </r>
  <r>
    <x v="1203"/>
    <d v="2025-10-18T00:00:00"/>
    <s v="   BY TRANSFER-NEFT*RBIS0GORJEP*RBISH00091719171*TREASURY OFFICE--"/>
    <s v="TRANSFER FROM 99509044300"/>
    <s v=" "/>
    <n v="1332"/>
    <n v="299643.5"/>
    <s v="TA Bill Reimbursement (DOIT)"/>
    <m/>
    <x v="0"/>
    <m/>
    <s v="2025-2026"/>
    <s v="Pending to Check"/>
  </r>
  <r>
    <x v="1204"/>
    <d v="2025-10-22T00:00:00"/>
    <s v="   TO TRANSFER-UPI/DR/529548416706/RELIANCE/CITI/jio@citiba/JIO20--"/>
    <s v="TRANSFER TO 4897693162093"/>
    <n v="411.82"/>
    <s v=" "/>
    <n v="299231.68"/>
    <s v="Mobile Recharge"/>
    <s v="Google Pay App"/>
    <x v="161"/>
    <m/>
    <s v="2025-2026"/>
    <s v="Pending to Check"/>
  </r>
  <r>
    <x v="1204"/>
    <d v="2025-10-22T00:00:00"/>
    <s v="   TO TRANSFER-UPI/DR/529561449156/AVENUE S/HDFC/avenuesupe/UPI--"/>
    <s v="TRANSFER TO 4897693162093"/>
    <n v="3237"/>
    <s v=" "/>
    <n v="295994.68"/>
    <s v="Transfer Through UPI App"/>
    <s v="Google Pay App"/>
    <x v="460"/>
    <m/>
    <s v="2025-2026"/>
    <s v="Pending to Check"/>
  </r>
  <r>
    <x v="1205"/>
    <d v="2025-10-25T00:00:00"/>
    <s v="   TO TRANSFER-UPI/DR/529812773265/Google I/UTIB/gpay-utili/UPI--"/>
    <s v="TRANSFER TO 4897696162090"/>
    <n v="884"/>
    <s v=" "/>
    <n v="295110.68"/>
    <s v="Transfer Through UPI App"/>
    <s v="Google Pay App"/>
    <x v="113"/>
    <m/>
    <s v="2025-2026"/>
    <s v="Pending to Check"/>
  </r>
  <r>
    <x v="1206"/>
    <m/>
    <m/>
    <m/>
    <n v="20"/>
    <m/>
    <n v="295090.68"/>
    <s v="Transfer Through UPI App"/>
    <s v="Google Pay App"/>
    <x v="461"/>
    <m/>
    <s v="1899-1900"/>
    <s v="Pending to Check"/>
  </r>
  <r>
    <x v="1206"/>
    <m/>
    <m/>
    <m/>
    <n v="40"/>
    <m/>
    <n v="295050.68"/>
    <s v="Transfer Through UPI App"/>
    <s v="Google Pay App"/>
    <x v="315"/>
    <m/>
    <s v="1899-1900"/>
    <s v="Pending to Check"/>
  </r>
  <r>
    <x v="1206"/>
    <m/>
    <m/>
    <m/>
    <m/>
    <n v="9.9499999999999993"/>
    <n v="295060.63"/>
    <s v="Subsidy"/>
    <m/>
    <x v="113"/>
    <m/>
    <s v="1899-1900"/>
    <s v="Pending to Check"/>
  </r>
  <r>
    <x v="1206"/>
    <m/>
    <m/>
    <m/>
    <m/>
    <n v="53640"/>
    <n v="348700.63"/>
    <s v="Salary"/>
    <m/>
    <x v="0"/>
    <m/>
    <s v="1899-1900"/>
    <s v="Pending to Check"/>
  </r>
  <r>
    <x v="1206"/>
    <m/>
    <m/>
    <m/>
    <n v="4000"/>
    <m/>
    <n v="344700.63"/>
    <s v="Transfer Through UPI App"/>
    <s v="Google Pay App"/>
    <x v="33"/>
    <m/>
    <s v="1899-1900"/>
    <s v="Pending to Check"/>
  </r>
  <r>
    <x v="1206"/>
    <m/>
    <m/>
    <m/>
    <n v="578"/>
    <m/>
    <n v="344122.63"/>
    <s v="Water Bill"/>
    <s v="Google Pay App"/>
    <x v="36"/>
    <m/>
    <s v="1899-1900"/>
    <s v="Pending to Check"/>
  </r>
  <r>
    <x v="1206"/>
    <m/>
    <m/>
    <m/>
    <n v="156"/>
    <m/>
    <n v="343966.63"/>
    <s v="Electricity Bill"/>
    <s v="Google Pay App"/>
    <x v="36"/>
    <m/>
    <s v="1899-1900"/>
    <s v="Pending to Check"/>
  </r>
  <r>
    <x v="1206"/>
    <m/>
    <m/>
    <m/>
    <m/>
    <n v="2"/>
    <n v="343968.63"/>
    <m/>
    <m/>
    <x v="0"/>
    <m/>
    <s v="1899-1900"/>
    <s v="Pending to Check"/>
  </r>
  <r>
    <x v="1206"/>
    <m/>
    <m/>
    <m/>
    <n v="160"/>
    <m/>
    <n v="343808.63"/>
    <s v="Transfer Through UPI App"/>
    <s v="Google Pay App"/>
    <x v="462"/>
    <m/>
    <s v="1899-1900"/>
    <s v="Pending to Check"/>
  </r>
  <r>
    <x v="1206"/>
    <m/>
    <m/>
    <m/>
    <n v="66"/>
    <m/>
    <n v="343742.63"/>
    <s v="Transfer Through UPI App"/>
    <s v="Google Pay App"/>
    <x v="456"/>
    <s v="from pg to polovictory"/>
    <s v="1899-1900"/>
    <s v="Pending to Check"/>
  </r>
  <r>
    <x v="1206"/>
    <m/>
    <m/>
    <m/>
    <n v="411.82"/>
    <m/>
    <n v="343330.81"/>
    <s v="Mobile Recharge"/>
    <s v="Google Pay App"/>
    <x v="161"/>
    <m/>
    <s v="1899-1900"/>
    <s v="Pending to Check"/>
  </r>
  <r>
    <x v="1206"/>
    <m/>
    <m/>
    <m/>
    <n v="200000"/>
    <m/>
    <n v="143330.81"/>
    <s v="Transfer Through Net Banking"/>
    <s v="YONO"/>
    <x v="154"/>
    <s v="for plot of taya ji (sanja plot at malout)"/>
    <s v="1899-1900"/>
    <s v="Pending to Check"/>
  </r>
  <r>
    <x v="1206"/>
    <m/>
    <m/>
    <m/>
    <m/>
    <n v="200000"/>
    <n v="343330.81"/>
    <s v="Received Through Net Banking"/>
    <m/>
    <x v="151"/>
    <s v="from rohit jain_x000a_24 nov 2025 ko send kiye thy vo return kiye hai"/>
    <s v="1899-1900"/>
    <s v="Pending to Check"/>
  </r>
  <r>
    <x v="1206"/>
    <m/>
    <m/>
    <m/>
    <m/>
    <n v="53640"/>
    <n v="396970.81"/>
    <s v="Salary"/>
    <m/>
    <x v="0"/>
    <m/>
    <s v="1899-1900"/>
    <s v="Pending to Check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n v="1"/>
    <x v="0"/>
    <s v="2015-16"/>
    <s v="MAR-2016"/>
    <s v="ONLINE"/>
    <n v="1100"/>
    <n v="0"/>
    <n v="0"/>
    <n v="0"/>
    <n v="0"/>
    <n v="0"/>
    <n v="0"/>
    <n v="1100"/>
    <s v="OK"/>
    <n v="0"/>
  </r>
  <r>
    <n v="2"/>
    <x v="0"/>
    <s v="2016-17"/>
    <s v="APR-2016"/>
    <s v="ONLINE"/>
    <n v="1100"/>
    <n v="0"/>
    <n v="0"/>
    <n v="0"/>
    <n v="0"/>
    <n v="0"/>
    <n v="0"/>
    <n v="1100"/>
    <s v="OK"/>
    <n v="0"/>
  </r>
  <r>
    <n v="3"/>
    <x v="0"/>
    <s v="2016-17"/>
    <s v="MAY-2016"/>
    <s v="ONLINE"/>
    <n v="1100"/>
    <n v="0"/>
    <n v="0"/>
    <n v="0"/>
    <n v="0"/>
    <n v="0"/>
    <n v="0"/>
    <n v="1100"/>
    <s v="OK"/>
    <n v="0"/>
  </r>
  <r>
    <n v="4"/>
    <x v="0"/>
    <s v="2016-17"/>
    <s v="JUN-2016"/>
    <s v="ONLINE"/>
    <n v="1100"/>
    <n v="0"/>
    <n v="0"/>
    <n v="0"/>
    <n v="0"/>
    <n v="0"/>
    <n v="0"/>
    <n v="1100"/>
    <s v="OK"/>
    <n v="0"/>
  </r>
  <r>
    <n v="5"/>
    <x v="0"/>
    <s v="2016-17"/>
    <s v="JUL-2016"/>
    <s v="ONLINE"/>
    <n v="1100"/>
    <n v="0"/>
    <n v="0"/>
    <n v="0"/>
    <n v="0"/>
    <n v="0"/>
    <n v="0"/>
    <n v="1100"/>
    <s v="OK"/>
    <n v="0"/>
  </r>
  <r>
    <n v="6"/>
    <x v="0"/>
    <s v="2016-17"/>
    <s v="AUG-2016"/>
    <s v="ONLINE"/>
    <n v="1100"/>
    <n v="0"/>
    <n v="0"/>
    <n v="0"/>
    <n v="0"/>
    <n v="0"/>
    <n v="0"/>
    <n v="1100"/>
    <s v="OK"/>
    <n v="0"/>
  </r>
  <r>
    <n v="7"/>
    <x v="0"/>
    <s v="2016-17"/>
    <s v="SEP-2016"/>
    <s v="ONLINE"/>
    <n v="1100"/>
    <n v="0"/>
    <n v="0"/>
    <n v="0"/>
    <n v="0"/>
    <n v="0"/>
    <n v="0"/>
    <n v="1100"/>
    <s v="OK"/>
    <n v="0"/>
  </r>
  <r>
    <n v="8"/>
    <x v="0"/>
    <s v="2016-17"/>
    <s v="OCT-2016"/>
    <s v="ONLINE"/>
    <n v="2200"/>
    <n v="0"/>
    <n v="0"/>
    <n v="0"/>
    <n v="0"/>
    <n v="0"/>
    <n v="0"/>
    <n v="2200"/>
    <s v="not matched"/>
    <n v="1"/>
  </r>
  <r>
    <n v="9"/>
    <x v="0"/>
    <s v="2016-17"/>
    <s v="NOV-2016"/>
    <s v="ONLINE"/>
    <n v="1100"/>
    <n v="0"/>
    <n v="0"/>
    <n v="0"/>
    <n v="0"/>
    <n v="0"/>
    <n v="0"/>
    <n v="1100"/>
    <s v="OK"/>
    <n v="0"/>
  </r>
  <r>
    <n v="10"/>
    <x v="0"/>
    <s v="2016-17"/>
    <s v="DEC-2016"/>
    <s v="ONLINE"/>
    <n v="1100"/>
    <n v="0"/>
    <n v="0"/>
    <n v="0"/>
    <n v="0"/>
    <n v="0"/>
    <n v="0"/>
    <n v="1100"/>
    <s v="OK"/>
    <n v="0"/>
  </r>
  <r>
    <n v="11"/>
    <x v="0"/>
    <s v="2016-17"/>
    <s v="JAN-2017"/>
    <s v="ONLINE"/>
    <n v="1100"/>
    <n v="0"/>
    <n v="0"/>
    <n v="0"/>
    <n v="0"/>
    <n v="0"/>
    <n v="0"/>
    <n v="1100"/>
    <s v="OK"/>
    <n v="0"/>
  </r>
  <r>
    <n v="12"/>
    <x v="0"/>
    <s v="2016-17"/>
    <s v="FEB-2017"/>
    <s v="ONLINE"/>
    <n v="1100"/>
    <n v="0"/>
    <n v="0"/>
    <n v="0"/>
    <n v="0"/>
    <n v="0"/>
    <n v="0"/>
    <n v="1100"/>
    <s v="OK"/>
    <n v="0"/>
  </r>
  <r>
    <n v="13"/>
    <x v="1"/>
    <s v="2016-17"/>
    <s v="MAR-2017"/>
    <s v="ONLINE"/>
    <n v="2650"/>
    <n v="0"/>
    <n v="0"/>
    <n v="0"/>
    <n v="0"/>
    <n v="0"/>
    <n v="0"/>
    <n v="2650"/>
    <s v="OK"/>
    <n v="0"/>
  </r>
  <r>
    <n v="14"/>
    <x v="1"/>
    <s v="2017-18"/>
    <s v="APR-2017"/>
    <s v="ONLINE"/>
    <n v="2650"/>
    <n v="0"/>
    <n v="0"/>
    <n v="0"/>
    <n v="0"/>
    <n v="0"/>
    <n v="0"/>
    <n v="2650"/>
    <s v="OK"/>
    <n v="0"/>
  </r>
  <r>
    <n v="15"/>
    <x v="1"/>
    <s v="2017-18"/>
    <s v="MAY-2017"/>
    <s v="ONLINE"/>
    <n v="2650"/>
    <n v="0"/>
    <n v="0"/>
    <n v="0"/>
    <n v="0"/>
    <n v="0"/>
    <n v="0"/>
    <n v="2650"/>
    <s v="OK"/>
    <n v="0"/>
  </r>
  <r>
    <n v="16"/>
    <x v="1"/>
    <s v="2017-18"/>
    <s v="JUN-2017"/>
    <s v="ONLINE"/>
    <n v="2650"/>
    <n v="0"/>
    <n v="0"/>
    <n v="0"/>
    <n v="0"/>
    <n v="0"/>
    <n v="0"/>
    <n v="2650"/>
    <s v="OK"/>
    <n v="0"/>
  </r>
  <r>
    <n v="17"/>
    <x v="1"/>
    <s v="2017-18"/>
    <s v="JUL-2017"/>
    <s v="ONLINE"/>
    <n v="2650"/>
    <n v="0"/>
    <n v="0"/>
    <n v="0"/>
    <n v="0"/>
    <n v="0"/>
    <n v="0"/>
    <n v="2650"/>
    <s v="OK"/>
    <n v="0"/>
  </r>
  <r>
    <n v="18"/>
    <x v="1"/>
    <s v="2017-18"/>
    <s v="AUG-2017"/>
    <s v="ONLINE"/>
    <n v="2650"/>
    <n v="0"/>
    <n v="0"/>
    <n v="0"/>
    <n v="0"/>
    <n v="0"/>
    <n v="0"/>
    <n v="2650"/>
    <s v="OK"/>
    <n v="0"/>
  </r>
  <r>
    <n v="19"/>
    <x v="1"/>
    <s v="2017-18"/>
    <s v="SEP-2017"/>
    <s v="ONLINE"/>
    <n v="2650"/>
    <n v="0"/>
    <n v="0"/>
    <n v="0"/>
    <n v="0"/>
    <n v="0"/>
    <n v="0"/>
    <n v="2650"/>
    <s v="OK"/>
    <n v="0"/>
  </r>
  <r>
    <n v="20"/>
    <x v="1"/>
    <s v="2017-18"/>
    <s v="OCT-2017"/>
    <s v="ONLINE"/>
    <n v="2650"/>
    <n v="0"/>
    <n v="0"/>
    <n v="0"/>
    <n v="0"/>
    <n v="0"/>
    <n v="0"/>
    <n v="2650"/>
    <s v="OK"/>
    <n v="0"/>
  </r>
  <r>
    <n v="21"/>
    <x v="1"/>
    <s v="2017-18"/>
    <s v="NOV-2017"/>
    <s v="ONLINE"/>
    <n v="2650"/>
    <n v="0"/>
    <n v="0"/>
    <n v="0"/>
    <n v="0"/>
    <n v="0"/>
    <n v="0"/>
    <n v="2650"/>
    <s v="OK"/>
    <n v="0"/>
  </r>
  <r>
    <n v="22"/>
    <x v="1"/>
    <s v="2017-18"/>
    <s v="DEC-2017"/>
    <s v="ONLINE"/>
    <n v="2650"/>
    <n v="0"/>
    <n v="0"/>
    <n v="0"/>
    <n v="0"/>
    <n v="0"/>
    <n v="0"/>
    <n v="2650"/>
    <s v="OK"/>
    <n v="0"/>
  </r>
  <r>
    <n v="23"/>
    <x v="1"/>
    <s v="2017-18"/>
    <s v="JAN-2018"/>
    <s v="ONLINE"/>
    <n v="2650"/>
    <n v="0"/>
    <n v="0"/>
    <n v="0"/>
    <n v="0"/>
    <n v="0"/>
    <n v="0"/>
    <n v="2650"/>
    <s v="OK"/>
    <n v="0"/>
  </r>
  <r>
    <n v="24"/>
    <x v="1"/>
    <s v="2017-18"/>
    <s v="FEB-2018"/>
    <s v="ONLINE"/>
    <n v="2650"/>
    <n v="0"/>
    <n v="0"/>
    <n v="0"/>
    <n v="0"/>
    <n v="0"/>
    <n v="0"/>
    <n v="2650"/>
    <s v="OK"/>
    <n v="0"/>
  </r>
  <r>
    <n v="25"/>
    <x v="2"/>
    <s v="2017-18"/>
    <s v="MAR-2018"/>
    <s v="ONLINE"/>
    <n v="3000"/>
    <n v="0"/>
    <n v="0"/>
    <n v="0"/>
    <n v="0"/>
    <n v="0"/>
    <n v="0"/>
    <n v="3000"/>
    <s v="OK"/>
    <n v="0"/>
  </r>
  <r>
    <n v="26"/>
    <x v="2"/>
    <s v="2018-19"/>
    <s v="APR-2018"/>
    <s v="ONLINE"/>
    <n v="3000"/>
    <n v="0"/>
    <n v="0"/>
    <n v="0"/>
    <n v="0"/>
    <n v="0"/>
    <n v="0"/>
    <n v="3000"/>
    <s v="OK"/>
    <n v="0"/>
  </r>
  <r>
    <n v="27"/>
    <x v="2"/>
    <s v="2018-19"/>
    <s v="MAY-2018"/>
    <s v="ONLINE"/>
    <n v="3000"/>
    <n v="0"/>
    <n v="0"/>
    <n v="0"/>
    <n v="0"/>
    <n v="0"/>
    <n v="0"/>
    <n v="3000"/>
    <s v="OK"/>
    <n v="0"/>
  </r>
  <r>
    <n v="28"/>
    <x v="2"/>
    <s v="2018-19"/>
    <s v="JUN-2018"/>
    <s v="ONLINE"/>
    <n v="3000"/>
    <n v="0"/>
    <n v="0"/>
    <n v="0"/>
    <n v="0"/>
    <n v="0"/>
    <n v="0"/>
    <n v="3000"/>
    <s v="OK"/>
    <n v="0"/>
  </r>
  <r>
    <n v="29"/>
    <x v="2"/>
    <s v="2018-19"/>
    <s v="JUL-2018"/>
    <s v="ONLINE"/>
    <n v="3000"/>
    <n v="0"/>
    <n v="0"/>
    <n v="0"/>
    <n v="0"/>
    <n v="0"/>
    <n v="0"/>
    <n v="3000"/>
    <s v="OK"/>
    <n v="0"/>
  </r>
  <r>
    <n v="30"/>
    <x v="2"/>
    <s v="2018-19"/>
    <s v="AUG-2018"/>
    <s v="ONLINE"/>
    <n v="3000"/>
    <n v="0"/>
    <n v="0"/>
    <n v="0"/>
    <n v="0"/>
    <n v="0"/>
    <n v="0"/>
    <n v="3000"/>
    <s v="OK"/>
    <n v="0"/>
  </r>
  <r>
    <n v="31"/>
    <x v="2"/>
    <s v="2018-19"/>
    <s v="SEP-2018"/>
    <s v="ONLINE"/>
    <n v="3000"/>
    <n v="0"/>
    <n v="0"/>
    <n v="0"/>
    <n v="0"/>
    <n v="0"/>
    <n v="0"/>
    <n v="3000"/>
    <s v="OK"/>
    <n v="0"/>
  </r>
  <r>
    <n v="32"/>
    <x v="2"/>
    <s v="2018-19"/>
    <s v="OCT-2018"/>
    <s v="ONLINE"/>
    <n v="3000"/>
    <n v="0"/>
    <n v="0"/>
    <n v="0"/>
    <n v="0"/>
    <n v="0"/>
    <n v="0"/>
    <n v="3000"/>
    <s v="OK"/>
    <n v="0"/>
  </r>
  <r>
    <n v="33"/>
    <x v="2"/>
    <s v="2018-19"/>
    <s v="NOV-2018"/>
    <s v="ONLINE"/>
    <n v="3000"/>
    <n v="0"/>
    <n v="0"/>
    <n v="0"/>
    <n v="0"/>
    <n v="0"/>
    <n v="0"/>
    <n v="3000"/>
    <s v="OK"/>
    <n v="0"/>
  </r>
  <r>
    <n v="34"/>
    <x v="2"/>
    <s v="2018-19"/>
    <s v="DEC-2018"/>
    <s v="ONLINE"/>
    <n v="3000"/>
    <n v="0"/>
    <n v="0"/>
    <n v="0"/>
    <n v="0"/>
    <n v="0"/>
    <n v="0"/>
    <n v="3000"/>
    <s v="OK"/>
    <n v="0"/>
  </r>
  <r>
    <n v="35"/>
    <x v="2"/>
    <s v="2018-19"/>
    <s v="JAN-2019"/>
    <s v="ONLINE"/>
    <n v="3000"/>
    <n v="0"/>
    <n v="0"/>
    <n v="0"/>
    <n v="0"/>
    <n v="0"/>
    <n v="0"/>
    <n v="3000"/>
    <s v="OK"/>
    <n v="0"/>
  </r>
  <r>
    <n v="36"/>
    <x v="2"/>
    <s v="2018-19"/>
    <s v="FEB-2019"/>
    <s v="ONLINE"/>
    <n v="3000"/>
    <n v="0"/>
    <n v="0"/>
    <n v="0"/>
    <n v="0"/>
    <n v="0"/>
    <n v="0"/>
    <n v="3000"/>
    <s v="OK"/>
    <n v="0"/>
  </r>
  <r>
    <n v="37"/>
    <x v="3"/>
    <s v="2018-19"/>
    <s v="MAR-2019"/>
    <s v="ONLINE"/>
    <n v="3000"/>
    <n v="0"/>
    <n v="0"/>
    <n v="0"/>
    <n v="0"/>
    <n v="0"/>
    <n v="0"/>
    <n v="3000"/>
    <s v="OK"/>
    <n v="0"/>
  </r>
  <r>
    <n v="38"/>
    <x v="3"/>
    <s v="2019-20"/>
    <s v="APR-2019"/>
    <s v="ONLINE"/>
    <n v="3000"/>
    <n v="0"/>
    <n v="0"/>
    <n v="0"/>
    <n v="0"/>
    <n v="0"/>
    <n v="0"/>
    <n v="3000"/>
    <s v="OK"/>
    <n v="0"/>
  </r>
  <r>
    <n v="39"/>
    <x v="3"/>
    <s v="2019-20"/>
    <s v="MAY-2019"/>
    <s v="ONLINE"/>
    <n v="3000"/>
    <n v="0"/>
    <n v="0"/>
    <n v="0"/>
    <n v="0"/>
    <n v="0"/>
    <n v="0"/>
    <n v="3000"/>
    <s v="OK"/>
    <n v="0"/>
  </r>
  <r>
    <n v="40"/>
    <x v="3"/>
    <s v="2019-20"/>
    <s v="JUN-2019"/>
    <s v="ONLINE"/>
    <n v="3000"/>
    <n v="0"/>
    <n v="0"/>
    <n v="0"/>
    <n v="0"/>
    <n v="0"/>
    <n v="0"/>
    <n v="3000"/>
    <s v="OK"/>
    <n v="0"/>
  </r>
  <r>
    <n v="41"/>
    <x v="3"/>
    <s v="2019-20"/>
    <s v="JUL-2019"/>
    <s v="ONLINE"/>
    <n v="3000"/>
    <n v="0"/>
    <n v="0"/>
    <n v="0"/>
    <n v="0"/>
    <n v="0"/>
    <n v="0"/>
    <n v="3000"/>
    <s v="OK"/>
    <n v="0"/>
  </r>
  <r>
    <n v="42"/>
    <x v="3"/>
    <s v="2019-20"/>
    <s v="AUG-2019"/>
    <s v="ONLINE"/>
    <n v="3000"/>
    <n v="0"/>
    <n v="0"/>
    <n v="0"/>
    <n v="0"/>
    <n v="0"/>
    <n v="0"/>
    <n v="3000"/>
    <s v="OK"/>
    <n v="0"/>
  </r>
  <r>
    <n v="43"/>
    <x v="3"/>
    <s v="2019-20"/>
    <s v="SEP-2019"/>
    <s v="ONLINE"/>
    <n v="3000"/>
    <n v="0"/>
    <n v="0"/>
    <n v="0"/>
    <n v="0"/>
    <n v="0"/>
    <n v="0"/>
    <n v="3000"/>
    <s v="OK"/>
    <n v="0"/>
  </r>
  <r>
    <n v="44"/>
    <x v="3"/>
    <s v="2019-20"/>
    <s v="OCT-2019"/>
    <s v="ONLINE"/>
    <n v="3000"/>
    <n v="0"/>
    <n v="0"/>
    <n v="0"/>
    <n v="0"/>
    <n v="0"/>
    <n v="0"/>
    <n v="3000"/>
    <s v="OK"/>
    <n v="0"/>
  </r>
  <r>
    <n v="45"/>
    <x v="3"/>
    <s v="2019-20"/>
    <s v="NOV-2019"/>
    <s v="ONLINE"/>
    <n v="3000"/>
    <n v="0"/>
    <n v="0"/>
    <n v="0"/>
    <n v="0"/>
    <n v="0"/>
    <n v="0"/>
    <n v="3000"/>
    <s v="OK"/>
    <n v="0"/>
  </r>
  <r>
    <n v="46"/>
    <x v="3"/>
    <s v="2019-20"/>
    <s v="DEC-2019"/>
    <s v="ONLINE"/>
    <n v="3000"/>
    <n v="0"/>
    <n v="0"/>
    <n v="0"/>
    <n v="0"/>
    <n v="0"/>
    <n v="0"/>
    <n v="3000"/>
    <s v="OK"/>
    <n v="0"/>
  </r>
  <r>
    <n v="47"/>
    <x v="3"/>
    <s v="2019-20"/>
    <s v="JAN-2020"/>
    <s v="ONLINE"/>
    <n v="3000"/>
    <n v="0"/>
    <n v="0"/>
    <n v="0"/>
    <n v="0"/>
    <n v="0"/>
    <n v="0"/>
    <n v="3000"/>
    <s v="OK"/>
    <n v="0"/>
  </r>
  <r>
    <n v="48"/>
    <x v="3"/>
    <s v="2019-20"/>
    <s v="FEB-2020"/>
    <s v="ONLINE"/>
    <n v="3000"/>
    <n v="0"/>
    <n v="0"/>
    <n v="0"/>
    <n v="0"/>
    <n v="0"/>
    <n v="0"/>
    <n v="3000"/>
    <s v="OK"/>
    <n v="0"/>
  </r>
  <r>
    <n v="49"/>
    <x v="4"/>
    <s v="2020-21"/>
    <s v="APR-2020"/>
    <s v="ONLINE"/>
    <n v="5000"/>
    <n v="0"/>
    <n v="0"/>
    <n v="0"/>
    <n v="0"/>
    <n v="0"/>
    <n v="0"/>
    <n v="5000"/>
    <s v="OK"/>
    <n v="0"/>
  </r>
  <r>
    <n v="50"/>
    <x v="4"/>
    <s v="2020-21"/>
    <s v="MAY-2020"/>
    <s v="ONLINE"/>
    <n v="5000"/>
    <n v="0"/>
    <n v="0"/>
    <n v="0"/>
    <n v="0"/>
    <n v="5000"/>
    <n v="0"/>
    <n v="5000"/>
    <s v="OK"/>
    <n v="0"/>
  </r>
  <r>
    <n v="51"/>
    <x v="4"/>
    <s v="2020-21"/>
    <s v="JUN-2020"/>
    <s v="ONLINE"/>
    <n v="5000"/>
    <n v="0"/>
    <n v="0"/>
    <n v="0"/>
    <n v="0"/>
    <n v="0"/>
    <n v="0"/>
    <n v="5000"/>
    <s v="OK"/>
    <n v="0"/>
  </r>
  <r>
    <n v="52"/>
    <x v="4"/>
    <s v="2020-21"/>
    <s v="JUL-2020"/>
    <s v="ONLINE"/>
    <n v="5000"/>
    <n v="0"/>
    <n v="0"/>
    <n v="0"/>
    <n v="0"/>
    <n v="0"/>
    <n v="0"/>
    <n v="5000"/>
    <s v="OK"/>
    <n v="0"/>
  </r>
  <r>
    <n v="53"/>
    <x v="4"/>
    <s v="2020-21"/>
    <s v="AUG-2020"/>
    <s v="ONLINE"/>
    <n v="5000"/>
    <n v="0"/>
    <n v="0"/>
    <n v="0"/>
    <n v="0"/>
    <n v="0"/>
    <n v="0"/>
    <n v="5000"/>
    <s v="OK"/>
    <n v="0"/>
  </r>
  <r>
    <n v="54"/>
    <x v="4"/>
    <s v="2020-21"/>
    <s v="SEP-2020"/>
    <s v="ONLINE"/>
    <n v="5000"/>
    <n v="0"/>
    <n v="0"/>
    <n v="0"/>
    <n v="0"/>
    <n v="0"/>
    <n v="0"/>
    <n v="5000"/>
    <s v="OK"/>
    <n v="0"/>
  </r>
  <r>
    <n v="55"/>
    <x v="4"/>
    <s v="2020-21"/>
    <s v="OCT-2020"/>
    <s v="ONLINE"/>
    <n v="5000"/>
    <n v="0"/>
    <n v="0"/>
    <n v="0"/>
    <n v="0"/>
    <n v="0"/>
    <n v="0"/>
    <n v="5000"/>
    <s v="OK"/>
    <n v="0"/>
  </r>
  <r>
    <n v="56"/>
    <x v="4"/>
    <s v="2020-21"/>
    <s v="NOV-2020"/>
    <s v="ONLINE"/>
    <n v="5000"/>
    <n v="0"/>
    <n v="0"/>
    <n v="0"/>
    <n v="0"/>
    <n v="0"/>
    <n v="0"/>
    <n v="5000"/>
    <s v="OK"/>
    <n v="0"/>
  </r>
  <r>
    <n v="57"/>
    <x v="4"/>
    <s v="2020-21"/>
    <s v="DEC-2020"/>
    <s v="ONLINE"/>
    <n v="5000"/>
    <n v="0"/>
    <n v="0"/>
    <n v="0"/>
    <n v="0"/>
    <n v="0"/>
    <n v="0"/>
    <n v="5000"/>
    <s v="OK"/>
    <n v="0"/>
  </r>
  <r>
    <n v="58"/>
    <x v="4"/>
    <s v="2020-21"/>
    <s v="JAN-2021"/>
    <s v="ONLINE"/>
    <n v="5000"/>
    <n v="0"/>
    <n v="0"/>
    <n v="0"/>
    <n v="0"/>
    <n v="0"/>
    <n v="0"/>
    <n v="5000"/>
    <s v="OK"/>
    <n v="0"/>
  </r>
  <r>
    <n v="59"/>
    <x v="4"/>
    <s v="2020-21"/>
    <s v="FEB-2021"/>
    <s v="ONLINE"/>
    <n v="5000"/>
    <n v="0"/>
    <n v="0"/>
    <n v="0"/>
    <n v="0"/>
    <n v="0"/>
    <n v="0"/>
    <n v="5000"/>
    <s v="OK"/>
    <n v="0"/>
  </r>
  <r>
    <n v="60"/>
    <x v="5"/>
    <s v="2020-21"/>
    <s v="MAR-2021"/>
    <s v="ONLINE"/>
    <n v="5000"/>
    <n v="0"/>
    <n v="0"/>
    <n v="0"/>
    <n v="0"/>
    <n v="0"/>
    <n v="0"/>
    <n v="5000"/>
    <s v="OK"/>
    <n v="0"/>
  </r>
  <r>
    <n v="61"/>
    <x v="5"/>
    <s v="2021-22"/>
    <s v="APR-2021"/>
    <s v="ONLINE"/>
    <n v="5000"/>
    <n v="0"/>
    <n v="0"/>
    <n v="0"/>
    <n v="0"/>
    <n v="0"/>
    <n v="0"/>
    <n v="5000"/>
    <s v="OK"/>
    <n v="0"/>
  </r>
  <r>
    <n v="62"/>
    <x v="5"/>
    <s v="2021-22"/>
    <s v="MAY-2021"/>
    <s v="ONLINE"/>
    <n v="5000"/>
    <s v="0"/>
    <s v="0"/>
    <s v="0"/>
    <s v="0"/>
    <s v="0"/>
    <s v="0"/>
    <n v="5000"/>
    <s v="OK"/>
    <n v="0"/>
  </r>
  <r>
    <n v="63"/>
    <x v="5"/>
    <s v="2021-22"/>
    <s v="JUN-2021"/>
    <s v="ONLINE"/>
    <n v="5000"/>
    <s v="0"/>
    <s v="0"/>
    <s v="0"/>
    <s v="0"/>
    <s v="0"/>
    <s v="0"/>
    <n v="5000"/>
    <s v="OK"/>
    <n v="0"/>
  </r>
  <r>
    <n v="64"/>
    <x v="5"/>
    <s v="2021-22"/>
    <s v="JUL-2021"/>
    <s v="ONLINE"/>
    <n v="5000"/>
    <s v="0"/>
    <s v="0"/>
    <s v="0"/>
    <s v="0"/>
    <s v="0"/>
    <s v="0"/>
    <n v="5000"/>
    <s v="OK"/>
    <n v="0"/>
  </r>
  <r>
    <n v="65"/>
    <x v="5"/>
    <s v="2021-22"/>
    <s v="AUG-2021"/>
    <s v="ONLINE"/>
    <n v="5000"/>
    <s v="0"/>
    <s v="0"/>
    <s v="0"/>
    <s v="0"/>
    <s v="0"/>
    <s v="0"/>
    <n v="5000"/>
    <s v="OK"/>
    <n v="0"/>
  </r>
  <r>
    <m/>
    <x v="5"/>
    <m/>
    <m/>
    <m/>
    <n v="5000"/>
    <m/>
    <m/>
    <m/>
    <m/>
    <m/>
    <m/>
    <n v="5000"/>
    <s v="sep 2021 pending (not showing on old portal)"/>
    <n v="1"/>
  </r>
  <r>
    <m/>
    <x v="5"/>
    <m/>
    <m/>
    <m/>
    <n v="5000"/>
    <m/>
    <m/>
    <m/>
    <m/>
    <m/>
    <m/>
    <n v="5000"/>
    <s v="oct 2021 pending (not showing on old portal)"/>
    <n v="1"/>
  </r>
  <r>
    <m/>
    <x v="5"/>
    <m/>
    <m/>
    <m/>
    <n v="5000"/>
    <m/>
    <m/>
    <m/>
    <m/>
    <m/>
    <m/>
    <n v="5000"/>
    <s v="nov 2021 pending (not showing on old portal)"/>
    <n v="1"/>
  </r>
  <r>
    <m/>
    <x v="5"/>
    <m/>
    <m/>
    <m/>
    <n v="5000"/>
    <m/>
    <m/>
    <m/>
    <m/>
    <m/>
    <m/>
    <n v="5000"/>
    <s v="dec 2021 pending (not showing on old portal)"/>
    <n v="1"/>
  </r>
  <r>
    <m/>
    <x v="5"/>
    <m/>
    <m/>
    <m/>
    <n v="5000"/>
    <m/>
    <m/>
    <m/>
    <m/>
    <m/>
    <m/>
    <n v="5000"/>
    <s v="jan 2022 pending (not showing on old portal)"/>
    <n v="1"/>
  </r>
  <r>
    <m/>
    <x v="5"/>
    <m/>
    <m/>
    <m/>
    <n v="5000"/>
    <m/>
    <m/>
    <m/>
    <m/>
    <m/>
    <m/>
    <n v="5000"/>
    <s v="FEB 2022 pending (not showing on old portal)"/>
    <n v="1"/>
  </r>
  <r>
    <m/>
    <x v="6"/>
    <m/>
    <m/>
    <m/>
    <n v="5000"/>
    <m/>
    <m/>
    <m/>
    <m/>
    <m/>
    <m/>
    <n v="5000"/>
    <s v="MAR 2022 pending (not showing on old portal)"/>
    <n v="1"/>
  </r>
  <r>
    <m/>
    <x v="6"/>
    <m/>
    <m/>
    <m/>
    <n v="5000"/>
    <m/>
    <m/>
    <m/>
    <m/>
    <m/>
    <m/>
    <n v="5000"/>
    <s v="APR 2022 pending (not showing on old portal)"/>
    <n v="1"/>
  </r>
  <r>
    <m/>
    <x v="6"/>
    <m/>
    <m/>
    <m/>
    <n v="5000"/>
    <m/>
    <m/>
    <m/>
    <m/>
    <m/>
    <m/>
    <n v="5000"/>
    <s v="MAY 2022 pending (not showing on old portal)"/>
    <n v="1"/>
  </r>
  <r>
    <n v="8"/>
    <x v="0"/>
    <s v="2016-17"/>
    <s v="OCT-2016"/>
    <s v="ONLINE"/>
    <n v="-1100"/>
    <n v="0"/>
    <n v="0"/>
    <n v="0"/>
    <n v="0"/>
    <n v="0"/>
    <n v="0"/>
    <n v="-1100"/>
    <s v="isko htana hai jb oct 2016 me entry 1100 ho jaye"/>
    <n v="1"/>
  </r>
  <r>
    <m/>
    <x v="6"/>
    <m/>
    <m/>
    <m/>
    <n v="5000"/>
    <m/>
    <m/>
    <m/>
    <m/>
    <m/>
    <m/>
    <n v="5000"/>
    <s v="Jun 2022 pending (not showing on old portal)"/>
    <n v="1"/>
  </r>
  <r>
    <m/>
    <x v="6"/>
    <m/>
    <m/>
    <m/>
    <n v="5000"/>
    <m/>
    <m/>
    <m/>
    <m/>
    <m/>
    <m/>
    <n v="5000"/>
    <s v="jul 2022 pending (not showing on old portal)"/>
    <n v="1"/>
  </r>
  <r>
    <m/>
    <x v="6"/>
    <m/>
    <m/>
    <m/>
    <n v="5000"/>
    <m/>
    <m/>
    <m/>
    <m/>
    <m/>
    <m/>
    <n v="5000"/>
    <s v="aug 2022 pending (not showing on old portal)"/>
    <n v="1"/>
  </r>
  <r>
    <m/>
    <x v="6"/>
    <m/>
    <m/>
    <m/>
    <n v="5000"/>
    <m/>
    <m/>
    <m/>
    <m/>
    <m/>
    <m/>
    <n v="5000"/>
    <s v="sep 2022 pending (not showing on old portal)"/>
    <n v="1"/>
  </r>
  <r>
    <m/>
    <x v="6"/>
    <m/>
    <m/>
    <m/>
    <n v="5000"/>
    <m/>
    <m/>
    <m/>
    <m/>
    <m/>
    <m/>
    <n v="5000"/>
    <s v="oct 2022 pending (not showing on old portal)"/>
    <n v="1"/>
  </r>
  <r>
    <m/>
    <x v="6"/>
    <m/>
    <m/>
    <m/>
    <n v="5000"/>
    <m/>
    <m/>
    <m/>
    <m/>
    <m/>
    <m/>
    <n v="5000"/>
    <s v="nov 2022 pending (not showing on old portal)"/>
    <n v="1"/>
  </r>
  <r>
    <m/>
    <x v="6"/>
    <m/>
    <m/>
    <m/>
    <n v="5000"/>
    <m/>
    <m/>
    <m/>
    <m/>
    <m/>
    <m/>
    <n v="5000"/>
    <s v="dec 2022 pending (not showing on old portal)"/>
    <n v="1"/>
  </r>
  <r>
    <m/>
    <x v="6"/>
    <m/>
    <m/>
    <m/>
    <n v="5000"/>
    <m/>
    <m/>
    <m/>
    <m/>
    <m/>
    <m/>
    <n v="5000"/>
    <s v="jan 2023 pending (not showing on old portal)"/>
    <n v="1"/>
  </r>
  <r>
    <m/>
    <x v="6"/>
    <m/>
    <m/>
    <m/>
    <n v="5000"/>
    <m/>
    <m/>
    <m/>
    <m/>
    <m/>
    <m/>
    <n v="5000"/>
    <s v="feb 2023 pending (not showing on old portal)"/>
    <n v="1"/>
  </r>
  <r>
    <m/>
    <x v="7"/>
    <m/>
    <m/>
    <m/>
    <n v="5000"/>
    <m/>
    <m/>
    <m/>
    <m/>
    <m/>
    <m/>
    <n v="5000"/>
    <s v="mar 2023 pending (not showing on old portal)"/>
    <n v="1"/>
  </r>
  <r>
    <m/>
    <x v="7"/>
    <m/>
    <m/>
    <m/>
    <n v="5000"/>
    <m/>
    <m/>
    <m/>
    <m/>
    <m/>
    <m/>
    <n v="5000"/>
    <s v="apr 2023 pending (not showing on old portal)"/>
    <n v="1"/>
  </r>
  <r>
    <m/>
    <x v="7"/>
    <m/>
    <m/>
    <m/>
    <n v="5000"/>
    <m/>
    <m/>
    <m/>
    <m/>
    <m/>
    <m/>
    <n v="5000"/>
    <s v="may 2023 pending (not showing on old portal)"/>
    <n v="1"/>
  </r>
  <r>
    <m/>
    <x v="7"/>
    <m/>
    <m/>
    <m/>
    <n v="5000"/>
    <m/>
    <m/>
    <m/>
    <m/>
    <m/>
    <m/>
    <n v="5000"/>
    <s v="jun 2023 pending (not showing on old portal)"/>
    <n v="1"/>
  </r>
  <r>
    <m/>
    <x v="7"/>
    <m/>
    <m/>
    <m/>
    <n v="5000"/>
    <m/>
    <m/>
    <m/>
    <m/>
    <m/>
    <m/>
    <n v="5000"/>
    <s v="jul 2023 pending (not showing on old portal)"/>
    <n v="1"/>
  </r>
  <r>
    <m/>
    <x v="7"/>
    <m/>
    <m/>
    <m/>
    <n v="5000"/>
    <m/>
    <m/>
    <m/>
    <m/>
    <m/>
    <m/>
    <n v="5000"/>
    <s v="aug 2023 pending (not showing on old portal)"/>
    <n v="1"/>
  </r>
  <r>
    <m/>
    <x v="7"/>
    <m/>
    <m/>
    <m/>
    <n v="5000"/>
    <m/>
    <m/>
    <m/>
    <m/>
    <m/>
    <m/>
    <n v="5000"/>
    <s v="sep 2023 pending (not showing on old portal)"/>
    <n v="1"/>
  </r>
  <r>
    <m/>
    <x v="7"/>
    <m/>
    <m/>
    <m/>
    <n v="5000"/>
    <m/>
    <m/>
    <m/>
    <m/>
    <m/>
    <m/>
    <n v="5000"/>
    <s v="oct 2023 pending (not showing on old portal)"/>
    <n v="1"/>
  </r>
  <r>
    <m/>
    <x v="7"/>
    <m/>
    <m/>
    <m/>
    <n v="5000"/>
    <m/>
    <m/>
    <m/>
    <m/>
    <m/>
    <m/>
    <n v="5000"/>
    <s v="nov 2023 pending (not showing on old portal)"/>
    <n v="1"/>
  </r>
  <r>
    <m/>
    <x v="7"/>
    <m/>
    <m/>
    <m/>
    <n v="5000"/>
    <m/>
    <m/>
    <m/>
    <m/>
    <m/>
    <m/>
    <n v="5000"/>
    <s v="dec 2023 pending (not showing on old portal)"/>
    <n v="1"/>
  </r>
  <r>
    <m/>
    <x v="7"/>
    <m/>
    <m/>
    <m/>
    <n v="5000"/>
    <m/>
    <m/>
    <m/>
    <m/>
    <m/>
    <m/>
    <n v="5000"/>
    <s v="jan 2024 pending (not showing on old portal)"/>
    <n v="1"/>
  </r>
  <r>
    <m/>
    <x v="7"/>
    <m/>
    <m/>
    <m/>
    <n v="5000"/>
    <m/>
    <m/>
    <m/>
    <m/>
    <m/>
    <m/>
    <n v="5000"/>
    <s v="feb 2024 pending (not showing on old portal)"/>
    <n v="1"/>
  </r>
  <r>
    <m/>
    <x v="8"/>
    <m/>
    <m/>
    <m/>
    <n v="5000"/>
    <m/>
    <m/>
    <m/>
    <m/>
    <m/>
    <m/>
    <n v="5000"/>
    <s v="mar 2024 pending (not showing on old portal)"/>
    <n v="1"/>
  </r>
  <r>
    <m/>
    <x v="8"/>
    <m/>
    <m/>
    <m/>
    <n v="5000"/>
    <m/>
    <m/>
    <m/>
    <m/>
    <m/>
    <m/>
    <n v="5000"/>
    <s v="apr 2024 pending (not showing on old portal)"/>
    <n v="1"/>
  </r>
  <r>
    <m/>
    <x v="8"/>
    <m/>
    <m/>
    <m/>
    <n v="5000"/>
    <m/>
    <m/>
    <m/>
    <m/>
    <m/>
    <m/>
    <n v="5000"/>
    <s v="may 2024 pending (not showing on old portal)"/>
    <n v="1"/>
  </r>
  <r>
    <m/>
    <x v="8"/>
    <m/>
    <m/>
    <m/>
    <n v="5000"/>
    <m/>
    <m/>
    <m/>
    <m/>
    <m/>
    <m/>
    <n v="5000"/>
    <s v="pending (not showing on old portal)"/>
    <n v="1"/>
  </r>
  <r>
    <m/>
    <x v="8"/>
    <m/>
    <m/>
    <m/>
    <n v="5000"/>
    <m/>
    <m/>
    <m/>
    <m/>
    <m/>
    <m/>
    <n v="5000"/>
    <s v="pending (not showing on old portal)"/>
    <n v="1"/>
  </r>
  <r>
    <m/>
    <x v="8"/>
    <m/>
    <m/>
    <m/>
    <n v="5000"/>
    <m/>
    <m/>
    <m/>
    <m/>
    <m/>
    <m/>
    <n v="5000"/>
    <s v="pending (not showing on old portal)"/>
    <n v="1"/>
  </r>
  <r>
    <m/>
    <x v="8"/>
    <m/>
    <m/>
    <m/>
    <n v="5000"/>
    <m/>
    <m/>
    <m/>
    <m/>
    <m/>
    <m/>
    <n v="5000"/>
    <s v="pending (not showing on old portal)"/>
    <n v="1"/>
  </r>
  <r>
    <m/>
    <x v="8"/>
    <m/>
    <m/>
    <m/>
    <n v="5000"/>
    <m/>
    <m/>
    <m/>
    <m/>
    <m/>
    <m/>
    <n v="5000"/>
    <s v="pending (not showing on old portal)"/>
    <n v="1"/>
  </r>
  <r>
    <m/>
    <x v="8"/>
    <m/>
    <m/>
    <m/>
    <n v="5000"/>
    <m/>
    <m/>
    <m/>
    <m/>
    <m/>
    <m/>
    <n v="5000"/>
    <s v="pending (not showing on old portal)"/>
    <n v="1"/>
  </r>
  <r>
    <m/>
    <x v="8"/>
    <m/>
    <m/>
    <m/>
    <n v="5000"/>
    <m/>
    <m/>
    <m/>
    <m/>
    <m/>
    <m/>
    <n v="5000"/>
    <s v="pending (not showing on old portal)"/>
    <n v="1"/>
  </r>
  <r>
    <m/>
    <x v="8"/>
    <m/>
    <m/>
    <m/>
    <n v="5000"/>
    <m/>
    <m/>
    <m/>
    <m/>
    <m/>
    <m/>
    <n v="5000"/>
    <s v="pending (not showing on old portal)"/>
    <n v="1"/>
  </r>
  <r>
    <m/>
    <x v="8"/>
    <m/>
    <m/>
    <m/>
    <n v="5000"/>
    <m/>
    <m/>
    <m/>
    <m/>
    <m/>
    <m/>
    <n v="5000"/>
    <s v="pending (not showing on old portal)"/>
    <n v="1"/>
  </r>
  <r>
    <m/>
    <x v="9"/>
    <m/>
    <m/>
    <m/>
    <n v="5000"/>
    <m/>
    <m/>
    <m/>
    <m/>
    <m/>
    <m/>
    <n v="5000"/>
    <s v="pending (not showing on old portal)"/>
    <n v="1"/>
  </r>
  <r>
    <m/>
    <x v="9"/>
    <m/>
    <m/>
    <m/>
    <n v="5000"/>
    <m/>
    <m/>
    <m/>
    <m/>
    <m/>
    <m/>
    <n v="5000"/>
    <s v="pending (not showing on old portal)"/>
    <n v="1"/>
  </r>
  <r>
    <m/>
    <x v="9"/>
    <m/>
    <m/>
    <m/>
    <n v="5000"/>
    <m/>
    <m/>
    <m/>
    <m/>
    <m/>
    <m/>
    <n v="5000"/>
    <s v="pending (not showing on old portal)"/>
    <n v="1"/>
  </r>
  <r>
    <m/>
    <x v="9"/>
    <m/>
    <m/>
    <m/>
    <n v="5000"/>
    <m/>
    <m/>
    <n v="7242"/>
    <m/>
    <m/>
    <m/>
    <n v="12242"/>
    <s v="pending (not showing on old portal)"/>
    <n v="1"/>
  </r>
  <r>
    <m/>
    <x v="9"/>
    <m/>
    <m/>
    <m/>
    <n v="5000"/>
    <m/>
    <m/>
    <n v="7242"/>
    <m/>
    <m/>
    <m/>
    <n v="12242"/>
    <s v="pending (not showing on old portal)"/>
    <n v="1"/>
  </r>
  <r>
    <m/>
    <x v="9"/>
    <m/>
    <m/>
    <m/>
    <n v="5000"/>
    <m/>
    <m/>
    <n v="7242"/>
    <m/>
    <m/>
    <m/>
    <n v="12242"/>
    <s v="pending (not showing on old portal)"/>
    <n v="1"/>
  </r>
  <r>
    <m/>
    <x v="9"/>
    <m/>
    <m/>
    <m/>
    <n v="5000"/>
    <m/>
    <m/>
    <n v="7242"/>
    <m/>
    <m/>
    <m/>
    <n v="12242"/>
    <s v="pending (not showing on old portal)"/>
    <n v="1"/>
  </r>
  <r>
    <m/>
    <x v="9"/>
    <m/>
    <m/>
    <m/>
    <n v="5000"/>
    <m/>
    <m/>
    <n v="7242"/>
    <m/>
    <m/>
    <m/>
    <n v="12242"/>
    <s v="pending (not showing on old portal)"/>
    <n v="1"/>
  </r>
  <r>
    <m/>
    <x v="9"/>
    <m/>
    <m/>
    <m/>
    <n v="5000"/>
    <m/>
    <m/>
    <n v="7242"/>
    <m/>
    <m/>
    <m/>
    <n v="12242"/>
    <s v="pending (not showing on old portal)"/>
    <n v="1"/>
  </r>
  <r>
    <m/>
    <x v="9"/>
    <m/>
    <m/>
    <m/>
    <n v="5000"/>
    <m/>
    <m/>
    <n v="7242"/>
    <m/>
    <m/>
    <m/>
    <n v="12242"/>
    <s v="pending (not showing on old portal)"/>
    <n v="1"/>
  </r>
  <r>
    <m/>
    <x v="9"/>
    <m/>
    <m/>
    <m/>
    <n v="5000"/>
    <m/>
    <m/>
    <n v="7242"/>
    <m/>
    <m/>
    <m/>
    <n v="12242"/>
    <s v="pending (not showing on old portal)"/>
    <n v="1"/>
  </r>
  <r>
    <m/>
    <x v="9"/>
    <m/>
    <m/>
    <m/>
    <n v="5000"/>
    <m/>
    <m/>
    <n v="7242"/>
    <m/>
    <m/>
    <m/>
    <n v="12242"/>
    <s v="pending (not showing on old portal)"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n v="1"/>
    <n v="91"/>
    <d v="2014-03-13T00:00:00"/>
    <n v="48188"/>
    <x v="0"/>
    <x v="0"/>
    <x v="0"/>
    <n v="2088"/>
    <m/>
    <m/>
    <m/>
    <m/>
    <m/>
    <m/>
    <m/>
    <n v="2088"/>
    <m/>
    <m/>
    <m/>
    <m/>
    <m/>
    <m/>
    <m/>
    <m/>
    <m/>
    <m/>
    <n v="0"/>
    <n v="2088"/>
    <m/>
  </r>
  <r>
    <n v="2"/>
    <n v="92"/>
    <d v="2014-03-13T00:00:00"/>
    <n v="48189"/>
    <x v="0"/>
    <x v="0"/>
    <x v="1"/>
    <n v="8950"/>
    <m/>
    <m/>
    <m/>
    <m/>
    <m/>
    <m/>
    <m/>
    <n v="8950"/>
    <m/>
    <m/>
    <m/>
    <m/>
    <m/>
    <m/>
    <m/>
    <m/>
    <m/>
    <m/>
    <n v="0"/>
    <n v="8950"/>
    <m/>
  </r>
  <r>
    <n v="3"/>
    <n v="93"/>
    <d v="2014-03-13T00:00:00"/>
    <n v="48190"/>
    <x v="0"/>
    <x v="0"/>
    <x v="2"/>
    <n v="8950"/>
    <m/>
    <m/>
    <m/>
    <m/>
    <m/>
    <m/>
    <m/>
    <n v="8950"/>
    <m/>
    <m/>
    <m/>
    <m/>
    <m/>
    <m/>
    <m/>
    <m/>
    <m/>
    <m/>
    <n v="0"/>
    <n v="8950"/>
    <m/>
  </r>
  <r>
    <n v="4"/>
    <n v="94"/>
    <d v="2014-03-13T00:00:00"/>
    <n v="48191"/>
    <x v="0"/>
    <x v="0"/>
    <x v="3"/>
    <n v="8950"/>
    <m/>
    <m/>
    <m/>
    <m/>
    <m/>
    <m/>
    <m/>
    <n v="8950"/>
    <m/>
    <m/>
    <m/>
    <m/>
    <m/>
    <m/>
    <m/>
    <m/>
    <m/>
    <m/>
    <n v="0"/>
    <n v="8950"/>
    <m/>
  </r>
  <r>
    <n v="5"/>
    <n v="95"/>
    <d v="2014-03-13T00:00:00"/>
    <n v="48174"/>
    <x v="0"/>
    <x v="0"/>
    <x v="4"/>
    <n v="8950"/>
    <m/>
    <m/>
    <m/>
    <m/>
    <m/>
    <m/>
    <m/>
    <n v="8950"/>
    <m/>
    <m/>
    <m/>
    <m/>
    <m/>
    <m/>
    <m/>
    <m/>
    <m/>
    <m/>
    <n v="0"/>
    <n v="8950"/>
    <m/>
  </r>
  <r>
    <n v="6"/>
    <n v="96"/>
    <d v="2014-03-13T00:00:00"/>
    <n v="48175"/>
    <x v="0"/>
    <x v="0"/>
    <x v="5"/>
    <n v="8950"/>
    <m/>
    <m/>
    <m/>
    <m/>
    <m/>
    <m/>
    <m/>
    <n v="8950"/>
    <m/>
    <m/>
    <m/>
    <m/>
    <m/>
    <m/>
    <m/>
    <m/>
    <m/>
    <m/>
    <n v="0"/>
    <n v="8950"/>
    <m/>
  </r>
  <r>
    <n v="7"/>
    <n v="2"/>
    <d v="2014-04-03T00:00:00"/>
    <n v="268"/>
    <x v="1"/>
    <x v="1"/>
    <x v="6"/>
    <n v="8950"/>
    <m/>
    <m/>
    <m/>
    <m/>
    <m/>
    <m/>
    <m/>
    <n v="8950"/>
    <m/>
    <m/>
    <m/>
    <m/>
    <m/>
    <m/>
    <m/>
    <m/>
    <m/>
    <m/>
    <n v="0"/>
    <n v="8950"/>
    <m/>
  </r>
  <r>
    <n v="8"/>
    <n v="5"/>
    <d v="2014-04-28T00:00:00"/>
    <n v="3591"/>
    <x v="2"/>
    <x v="1"/>
    <x v="7"/>
    <n v="8950"/>
    <m/>
    <m/>
    <m/>
    <m/>
    <m/>
    <m/>
    <m/>
    <n v="8950"/>
    <m/>
    <m/>
    <m/>
    <n v="220"/>
    <n v="27.19"/>
    <m/>
    <m/>
    <m/>
    <m/>
    <m/>
    <n v="247.19"/>
    <n v="8702.81"/>
    <m/>
  </r>
  <r>
    <n v="9"/>
    <n v="11"/>
    <d v="2014-05-08T00:00:00"/>
    <n v="11212"/>
    <x v="3"/>
    <x v="1"/>
    <x v="8"/>
    <n v="8950"/>
    <m/>
    <m/>
    <m/>
    <m/>
    <m/>
    <m/>
    <m/>
    <n v="8950"/>
    <m/>
    <m/>
    <m/>
    <m/>
    <m/>
    <m/>
    <m/>
    <m/>
    <m/>
    <m/>
    <n v="0"/>
    <n v="8950"/>
    <m/>
  </r>
  <r>
    <n v="10"/>
    <n v="13"/>
    <d v="2014-06-30T00:00:00"/>
    <n v="17812"/>
    <x v="4"/>
    <x v="1"/>
    <x v="9"/>
    <n v="8950"/>
    <m/>
    <m/>
    <m/>
    <m/>
    <m/>
    <m/>
    <m/>
    <n v="8950"/>
    <m/>
    <m/>
    <m/>
    <m/>
    <m/>
    <m/>
    <m/>
    <m/>
    <m/>
    <m/>
    <n v="0"/>
    <n v="8950"/>
    <m/>
  </r>
  <r>
    <n v="11"/>
    <n v="16"/>
    <d v="2014-07-28T00:00:00"/>
    <n v="14902"/>
    <x v="5"/>
    <x v="1"/>
    <x v="10"/>
    <n v="8950"/>
    <m/>
    <m/>
    <m/>
    <m/>
    <m/>
    <m/>
    <m/>
    <n v="8950"/>
    <m/>
    <m/>
    <m/>
    <m/>
    <m/>
    <m/>
    <m/>
    <m/>
    <m/>
    <m/>
    <n v="0"/>
    <n v="8950"/>
    <m/>
  </r>
  <r>
    <n v="12"/>
    <n v="19"/>
    <d v="2014-08-26T00:00:00"/>
    <n v="19307"/>
    <x v="6"/>
    <x v="1"/>
    <x v="11"/>
    <n v="8950"/>
    <m/>
    <m/>
    <m/>
    <m/>
    <m/>
    <m/>
    <m/>
    <n v="8950"/>
    <m/>
    <m/>
    <m/>
    <m/>
    <m/>
    <m/>
    <m/>
    <m/>
    <m/>
    <m/>
    <n v="0"/>
    <n v="8950"/>
    <m/>
  </r>
  <r>
    <n v="13"/>
    <n v="25"/>
    <d v="2014-09-30T00:00:00"/>
    <n v="25673"/>
    <x v="7"/>
    <x v="1"/>
    <x v="12"/>
    <n v="8950"/>
    <m/>
    <m/>
    <m/>
    <m/>
    <m/>
    <m/>
    <m/>
    <n v="8950"/>
    <m/>
    <m/>
    <m/>
    <m/>
    <m/>
    <n v="269"/>
    <m/>
    <m/>
    <m/>
    <m/>
    <n v="269"/>
    <n v="8681"/>
    <m/>
  </r>
  <r>
    <n v="14"/>
    <n v="34"/>
    <d v="2014-10-29T00:00:00"/>
    <n v="30648"/>
    <x v="8"/>
    <x v="1"/>
    <x v="13"/>
    <n v="8950"/>
    <m/>
    <m/>
    <m/>
    <m/>
    <m/>
    <m/>
    <m/>
    <n v="8950"/>
    <m/>
    <m/>
    <m/>
    <m/>
    <m/>
    <n v="269"/>
    <m/>
    <m/>
    <m/>
    <m/>
    <n v="269"/>
    <n v="8681"/>
    <m/>
  </r>
  <r>
    <n v="15"/>
    <n v="71"/>
    <d v="2015-02-27T00:00:00"/>
    <n v="43520"/>
    <x v="9"/>
    <x v="1"/>
    <x v="14"/>
    <n v="10740"/>
    <m/>
    <m/>
    <m/>
    <m/>
    <m/>
    <m/>
    <m/>
    <n v="10740"/>
    <m/>
    <m/>
    <m/>
    <m/>
    <m/>
    <m/>
    <m/>
    <m/>
    <m/>
    <m/>
    <n v="0"/>
    <n v="10740"/>
    <m/>
  </r>
  <r>
    <n v="16"/>
    <n v="59"/>
    <d v="2014-12-26T00:00:00"/>
    <n v="36092"/>
    <x v="10"/>
    <x v="1"/>
    <x v="15"/>
    <n v="10740"/>
    <m/>
    <m/>
    <m/>
    <m/>
    <m/>
    <m/>
    <m/>
    <n v="10740"/>
    <m/>
    <m/>
    <m/>
    <m/>
    <m/>
    <m/>
    <m/>
    <m/>
    <m/>
    <m/>
    <n v="0"/>
    <n v="10740"/>
    <m/>
  </r>
  <r>
    <n v="17"/>
    <n v="60"/>
    <d v="2015-01-28T00:00:00"/>
    <n v="38855"/>
    <x v="11"/>
    <x v="1"/>
    <x v="16"/>
    <n v="10740"/>
    <m/>
    <m/>
    <m/>
    <m/>
    <m/>
    <m/>
    <m/>
    <n v="10740"/>
    <m/>
    <m/>
    <m/>
    <m/>
    <m/>
    <m/>
    <m/>
    <m/>
    <m/>
    <m/>
    <n v="0"/>
    <n v="10740"/>
    <m/>
  </r>
  <r>
    <n v="18"/>
    <n v="70"/>
    <d v="2015-02-26T00:00:00"/>
    <n v="42763"/>
    <x v="12"/>
    <x v="1"/>
    <x v="17"/>
    <n v="10740"/>
    <m/>
    <m/>
    <m/>
    <m/>
    <m/>
    <m/>
    <m/>
    <n v="10740"/>
    <m/>
    <m/>
    <m/>
    <m/>
    <m/>
    <m/>
    <m/>
    <m/>
    <m/>
    <m/>
    <n v="0"/>
    <n v="10740"/>
    <m/>
  </r>
  <r>
    <n v="19"/>
    <n v="2"/>
    <d v="2015-04-13T00:00:00"/>
    <n v="2031"/>
    <x v="13"/>
    <x v="2"/>
    <x v="18"/>
    <n v="10740"/>
    <m/>
    <m/>
    <m/>
    <m/>
    <m/>
    <m/>
    <m/>
    <n v="10740"/>
    <m/>
    <m/>
    <m/>
    <m/>
    <m/>
    <m/>
    <m/>
    <m/>
    <m/>
    <m/>
    <n v="0"/>
    <n v="10740"/>
    <m/>
  </r>
  <r>
    <n v="20"/>
    <n v="16"/>
    <d v="2015-04-29T00:00:00"/>
    <n v="4188"/>
    <x v="14"/>
    <x v="2"/>
    <x v="19"/>
    <n v="10740"/>
    <m/>
    <m/>
    <m/>
    <m/>
    <m/>
    <m/>
    <m/>
    <n v="10740"/>
    <m/>
    <m/>
    <m/>
    <n v="220"/>
    <n v="27.19"/>
    <m/>
    <m/>
    <m/>
    <m/>
    <m/>
    <n v="247.19"/>
    <n v="10492.81"/>
    <m/>
  </r>
  <r>
    <n v="21"/>
    <n v="57"/>
    <d v="2015-09-29T00:00:00"/>
    <n v="23777"/>
    <x v="15"/>
    <x v="2"/>
    <x v="20"/>
    <n v="10740"/>
    <m/>
    <m/>
    <m/>
    <m/>
    <m/>
    <m/>
    <m/>
    <n v="10740"/>
    <m/>
    <m/>
    <m/>
    <m/>
    <m/>
    <m/>
    <m/>
    <m/>
    <m/>
    <m/>
    <n v="0"/>
    <n v="10740"/>
    <m/>
  </r>
  <r>
    <n v="22"/>
    <n v="58"/>
    <d v="2015-09-29T00:00:00"/>
    <n v="23776"/>
    <x v="15"/>
    <x v="2"/>
    <x v="21"/>
    <n v="10740"/>
    <m/>
    <m/>
    <m/>
    <m/>
    <m/>
    <m/>
    <m/>
    <n v="10740"/>
    <m/>
    <m/>
    <m/>
    <m/>
    <m/>
    <m/>
    <m/>
    <m/>
    <m/>
    <m/>
    <n v="0"/>
    <n v="10740"/>
    <m/>
  </r>
  <r>
    <n v="23"/>
    <n v="38"/>
    <d v="2015-07-30T00:00:00"/>
    <n v="15532"/>
    <x v="16"/>
    <x v="2"/>
    <x v="22"/>
    <n v="11820"/>
    <m/>
    <m/>
    <m/>
    <m/>
    <m/>
    <m/>
    <m/>
    <n v="11820"/>
    <m/>
    <m/>
    <m/>
    <m/>
    <m/>
    <m/>
    <m/>
    <m/>
    <m/>
    <m/>
    <n v="0"/>
    <n v="11820"/>
    <m/>
  </r>
  <r>
    <n v="24"/>
    <n v="46"/>
    <d v="2015-08-26T00:00:00"/>
    <n v="21641"/>
    <x v="17"/>
    <x v="2"/>
    <x v="23"/>
    <n v="11820"/>
    <m/>
    <m/>
    <m/>
    <m/>
    <m/>
    <m/>
    <m/>
    <n v="11820"/>
    <m/>
    <m/>
    <m/>
    <m/>
    <m/>
    <m/>
    <m/>
    <m/>
    <m/>
    <m/>
    <n v="0"/>
    <n v="11820"/>
    <m/>
  </r>
  <r>
    <n v="25"/>
    <n v="56"/>
    <d v="2015-09-29T00:00:00"/>
    <n v="23778"/>
    <x v="15"/>
    <x v="2"/>
    <x v="24"/>
    <n v="11820"/>
    <m/>
    <m/>
    <m/>
    <m/>
    <m/>
    <m/>
    <m/>
    <n v="11820"/>
    <m/>
    <m/>
    <m/>
    <m/>
    <m/>
    <m/>
    <m/>
    <m/>
    <m/>
    <m/>
    <n v="0"/>
    <n v="11820"/>
    <m/>
  </r>
  <r>
    <n v="26"/>
    <n v="64"/>
    <d v="2015-10-28T00:00:00"/>
    <n v="42265"/>
    <x v="18"/>
    <x v="2"/>
    <x v="25"/>
    <n v="11820"/>
    <m/>
    <m/>
    <m/>
    <m/>
    <m/>
    <m/>
    <m/>
    <n v="11820"/>
    <m/>
    <m/>
    <m/>
    <m/>
    <m/>
    <m/>
    <m/>
    <m/>
    <m/>
    <m/>
    <n v="0"/>
    <n v="11820"/>
    <s v="SI, gpf etc sheet me entry check kren"/>
  </r>
  <r>
    <n v="27"/>
    <n v="76"/>
    <d v="2015-11-28T00:00:00"/>
    <n v="36395"/>
    <x v="19"/>
    <x v="2"/>
    <x v="26"/>
    <n v="11820"/>
    <m/>
    <m/>
    <m/>
    <m/>
    <m/>
    <m/>
    <m/>
    <n v="11820"/>
    <m/>
    <m/>
    <m/>
    <m/>
    <m/>
    <m/>
    <m/>
    <m/>
    <m/>
    <m/>
    <n v="0"/>
    <n v="11820"/>
    <m/>
  </r>
  <r>
    <n v="28"/>
    <n v="96"/>
    <d v="2015-01-05T00:00:00"/>
    <n v="49219"/>
    <x v="20"/>
    <x v="2"/>
    <x v="27"/>
    <n v="11170"/>
    <n v="13292"/>
    <n v="1117"/>
    <m/>
    <m/>
    <m/>
    <m/>
    <m/>
    <n v="25579"/>
    <m/>
    <m/>
    <n v="2446"/>
    <m/>
    <m/>
    <m/>
    <m/>
    <m/>
    <m/>
    <m/>
    <n v="2446"/>
    <n v="23133"/>
    <m/>
  </r>
  <r>
    <n v="29"/>
    <n v="115"/>
    <d v="2016-01-25T00:00:00"/>
    <n v="43674"/>
    <x v="21"/>
    <x v="2"/>
    <x v="28"/>
    <n v="11170"/>
    <n v="13292"/>
    <n v="1117"/>
    <m/>
    <m/>
    <m/>
    <m/>
    <m/>
    <n v="25579"/>
    <m/>
    <m/>
    <n v="2446"/>
    <m/>
    <m/>
    <m/>
    <m/>
    <m/>
    <m/>
    <m/>
    <n v="2446"/>
    <n v="23133"/>
    <m/>
  </r>
  <r>
    <n v="30"/>
    <n v="131"/>
    <d v="2016-02-01T00:00:00"/>
    <n v="48941"/>
    <x v="22"/>
    <x v="2"/>
    <x v="29"/>
    <n v="11170"/>
    <n v="13292"/>
    <n v="1117"/>
    <m/>
    <m/>
    <m/>
    <m/>
    <m/>
    <n v="25579"/>
    <m/>
    <m/>
    <n v="2446"/>
    <m/>
    <m/>
    <m/>
    <m/>
    <m/>
    <m/>
    <m/>
    <n v="2446"/>
    <n v="23133"/>
    <m/>
  </r>
  <r>
    <n v="31"/>
    <n v="61"/>
    <d v="2015-10-14T00:00:00"/>
    <n v="26313"/>
    <x v="23"/>
    <x v="2"/>
    <x v="30"/>
    <n v="3580"/>
    <m/>
    <m/>
    <m/>
    <m/>
    <m/>
    <m/>
    <m/>
    <n v="3580"/>
    <m/>
    <m/>
    <m/>
    <m/>
    <m/>
    <m/>
    <m/>
    <m/>
    <m/>
    <m/>
    <n v="0"/>
    <n v="3580"/>
    <m/>
  </r>
  <r>
    <n v="32"/>
    <n v="137"/>
    <d v="2021-03-15T00:00:00"/>
    <n v="55291"/>
    <x v="24"/>
    <x v="2"/>
    <x v="31"/>
    <m/>
    <n v="29685"/>
    <n v="2495"/>
    <n v="-1452"/>
    <m/>
    <m/>
    <m/>
    <m/>
    <n v="30728"/>
    <m/>
    <m/>
    <n v="5463"/>
    <m/>
    <m/>
    <m/>
    <m/>
    <m/>
    <m/>
    <m/>
    <n v="5463"/>
    <n v="25265"/>
    <m/>
  </r>
  <r>
    <n v="33"/>
    <n v="2"/>
    <d v="2016-04-12T00:00:00"/>
    <n v="2179"/>
    <x v="25"/>
    <x v="3"/>
    <x v="32"/>
    <n v="11170"/>
    <n v="13292"/>
    <n v="1117"/>
    <m/>
    <m/>
    <m/>
    <m/>
    <m/>
    <n v="25579"/>
    <n v="1100"/>
    <m/>
    <n v="2446"/>
    <m/>
    <m/>
    <m/>
    <m/>
    <m/>
    <m/>
    <m/>
    <n v="3546"/>
    <n v="22033"/>
    <m/>
  </r>
  <r>
    <n v="34"/>
    <n v="12"/>
    <d v="2016-04-27T00:00:00"/>
    <n v="3158"/>
    <x v="26"/>
    <x v="3"/>
    <x v="33"/>
    <n v="11170"/>
    <n v="13963"/>
    <n v="1117"/>
    <m/>
    <m/>
    <m/>
    <m/>
    <m/>
    <n v="26250"/>
    <n v="1100"/>
    <m/>
    <n v="2513"/>
    <n v="220"/>
    <n v="31.9"/>
    <m/>
    <m/>
    <m/>
    <m/>
    <m/>
    <n v="3864.9"/>
    <n v="22385.1"/>
    <m/>
  </r>
  <r>
    <n v="35"/>
    <n v="13"/>
    <d v="2016-06-23T00:00:00"/>
    <n v="13185"/>
    <x v="27"/>
    <x v="3"/>
    <x v="34"/>
    <n v="11170"/>
    <n v="13963"/>
    <n v="1117"/>
    <m/>
    <m/>
    <m/>
    <m/>
    <m/>
    <n v="26250"/>
    <n v="1100"/>
    <m/>
    <n v="2513"/>
    <m/>
    <m/>
    <m/>
    <m/>
    <m/>
    <m/>
    <m/>
    <n v="3613"/>
    <n v="22637"/>
    <m/>
  </r>
  <r>
    <n v="36"/>
    <n v="14"/>
    <d v="2016-06-27T00:00:00"/>
    <n v="14705"/>
    <x v="28"/>
    <x v="3"/>
    <x v="35"/>
    <n v="11170"/>
    <n v="13963"/>
    <n v="1117"/>
    <m/>
    <m/>
    <m/>
    <m/>
    <m/>
    <n v="26250"/>
    <n v="1100"/>
    <m/>
    <n v="2513"/>
    <m/>
    <m/>
    <m/>
    <m/>
    <m/>
    <m/>
    <m/>
    <n v="3613"/>
    <n v="22637"/>
    <m/>
  </r>
  <r>
    <n v="37"/>
    <n v="17"/>
    <d v="2016-08-01T00:00:00"/>
    <n v="19959"/>
    <x v="29"/>
    <x v="3"/>
    <x v="36"/>
    <n v="11170"/>
    <n v="13963"/>
    <n v="1117"/>
    <m/>
    <m/>
    <m/>
    <m/>
    <m/>
    <n v="26250"/>
    <n v="1100"/>
    <m/>
    <n v="2513"/>
    <m/>
    <m/>
    <m/>
    <m/>
    <m/>
    <m/>
    <m/>
    <n v="3613"/>
    <n v="22637"/>
    <m/>
  </r>
  <r>
    <n v="38"/>
    <n v="28"/>
    <d v="2016-08-23T00:00:00"/>
    <n v="23893"/>
    <x v="30"/>
    <x v="3"/>
    <x v="37"/>
    <n v="11510"/>
    <n v="14388"/>
    <n v="1151"/>
    <m/>
    <m/>
    <m/>
    <m/>
    <m/>
    <n v="27049"/>
    <n v="1100"/>
    <m/>
    <n v="2590"/>
    <m/>
    <m/>
    <m/>
    <m/>
    <m/>
    <m/>
    <m/>
    <n v="3690"/>
    <n v="23359"/>
    <m/>
  </r>
  <r>
    <n v="39"/>
    <n v="34"/>
    <d v="2016-09-26T00:00:00"/>
    <n v="28883"/>
    <x v="31"/>
    <x v="3"/>
    <x v="38"/>
    <n v="11510"/>
    <n v="14388"/>
    <n v="1151"/>
    <m/>
    <m/>
    <m/>
    <m/>
    <m/>
    <n v="27049"/>
    <n v="1100"/>
    <m/>
    <n v="2590"/>
    <m/>
    <m/>
    <m/>
    <m/>
    <m/>
    <m/>
    <m/>
    <n v="3690"/>
    <n v="23359"/>
    <m/>
  </r>
  <r>
    <n v="40"/>
    <n v="47"/>
    <d v="2016-10-24T00:00:00"/>
    <n v="35248"/>
    <x v="32"/>
    <x v="3"/>
    <x v="39"/>
    <n v="11510"/>
    <n v="14388"/>
    <n v="1151"/>
    <m/>
    <m/>
    <m/>
    <m/>
    <m/>
    <n v="27049"/>
    <n v="1100"/>
    <m/>
    <n v="2590"/>
    <m/>
    <m/>
    <m/>
    <m/>
    <m/>
    <m/>
    <m/>
    <n v="3690"/>
    <n v="23359"/>
    <m/>
  </r>
  <r>
    <n v="41"/>
    <n v="54"/>
    <d v="2016-11-24T00:00:00"/>
    <n v="40457"/>
    <x v="33"/>
    <x v="3"/>
    <x v="40"/>
    <n v="11510"/>
    <n v="15193"/>
    <n v="1151"/>
    <m/>
    <m/>
    <m/>
    <m/>
    <m/>
    <n v="27854"/>
    <n v="1100"/>
    <m/>
    <n v="2670"/>
    <m/>
    <m/>
    <m/>
    <m/>
    <m/>
    <m/>
    <m/>
    <n v="3770"/>
    <n v="24084"/>
    <m/>
  </r>
  <r>
    <n v="42"/>
    <n v="59"/>
    <d v="2016-12-28T00:00:00"/>
    <n v="45844"/>
    <x v="34"/>
    <x v="3"/>
    <x v="41"/>
    <n v="11510"/>
    <n v="15193"/>
    <n v="1151"/>
    <m/>
    <m/>
    <m/>
    <m/>
    <m/>
    <n v="27854"/>
    <n v="1100"/>
    <m/>
    <n v="2670"/>
    <m/>
    <m/>
    <m/>
    <m/>
    <m/>
    <m/>
    <m/>
    <n v="3770"/>
    <n v="24084"/>
    <m/>
  </r>
  <r>
    <n v="43"/>
    <n v="65"/>
    <d v="2017-01-27T00:00:00"/>
    <n v="50049"/>
    <x v="35"/>
    <x v="3"/>
    <x v="42"/>
    <n v="11510"/>
    <n v="15193"/>
    <n v="1151"/>
    <m/>
    <m/>
    <m/>
    <m/>
    <m/>
    <n v="27854"/>
    <n v="1100"/>
    <m/>
    <n v="2670"/>
    <m/>
    <m/>
    <m/>
    <m/>
    <m/>
    <m/>
    <m/>
    <n v="3770"/>
    <n v="24084"/>
    <m/>
  </r>
  <r>
    <n v="44"/>
    <n v="71"/>
    <d v="2017-03-01T00:00:00"/>
    <n v="55694"/>
    <x v="36"/>
    <x v="3"/>
    <x v="43"/>
    <n v="11510"/>
    <n v="15193"/>
    <n v="1151"/>
    <m/>
    <m/>
    <m/>
    <m/>
    <m/>
    <n v="27854"/>
    <n v="1100"/>
    <m/>
    <n v="2670"/>
    <m/>
    <m/>
    <m/>
    <m/>
    <m/>
    <m/>
    <m/>
    <n v="3770"/>
    <n v="24084"/>
    <m/>
  </r>
  <r>
    <n v="45"/>
    <n v="29"/>
    <d v="2016-08-24T00:00:00"/>
    <n v="26364"/>
    <x v="37"/>
    <x v="3"/>
    <x v="44"/>
    <n v="340"/>
    <n v="425"/>
    <n v="34"/>
    <m/>
    <m/>
    <m/>
    <m/>
    <m/>
    <n v="799"/>
    <m/>
    <m/>
    <n v="77"/>
    <m/>
    <m/>
    <m/>
    <m/>
    <m/>
    <m/>
    <m/>
    <n v="77"/>
    <n v="722"/>
    <m/>
  </r>
  <r>
    <n v="46"/>
    <n v="43"/>
    <d v="2016-10-20T00:00:00"/>
    <n v="33239"/>
    <x v="38"/>
    <x v="3"/>
    <x v="45"/>
    <m/>
    <m/>
    <m/>
    <m/>
    <n v="3387"/>
    <m/>
    <m/>
    <m/>
    <n v="3387"/>
    <m/>
    <m/>
    <m/>
    <m/>
    <m/>
    <m/>
    <m/>
    <m/>
    <m/>
    <m/>
    <n v="0"/>
    <n v="3387"/>
    <m/>
  </r>
  <r>
    <n v="47"/>
    <n v="41"/>
    <d v="2016-10-17T00:00:00"/>
    <n v="37085"/>
    <x v="39"/>
    <x v="3"/>
    <x v="46"/>
    <m/>
    <n v="2013"/>
    <m/>
    <m/>
    <m/>
    <m/>
    <m/>
    <m/>
    <n v="2013"/>
    <m/>
    <m/>
    <n v="201"/>
    <m/>
    <m/>
    <m/>
    <m/>
    <m/>
    <m/>
    <m/>
    <n v="201"/>
    <n v="1812"/>
    <m/>
  </r>
  <r>
    <n v="48"/>
    <n v="72"/>
    <d v="2017-03-03T00:00:00"/>
    <n v="56302"/>
    <x v="40"/>
    <x v="3"/>
    <x v="47"/>
    <n v="5755"/>
    <n v="7597"/>
    <m/>
    <m/>
    <m/>
    <m/>
    <m/>
    <m/>
    <n v="13352"/>
    <m/>
    <m/>
    <m/>
    <m/>
    <m/>
    <m/>
    <m/>
    <m/>
    <m/>
    <m/>
    <n v="0"/>
    <n v="13352"/>
    <m/>
  </r>
  <r>
    <n v="49"/>
    <n v="52"/>
    <d v="2016-11-21T00:00:00"/>
    <n v="41655"/>
    <x v="41"/>
    <x v="3"/>
    <x v="48"/>
    <m/>
    <n v="3220"/>
    <m/>
    <m/>
    <m/>
    <m/>
    <m/>
    <m/>
    <n v="3220"/>
    <m/>
    <m/>
    <n v="324"/>
    <m/>
    <m/>
    <m/>
    <m/>
    <m/>
    <m/>
    <m/>
    <n v="324"/>
    <n v="2896"/>
    <m/>
  </r>
  <r>
    <n v="50"/>
    <n v="1"/>
    <d v="2017-04-06T00:00:00"/>
    <n v="727"/>
    <x v="42"/>
    <x v="4"/>
    <x v="49"/>
    <n v="11510"/>
    <n v="15193"/>
    <n v="1151"/>
    <m/>
    <m/>
    <m/>
    <m/>
    <m/>
    <n v="27854"/>
    <n v="2650"/>
    <m/>
    <n v="2670"/>
    <m/>
    <m/>
    <m/>
    <m/>
    <m/>
    <m/>
    <m/>
    <n v="5320"/>
    <n v="22534"/>
    <m/>
  </r>
  <r>
    <n v="51"/>
    <n v="5"/>
    <d v="2017-05-01T00:00:00"/>
    <n v="5192"/>
    <x v="43"/>
    <x v="4"/>
    <x v="50"/>
    <n v="11510"/>
    <n v="15654"/>
    <n v="1151"/>
    <m/>
    <m/>
    <m/>
    <m/>
    <m/>
    <n v="28315"/>
    <n v="2650"/>
    <m/>
    <n v="2716"/>
    <n v="220"/>
    <n v="33"/>
    <m/>
    <m/>
    <m/>
    <m/>
    <m/>
    <n v="5619"/>
    <n v="22696"/>
    <m/>
  </r>
  <r>
    <n v="52"/>
    <n v="11"/>
    <d v="2017-05-29T00:00:00"/>
    <n v="10350"/>
    <x v="44"/>
    <x v="4"/>
    <x v="51"/>
    <n v="11510"/>
    <n v="15654"/>
    <n v="1151"/>
    <m/>
    <m/>
    <m/>
    <m/>
    <m/>
    <n v="28315"/>
    <n v="2650"/>
    <m/>
    <n v="2716"/>
    <m/>
    <m/>
    <m/>
    <m/>
    <m/>
    <m/>
    <m/>
    <n v="5366"/>
    <n v="22949"/>
    <m/>
  </r>
  <r>
    <n v="53"/>
    <n v="18"/>
    <d v="2017-06-29T00:00:00"/>
    <n v="15103"/>
    <x v="45"/>
    <x v="4"/>
    <x v="52"/>
    <n v="11510"/>
    <n v="15654"/>
    <n v="1151"/>
    <m/>
    <m/>
    <m/>
    <m/>
    <m/>
    <n v="28315"/>
    <n v="2650"/>
    <m/>
    <n v="2716"/>
    <m/>
    <m/>
    <m/>
    <m/>
    <m/>
    <m/>
    <m/>
    <n v="5366"/>
    <n v="22949"/>
    <m/>
  </r>
  <r>
    <n v="54"/>
    <n v="25"/>
    <d v="2017-07-28T00:00:00"/>
    <n v="20970"/>
    <x v="46"/>
    <x v="4"/>
    <x v="53"/>
    <n v="11510"/>
    <n v="15654"/>
    <n v="1151"/>
    <m/>
    <m/>
    <m/>
    <m/>
    <m/>
    <n v="28315"/>
    <n v="2650"/>
    <m/>
    <n v="2716"/>
    <m/>
    <m/>
    <m/>
    <m/>
    <m/>
    <m/>
    <m/>
    <n v="5366"/>
    <n v="22949"/>
    <m/>
  </r>
  <r>
    <n v="55"/>
    <n v="32"/>
    <d v="2017-09-01T00:00:00"/>
    <n v="24832"/>
    <x v="47"/>
    <x v="4"/>
    <x v="54"/>
    <n v="11510"/>
    <n v="15654"/>
    <n v="1151"/>
    <m/>
    <m/>
    <m/>
    <m/>
    <m/>
    <n v="28315"/>
    <n v="2650"/>
    <m/>
    <n v="2716"/>
    <m/>
    <m/>
    <m/>
    <m/>
    <m/>
    <m/>
    <m/>
    <n v="5366"/>
    <n v="22949"/>
    <m/>
  </r>
  <r>
    <n v="56"/>
    <n v="36"/>
    <d v="2017-10-03T00:00:00"/>
    <n v="29089"/>
    <x v="48"/>
    <x v="4"/>
    <x v="55"/>
    <n v="11510"/>
    <n v="15654"/>
    <n v="1151"/>
    <m/>
    <m/>
    <m/>
    <m/>
    <m/>
    <n v="28315"/>
    <n v="2650"/>
    <m/>
    <n v="2716"/>
    <m/>
    <m/>
    <m/>
    <m/>
    <m/>
    <m/>
    <m/>
    <n v="5366"/>
    <n v="22949"/>
    <m/>
  </r>
  <r>
    <n v="57"/>
    <n v="45"/>
    <d v="2017-11-02T00:00:00"/>
    <n v="37958"/>
    <x v="49"/>
    <x v="4"/>
    <x v="56"/>
    <n v="11510"/>
    <n v="15999"/>
    <n v="1151"/>
    <m/>
    <m/>
    <m/>
    <m/>
    <m/>
    <n v="28660"/>
    <n v="2650"/>
    <m/>
    <n v="2751"/>
    <m/>
    <m/>
    <m/>
    <m/>
    <m/>
    <m/>
    <m/>
    <n v="5401"/>
    <n v="23259"/>
    <m/>
  </r>
  <r>
    <n v="58"/>
    <n v="50"/>
    <d v="2017-11-28T00:00:00"/>
    <n v="41798"/>
    <x v="50"/>
    <x v="4"/>
    <x v="57"/>
    <n v="11510"/>
    <n v="15999"/>
    <n v="1151"/>
    <m/>
    <m/>
    <m/>
    <m/>
    <m/>
    <n v="28660"/>
    <n v="2650"/>
    <m/>
    <n v="2751"/>
    <m/>
    <m/>
    <m/>
    <m/>
    <m/>
    <m/>
    <m/>
    <n v="5401"/>
    <n v="23259"/>
    <m/>
  </r>
  <r>
    <n v="59"/>
    <n v="54"/>
    <d v="2017-12-29T00:00:00"/>
    <n v="47622"/>
    <x v="51"/>
    <x v="4"/>
    <x v="58"/>
    <n v="11510"/>
    <n v="15999"/>
    <n v="1151"/>
    <m/>
    <m/>
    <m/>
    <m/>
    <m/>
    <n v="28660"/>
    <n v="2650"/>
    <m/>
    <n v="2751"/>
    <m/>
    <m/>
    <m/>
    <m/>
    <m/>
    <m/>
    <m/>
    <n v="5401"/>
    <n v="23259"/>
    <m/>
  </r>
  <r>
    <n v="60"/>
    <n v="58"/>
    <d v="2018-01-25T00:00:00"/>
    <n v="52864"/>
    <x v="52"/>
    <x v="4"/>
    <x v="59"/>
    <n v="28700"/>
    <n v="1435"/>
    <n v="2296"/>
    <m/>
    <m/>
    <m/>
    <m/>
    <m/>
    <n v="32431"/>
    <n v="2650"/>
    <m/>
    <n v="3014"/>
    <m/>
    <m/>
    <m/>
    <m/>
    <m/>
    <m/>
    <m/>
    <n v="5664"/>
    <n v="26767"/>
    <m/>
  </r>
  <r>
    <n v="61"/>
    <n v="67"/>
    <d v="2018-02-28T00:00:00"/>
    <n v="59059"/>
    <x v="53"/>
    <x v="4"/>
    <x v="60"/>
    <n v="28700"/>
    <n v="1435"/>
    <n v="2296"/>
    <m/>
    <m/>
    <m/>
    <m/>
    <m/>
    <n v="32431"/>
    <n v="2650"/>
    <m/>
    <n v="3014"/>
    <m/>
    <m/>
    <m/>
    <m/>
    <m/>
    <m/>
    <m/>
    <n v="5664"/>
    <n v="26767"/>
    <m/>
  </r>
  <r>
    <n v="62"/>
    <n v="4"/>
    <d v="2017-04-21T00:00:00"/>
    <n v="3532"/>
    <x v="54"/>
    <x v="4"/>
    <x v="61"/>
    <m/>
    <n v="1383"/>
    <m/>
    <m/>
    <m/>
    <m/>
    <m/>
    <m/>
    <n v="1383"/>
    <m/>
    <m/>
    <n v="138"/>
    <m/>
    <m/>
    <m/>
    <m/>
    <m/>
    <m/>
    <m/>
    <n v="138"/>
    <n v="1245"/>
    <m/>
  </r>
  <r>
    <n v="63"/>
    <n v="4"/>
    <d v="2017-04-21T00:00:00"/>
    <n v="3532"/>
    <x v="54"/>
    <x v="4"/>
    <x v="62"/>
    <m/>
    <n v="230"/>
    <m/>
    <m/>
    <m/>
    <m/>
    <m/>
    <m/>
    <n v="230"/>
    <m/>
    <m/>
    <m/>
    <m/>
    <m/>
    <m/>
    <m/>
    <m/>
    <m/>
    <m/>
    <n v="0"/>
    <n v="230"/>
    <m/>
  </r>
  <r>
    <n v="64"/>
    <n v="39"/>
    <d v="2017-10-11T00:00:00"/>
    <n v="32674"/>
    <x v="55"/>
    <x v="4"/>
    <x v="45"/>
    <m/>
    <m/>
    <m/>
    <m/>
    <n v="6774"/>
    <m/>
    <m/>
    <m/>
    <n v="6774"/>
    <m/>
    <m/>
    <m/>
    <m/>
    <m/>
    <m/>
    <m/>
    <m/>
    <m/>
    <m/>
    <n v="0"/>
    <n v="6774"/>
    <m/>
  </r>
  <r>
    <n v="65"/>
    <n v="38"/>
    <d v="2017-10-11T00:00:00"/>
    <n v="32614"/>
    <x v="55"/>
    <x v="4"/>
    <x v="63"/>
    <m/>
    <n v="1035"/>
    <m/>
    <m/>
    <m/>
    <m/>
    <m/>
    <m/>
    <n v="1035"/>
    <m/>
    <m/>
    <n v="105"/>
    <m/>
    <m/>
    <m/>
    <m/>
    <m/>
    <m/>
    <m/>
    <n v="105"/>
    <n v="930"/>
    <m/>
  </r>
  <r>
    <n v="66"/>
    <n v="60"/>
    <d v="2018-02-06T00:00:00"/>
    <n v="54288"/>
    <x v="56"/>
    <x v="4"/>
    <x v="64"/>
    <n v="51570"/>
    <n v="-43692"/>
    <n v="3435"/>
    <m/>
    <m/>
    <m/>
    <m/>
    <m/>
    <n v="11313"/>
    <m/>
    <m/>
    <n v="789"/>
    <m/>
    <m/>
    <m/>
    <m/>
    <m/>
    <m/>
    <m/>
    <n v="789"/>
    <n v="10524"/>
    <m/>
  </r>
  <r>
    <n v="67"/>
    <n v="66"/>
    <d v="2018-02-28T00:00:00"/>
    <n v="58697"/>
    <x v="57"/>
    <x v="4"/>
    <x v="47"/>
    <n v="14350"/>
    <n v="718"/>
    <m/>
    <m/>
    <m/>
    <m/>
    <m/>
    <m/>
    <n v="15068"/>
    <m/>
    <m/>
    <m/>
    <m/>
    <m/>
    <m/>
    <m/>
    <m/>
    <m/>
    <m/>
    <n v="0"/>
    <n v="15068"/>
    <m/>
  </r>
  <r>
    <n v="68"/>
    <n v="1"/>
    <d v="2018-04-10T00:00:00"/>
    <n v="2261"/>
    <x v="58"/>
    <x v="5"/>
    <x v="65"/>
    <n v="28700"/>
    <n v="2009"/>
    <n v="2296"/>
    <m/>
    <m/>
    <m/>
    <m/>
    <m/>
    <n v="33005"/>
    <n v="3000"/>
    <m/>
    <n v="3071"/>
    <m/>
    <m/>
    <m/>
    <m/>
    <m/>
    <m/>
    <m/>
    <n v="6071"/>
    <n v="26934"/>
    <m/>
  </r>
  <r>
    <n v="69"/>
    <n v="13"/>
    <d v="2018-05-29T00:00:00"/>
    <n v="12293"/>
    <x v="59"/>
    <x v="5"/>
    <x v="66"/>
    <n v="28700"/>
    <n v="2009"/>
    <n v="2296"/>
    <m/>
    <m/>
    <m/>
    <m/>
    <m/>
    <n v="33005"/>
    <n v="3000"/>
    <m/>
    <n v="3071"/>
    <n v="220"/>
    <m/>
    <m/>
    <m/>
    <m/>
    <m/>
    <m/>
    <n v="6291"/>
    <n v="26714"/>
    <m/>
  </r>
  <r>
    <n v="70"/>
    <n v="14"/>
    <d v="2018-05-29T00:00:00"/>
    <n v="14665"/>
    <x v="60"/>
    <x v="5"/>
    <x v="67"/>
    <n v="28700"/>
    <n v="2009"/>
    <n v="2296"/>
    <m/>
    <m/>
    <m/>
    <m/>
    <m/>
    <n v="33005"/>
    <n v="3000"/>
    <m/>
    <n v="3071"/>
    <m/>
    <m/>
    <m/>
    <m/>
    <m/>
    <m/>
    <m/>
    <n v="6071"/>
    <n v="26934"/>
    <m/>
  </r>
  <r>
    <n v="71"/>
    <n v="22"/>
    <d v="2018-06-25T00:00:00"/>
    <n v="20799"/>
    <x v="61"/>
    <x v="5"/>
    <x v="68"/>
    <n v="28700"/>
    <n v="2009"/>
    <n v="2296"/>
    <m/>
    <m/>
    <m/>
    <m/>
    <m/>
    <n v="33005"/>
    <n v="3000"/>
    <m/>
    <n v="3071"/>
    <m/>
    <m/>
    <m/>
    <m/>
    <m/>
    <m/>
    <m/>
    <n v="6071"/>
    <n v="26934"/>
    <m/>
  </r>
  <r>
    <n v="72"/>
    <n v="29"/>
    <d v="2018-07-26T00:00:00"/>
    <n v="28948"/>
    <x v="62"/>
    <x v="5"/>
    <x v="69"/>
    <n v="29600"/>
    <n v="2072"/>
    <n v="2368"/>
    <m/>
    <m/>
    <m/>
    <m/>
    <m/>
    <n v="34040"/>
    <n v="3000"/>
    <m/>
    <n v="3167"/>
    <m/>
    <m/>
    <m/>
    <m/>
    <m/>
    <m/>
    <m/>
    <n v="6167"/>
    <n v="27873"/>
    <m/>
  </r>
  <r>
    <n v="73"/>
    <n v="37"/>
    <d v="2018-08-28T00:00:00"/>
    <n v="38148"/>
    <x v="63"/>
    <x v="5"/>
    <x v="70"/>
    <n v="29600"/>
    <n v="2072"/>
    <n v="2368"/>
    <m/>
    <m/>
    <m/>
    <m/>
    <m/>
    <n v="34040"/>
    <n v="3000"/>
    <m/>
    <n v="3167"/>
    <m/>
    <m/>
    <m/>
    <m/>
    <m/>
    <m/>
    <m/>
    <n v="6167"/>
    <n v="27873"/>
    <m/>
  </r>
  <r>
    <n v="74"/>
    <n v="42"/>
    <d v="2018-10-05T00:00:00"/>
    <n v="45759"/>
    <x v="64"/>
    <x v="5"/>
    <x v="71"/>
    <n v="29600"/>
    <n v="2072"/>
    <n v="2368"/>
    <m/>
    <m/>
    <m/>
    <m/>
    <m/>
    <n v="34040"/>
    <n v="3000"/>
    <m/>
    <n v="3167"/>
    <m/>
    <m/>
    <m/>
    <m/>
    <m/>
    <m/>
    <m/>
    <n v="6167"/>
    <n v="27873"/>
    <m/>
  </r>
  <r>
    <n v="75"/>
    <n v="52"/>
    <d v="2018-11-05T00:00:00"/>
    <n v="64791"/>
    <x v="65"/>
    <x v="5"/>
    <x v="72"/>
    <n v="29600"/>
    <n v="2664"/>
    <n v="2368"/>
    <m/>
    <m/>
    <m/>
    <m/>
    <m/>
    <n v="34632"/>
    <n v="3000"/>
    <m/>
    <n v="3226"/>
    <m/>
    <m/>
    <m/>
    <m/>
    <m/>
    <m/>
    <m/>
    <n v="6226"/>
    <n v="28406"/>
    <m/>
  </r>
  <r>
    <n v="76"/>
    <n v="56"/>
    <d v="2018-12-06T00:00:00"/>
    <n v="78389"/>
    <x v="66"/>
    <x v="5"/>
    <x v="73"/>
    <n v="29600"/>
    <n v="2664"/>
    <n v="2368"/>
    <m/>
    <m/>
    <m/>
    <m/>
    <m/>
    <n v="34632"/>
    <n v="3000"/>
    <m/>
    <n v="3226"/>
    <m/>
    <m/>
    <m/>
    <m/>
    <m/>
    <m/>
    <m/>
    <n v="6226"/>
    <n v="28406"/>
    <m/>
  </r>
  <r>
    <n v="77"/>
    <n v="64"/>
    <d v="2019-02-04T00:00:00"/>
    <n v="84676"/>
    <x v="67"/>
    <x v="5"/>
    <x v="74"/>
    <n v="29600"/>
    <n v="2664"/>
    <n v="2368"/>
    <m/>
    <m/>
    <m/>
    <m/>
    <m/>
    <n v="34632"/>
    <n v="3000"/>
    <m/>
    <n v="3226"/>
    <m/>
    <m/>
    <m/>
    <m/>
    <m/>
    <m/>
    <m/>
    <n v="6226"/>
    <n v="28406"/>
    <m/>
  </r>
  <r>
    <n v="78"/>
    <n v="66"/>
    <d v="2019-02-04T00:00:00"/>
    <n v="84675"/>
    <x v="67"/>
    <x v="5"/>
    <x v="75"/>
    <n v="29600"/>
    <n v="2664"/>
    <n v="2368"/>
    <m/>
    <m/>
    <m/>
    <m/>
    <m/>
    <n v="34632"/>
    <n v="3000"/>
    <m/>
    <n v="3226"/>
    <m/>
    <m/>
    <m/>
    <m/>
    <m/>
    <m/>
    <m/>
    <n v="6226"/>
    <n v="28406"/>
    <m/>
  </r>
  <r>
    <n v="79"/>
    <n v="77"/>
    <d v="2019-02-28T00:00:00"/>
    <n v="89654"/>
    <x v="68"/>
    <x v="5"/>
    <x v="76"/>
    <n v="29600"/>
    <n v="2664"/>
    <n v="2368"/>
    <m/>
    <m/>
    <m/>
    <m/>
    <m/>
    <n v="34632"/>
    <n v="3000"/>
    <m/>
    <n v="3226"/>
    <m/>
    <m/>
    <m/>
    <m/>
    <m/>
    <m/>
    <m/>
    <n v="6226"/>
    <n v="28406"/>
    <m/>
  </r>
  <r>
    <n v="80"/>
    <n v="2"/>
    <d v="2021-04-19T00:00:00"/>
    <n v="4380"/>
    <x v="69"/>
    <x v="5"/>
    <x v="61"/>
    <m/>
    <n v="1148"/>
    <m/>
    <m/>
    <m/>
    <m/>
    <m/>
    <m/>
    <n v="1148"/>
    <m/>
    <m/>
    <n v="114"/>
    <m/>
    <m/>
    <m/>
    <m/>
    <m/>
    <m/>
    <m/>
    <n v="114"/>
    <n v="1034"/>
    <m/>
  </r>
  <r>
    <n v="81"/>
    <n v="2"/>
    <d v="2021-04-19T00:00:00"/>
    <n v="4380"/>
    <x v="69"/>
    <x v="5"/>
    <x v="62"/>
    <m/>
    <m/>
    <m/>
    <m/>
    <m/>
    <n v="287"/>
    <m/>
    <m/>
    <n v="287"/>
    <m/>
    <m/>
    <m/>
    <m/>
    <m/>
    <m/>
    <m/>
    <m/>
    <m/>
    <m/>
    <n v="0"/>
    <n v="287"/>
    <m/>
  </r>
  <r>
    <n v="82"/>
    <n v="49"/>
    <d v="2018-11-01T00:00:00"/>
    <n v="57763"/>
    <x v="70"/>
    <x v="5"/>
    <x v="45"/>
    <m/>
    <m/>
    <m/>
    <m/>
    <n v="6774"/>
    <m/>
    <m/>
    <m/>
    <n v="6774"/>
    <m/>
    <m/>
    <m/>
    <m/>
    <m/>
    <m/>
    <m/>
    <m/>
    <m/>
    <m/>
    <n v="0"/>
    <n v="6774"/>
    <m/>
  </r>
  <r>
    <n v="83"/>
    <n v="43"/>
    <d v="2018-10-09T00:00:00"/>
    <n v="51682"/>
    <x v="71"/>
    <x v="5"/>
    <x v="77"/>
    <m/>
    <n v="1776"/>
    <m/>
    <m/>
    <m/>
    <m/>
    <m/>
    <m/>
    <n v="1776"/>
    <m/>
    <m/>
    <n v="177"/>
    <m/>
    <m/>
    <m/>
    <m/>
    <m/>
    <m/>
    <m/>
    <n v="177"/>
    <n v="1599"/>
    <m/>
  </r>
  <r>
    <n v="84"/>
    <n v="7"/>
    <d v="2018-05-09T00:00:00"/>
    <n v="10650"/>
    <x v="72"/>
    <x v="5"/>
    <x v="78"/>
    <n v="47432"/>
    <n v="-41454"/>
    <m/>
    <m/>
    <m/>
    <m/>
    <m/>
    <m/>
    <n v="5978"/>
    <m/>
    <m/>
    <n v="573"/>
    <m/>
    <m/>
    <m/>
    <m/>
    <m/>
    <m/>
    <m/>
    <n v="573"/>
    <n v="5405"/>
    <m/>
  </r>
  <r>
    <n v="85"/>
    <n v="25"/>
    <d v="2018-07-17T00:00:00"/>
    <n v="27703"/>
    <x v="73"/>
    <x v="5"/>
    <x v="79"/>
    <n v="47432"/>
    <n v="-41454"/>
    <m/>
    <m/>
    <m/>
    <m/>
    <m/>
    <m/>
    <n v="5978"/>
    <m/>
    <m/>
    <n v="573"/>
    <m/>
    <m/>
    <m/>
    <m/>
    <m/>
    <m/>
    <m/>
    <n v="573"/>
    <n v="5405"/>
    <m/>
  </r>
  <r>
    <n v="86"/>
    <n v="61"/>
    <d v="2019-01-22T00:00:00"/>
    <n v="81940"/>
    <x v="74"/>
    <x v="5"/>
    <x v="47"/>
    <n v="14800"/>
    <n v="1332"/>
    <m/>
    <m/>
    <m/>
    <m/>
    <m/>
    <m/>
    <n v="16132"/>
    <m/>
    <m/>
    <m/>
    <m/>
    <m/>
    <m/>
    <m/>
    <m/>
    <m/>
    <m/>
    <n v="0"/>
    <n v="16132"/>
    <m/>
  </r>
  <r>
    <n v="87"/>
    <n v="45"/>
    <d v="2018-10-15T00:00:00"/>
    <n v="61581"/>
    <x v="75"/>
    <x v="5"/>
    <x v="80"/>
    <n v="63241"/>
    <n v="-55281"/>
    <m/>
    <m/>
    <m/>
    <m/>
    <m/>
    <m/>
    <n v="7960"/>
    <m/>
    <m/>
    <n v="759"/>
    <m/>
    <m/>
    <m/>
    <m/>
    <m/>
    <m/>
    <m/>
    <n v="759"/>
    <n v="7201"/>
    <m/>
  </r>
  <r>
    <n v="88"/>
    <n v="1"/>
    <d v="2019-04-03T00:00:00"/>
    <n v="2067"/>
    <x v="76"/>
    <x v="6"/>
    <x v="81"/>
    <n v="29600"/>
    <n v="3552"/>
    <n v="2368"/>
    <m/>
    <m/>
    <m/>
    <m/>
    <m/>
    <n v="35520"/>
    <n v="3000"/>
    <m/>
    <n v="3315"/>
    <m/>
    <m/>
    <m/>
    <m/>
    <m/>
    <m/>
    <m/>
    <n v="6315"/>
    <n v="29205"/>
    <m/>
  </r>
  <r>
    <n v="89"/>
    <n v="3"/>
    <d v="2019-04-29T00:00:00"/>
    <n v="7783"/>
    <x v="77"/>
    <x v="6"/>
    <x v="82"/>
    <n v="29600"/>
    <n v="3552"/>
    <n v="2368"/>
    <m/>
    <m/>
    <m/>
    <m/>
    <m/>
    <n v="35520"/>
    <n v="3000"/>
    <m/>
    <n v="3315"/>
    <n v="220"/>
    <m/>
    <m/>
    <m/>
    <m/>
    <m/>
    <m/>
    <n v="6535"/>
    <n v="28985"/>
    <m/>
  </r>
  <r>
    <n v="90"/>
    <n v="10"/>
    <d v="2019-06-10T00:00:00"/>
    <n v="13083"/>
    <x v="78"/>
    <x v="6"/>
    <x v="83"/>
    <n v="29600"/>
    <n v="3552"/>
    <n v="2368"/>
    <m/>
    <m/>
    <m/>
    <m/>
    <m/>
    <n v="35520"/>
    <n v="3000"/>
    <m/>
    <n v="3315"/>
    <m/>
    <m/>
    <m/>
    <m/>
    <m/>
    <m/>
    <m/>
    <n v="6315"/>
    <n v="29205"/>
    <m/>
  </r>
  <r>
    <n v="91"/>
    <n v="16"/>
    <d v="2019-06-27T00:00:00"/>
    <n v="17962"/>
    <x v="79"/>
    <x v="6"/>
    <x v="84"/>
    <n v="29600"/>
    <n v="3552"/>
    <n v="2368"/>
    <m/>
    <m/>
    <m/>
    <m/>
    <m/>
    <n v="35520"/>
    <n v="3000"/>
    <m/>
    <n v="3315"/>
    <m/>
    <m/>
    <m/>
    <m/>
    <m/>
    <m/>
    <m/>
    <n v="6315"/>
    <n v="29205"/>
    <m/>
  </r>
  <r>
    <n v="92"/>
    <n v="21"/>
    <d v="2019-08-02T00:00:00"/>
    <n v="22832"/>
    <x v="80"/>
    <x v="6"/>
    <x v="85"/>
    <n v="30500"/>
    <n v="3660"/>
    <n v="2440"/>
    <m/>
    <m/>
    <m/>
    <m/>
    <m/>
    <n v="36600"/>
    <n v="3000"/>
    <m/>
    <n v="3416"/>
    <m/>
    <m/>
    <m/>
    <m/>
    <m/>
    <m/>
    <m/>
    <n v="6416"/>
    <n v="30184"/>
    <m/>
  </r>
  <r>
    <n v="93"/>
    <n v="25"/>
    <d v="2019-08-27T00:00:00"/>
    <n v="28118"/>
    <x v="81"/>
    <x v="6"/>
    <x v="86"/>
    <n v="30500"/>
    <n v="3660"/>
    <n v="2440"/>
    <m/>
    <m/>
    <m/>
    <m/>
    <m/>
    <n v="36600"/>
    <n v="3000"/>
    <m/>
    <n v="3416"/>
    <m/>
    <m/>
    <m/>
    <m/>
    <m/>
    <m/>
    <m/>
    <n v="6416"/>
    <n v="30184"/>
    <m/>
  </r>
  <r>
    <n v="94"/>
    <n v="31"/>
    <d v="2019-09-26T00:00:00"/>
    <n v="35390"/>
    <x v="82"/>
    <x v="6"/>
    <x v="87"/>
    <n v="30500"/>
    <n v="3660"/>
    <n v="2440"/>
    <m/>
    <m/>
    <m/>
    <m/>
    <m/>
    <n v="36600"/>
    <n v="3000"/>
    <m/>
    <n v="3416"/>
    <m/>
    <m/>
    <m/>
    <m/>
    <m/>
    <m/>
    <m/>
    <n v="6416"/>
    <n v="30184"/>
    <m/>
  </r>
  <r>
    <n v="95"/>
    <n v="40"/>
    <d v="2019-10-25T00:00:00"/>
    <n v="41375"/>
    <x v="83"/>
    <x v="6"/>
    <x v="88"/>
    <n v="30500"/>
    <n v="3660"/>
    <n v="2440"/>
    <m/>
    <m/>
    <m/>
    <m/>
    <m/>
    <n v="36600"/>
    <n v="3000"/>
    <m/>
    <n v="3416"/>
    <m/>
    <m/>
    <m/>
    <m/>
    <m/>
    <m/>
    <m/>
    <n v="6416"/>
    <n v="30184"/>
    <m/>
  </r>
  <r>
    <n v="96"/>
    <n v="43"/>
    <d v="2019-11-27T00:00:00"/>
    <n v="48035"/>
    <x v="84"/>
    <x v="6"/>
    <x v="89"/>
    <n v="30500"/>
    <n v="3660"/>
    <n v="2440"/>
    <m/>
    <m/>
    <m/>
    <m/>
    <m/>
    <n v="36600"/>
    <n v="3000"/>
    <m/>
    <n v="3416"/>
    <m/>
    <m/>
    <m/>
    <m/>
    <m/>
    <m/>
    <m/>
    <n v="6416"/>
    <n v="30184"/>
    <m/>
  </r>
  <r>
    <n v="97"/>
    <n v="48"/>
    <d v="2019-12-30T00:00:00"/>
    <n v="53590"/>
    <x v="85"/>
    <x v="6"/>
    <x v="90"/>
    <n v="30500"/>
    <n v="3660"/>
    <n v="2440"/>
    <m/>
    <m/>
    <m/>
    <m/>
    <m/>
    <n v="36600"/>
    <n v="3000"/>
    <m/>
    <n v="3416"/>
    <m/>
    <m/>
    <m/>
    <m/>
    <m/>
    <m/>
    <m/>
    <n v="6416"/>
    <n v="30184"/>
    <m/>
  </r>
  <r>
    <n v="98"/>
    <n v="53"/>
    <d v="2020-01-29T00:00:00"/>
    <n v="58674"/>
    <x v="86"/>
    <x v="6"/>
    <x v="91"/>
    <n v="30500"/>
    <n v="3660"/>
    <n v="2440"/>
    <m/>
    <m/>
    <m/>
    <m/>
    <m/>
    <n v="36600"/>
    <n v="3000"/>
    <m/>
    <n v="3416"/>
    <m/>
    <m/>
    <m/>
    <m/>
    <m/>
    <m/>
    <m/>
    <n v="6416"/>
    <n v="30184"/>
    <m/>
  </r>
  <r>
    <n v="99"/>
    <n v="62"/>
    <d v="2020-02-28T00:00:00"/>
    <n v="65112"/>
    <x v="87"/>
    <x v="6"/>
    <x v="92"/>
    <n v="30500"/>
    <n v="3660"/>
    <n v="2440"/>
    <m/>
    <m/>
    <m/>
    <m/>
    <m/>
    <n v="36600"/>
    <n v="3000"/>
    <m/>
    <n v="3416"/>
    <m/>
    <m/>
    <m/>
    <m/>
    <m/>
    <m/>
    <m/>
    <n v="6416"/>
    <n v="30184"/>
    <m/>
  </r>
  <r>
    <n v="100"/>
    <n v="4"/>
    <d v="2019-04-30T00:00:00"/>
    <n v="8498"/>
    <x v="88"/>
    <x v="6"/>
    <x v="93"/>
    <m/>
    <n v="1776"/>
    <m/>
    <m/>
    <m/>
    <m/>
    <m/>
    <m/>
    <n v="1776"/>
    <m/>
    <m/>
    <n v="178"/>
    <m/>
    <m/>
    <m/>
    <m/>
    <m/>
    <m/>
    <m/>
    <n v="178"/>
    <n v="1598"/>
    <m/>
  </r>
  <r>
    <n v="101"/>
    <n v="54"/>
    <d v="2020-02-04T00:00:00"/>
    <n v="61348"/>
    <x v="89"/>
    <x v="6"/>
    <x v="47"/>
    <n v="15250"/>
    <n v="1830"/>
    <m/>
    <m/>
    <m/>
    <m/>
    <m/>
    <m/>
    <n v="17080"/>
    <m/>
    <m/>
    <m/>
    <m/>
    <m/>
    <m/>
    <m/>
    <m/>
    <m/>
    <m/>
    <n v="0"/>
    <n v="17080"/>
    <m/>
  </r>
  <r>
    <n v="102"/>
    <n v="39"/>
    <d v="2019-10-23T00:00:00"/>
    <n v="40610"/>
    <x v="90"/>
    <x v="6"/>
    <x v="45"/>
    <m/>
    <m/>
    <m/>
    <m/>
    <n v="6774"/>
    <m/>
    <m/>
    <m/>
    <n v="6774"/>
    <m/>
    <m/>
    <m/>
    <m/>
    <m/>
    <m/>
    <m/>
    <m/>
    <m/>
    <m/>
    <n v="0"/>
    <n v="6774"/>
    <m/>
  </r>
  <r>
    <n v="103"/>
    <n v="1"/>
    <d v="2020-04-03T00:00:00"/>
    <n v="291"/>
    <x v="91"/>
    <x v="7"/>
    <x v="94"/>
    <n v="21645"/>
    <n v="3680"/>
    <n v="1732"/>
    <m/>
    <m/>
    <m/>
    <m/>
    <m/>
    <n v="27057"/>
    <m/>
    <m/>
    <n v="2532"/>
    <m/>
    <m/>
    <m/>
    <n v="1968"/>
    <m/>
    <m/>
    <m/>
    <n v="4500"/>
    <n v="22557"/>
    <m/>
  </r>
  <r>
    <n v="104"/>
    <n v="5"/>
    <d v="2020-05-01T00:00:00"/>
    <n v="4971"/>
    <x v="92"/>
    <x v="7"/>
    <x v="95"/>
    <n v="30500"/>
    <n v="5185"/>
    <n v="2440"/>
    <m/>
    <m/>
    <m/>
    <m/>
    <m/>
    <n v="38125"/>
    <n v="5000"/>
    <m/>
    <n v="3569"/>
    <n v="220"/>
    <m/>
    <m/>
    <m/>
    <m/>
    <m/>
    <m/>
    <n v="8789"/>
    <n v="29336"/>
    <m/>
  </r>
  <r>
    <n v="105"/>
    <n v="13"/>
    <d v="2020-05-27T00:00:00"/>
    <n v="10260"/>
    <x v="93"/>
    <x v="7"/>
    <x v="96"/>
    <n v="30500"/>
    <n v="5185"/>
    <n v="2440"/>
    <m/>
    <m/>
    <m/>
    <m/>
    <m/>
    <n v="38125"/>
    <n v="10000"/>
    <m/>
    <n v="3569"/>
    <m/>
    <m/>
    <m/>
    <m/>
    <m/>
    <m/>
    <m/>
    <n v="13569"/>
    <n v="24556"/>
    <m/>
  </r>
  <r>
    <n v="106"/>
    <n v="17"/>
    <d v="2020-06-29T00:00:00"/>
    <n v="17622"/>
    <x v="94"/>
    <x v="7"/>
    <x v="97"/>
    <n v="30500"/>
    <n v="5185"/>
    <n v="2440"/>
    <m/>
    <m/>
    <m/>
    <m/>
    <m/>
    <n v="38125"/>
    <n v="5000"/>
    <m/>
    <n v="3569"/>
    <m/>
    <m/>
    <m/>
    <m/>
    <m/>
    <m/>
    <m/>
    <n v="8569"/>
    <n v="29556"/>
    <m/>
  </r>
  <r>
    <n v="107"/>
    <n v="19"/>
    <d v="2020-07-29T00:00:00"/>
    <n v="23350"/>
    <x v="95"/>
    <x v="7"/>
    <x v="98"/>
    <n v="31400"/>
    <n v="5338"/>
    <n v="2512"/>
    <m/>
    <m/>
    <m/>
    <m/>
    <m/>
    <n v="39250"/>
    <n v="5000"/>
    <m/>
    <n v="3674"/>
    <m/>
    <m/>
    <m/>
    <m/>
    <m/>
    <m/>
    <m/>
    <n v="8674"/>
    <n v="30576"/>
    <m/>
  </r>
  <r>
    <n v="108"/>
    <n v="24"/>
    <d v="2020-08-31T00:00:00"/>
    <n v="28462"/>
    <x v="96"/>
    <x v="7"/>
    <x v="99"/>
    <n v="31400"/>
    <n v="5338"/>
    <n v="2512"/>
    <m/>
    <m/>
    <m/>
    <m/>
    <m/>
    <n v="39250"/>
    <n v="5000"/>
    <m/>
    <n v="3674"/>
    <m/>
    <m/>
    <m/>
    <m/>
    <m/>
    <m/>
    <m/>
    <n v="8674"/>
    <n v="30576"/>
    <m/>
  </r>
  <r>
    <n v="109"/>
    <n v="30"/>
    <d v="2020-09-30T00:00:00"/>
    <n v="33490"/>
    <x v="97"/>
    <x v="7"/>
    <x v="100"/>
    <n v="31400"/>
    <n v="5338"/>
    <n v="2512"/>
    <m/>
    <m/>
    <m/>
    <m/>
    <m/>
    <n v="39250"/>
    <n v="5000"/>
    <m/>
    <n v="3674"/>
    <m/>
    <m/>
    <m/>
    <n v="1308"/>
    <m/>
    <m/>
    <m/>
    <n v="9982"/>
    <n v="29268"/>
    <m/>
  </r>
  <r>
    <n v="110"/>
    <n v="33"/>
    <d v="2020-10-28T00:00:00"/>
    <n v="38388"/>
    <x v="98"/>
    <x v="7"/>
    <x v="101"/>
    <n v="31400"/>
    <n v="5338"/>
    <n v="2512"/>
    <m/>
    <m/>
    <m/>
    <m/>
    <m/>
    <n v="39250"/>
    <n v="5000"/>
    <m/>
    <n v="3674"/>
    <m/>
    <m/>
    <m/>
    <n v="1266"/>
    <m/>
    <m/>
    <m/>
    <n v="9940"/>
    <n v="29310"/>
    <m/>
  </r>
  <r>
    <n v="111"/>
    <n v="37"/>
    <d v="2020-11-25T00:00:00"/>
    <n v="45971"/>
    <x v="99"/>
    <x v="7"/>
    <x v="102"/>
    <n v="31400"/>
    <n v="5338"/>
    <n v="2512"/>
    <m/>
    <m/>
    <m/>
    <m/>
    <m/>
    <n v="39250"/>
    <n v="5000"/>
    <m/>
    <n v="3674"/>
    <m/>
    <m/>
    <m/>
    <m/>
    <m/>
    <m/>
    <m/>
    <n v="8674"/>
    <n v="30576"/>
    <m/>
  </r>
  <r>
    <n v="112"/>
    <n v="40"/>
    <d v="2020-12-28T00:00:00"/>
    <n v="52244"/>
    <x v="100"/>
    <x v="7"/>
    <x v="103"/>
    <n v="31400"/>
    <n v="5338"/>
    <n v="2512"/>
    <m/>
    <m/>
    <m/>
    <m/>
    <m/>
    <n v="39250"/>
    <n v="5000"/>
    <m/>
    <n v="3674"/>
    <m/>
    <m/>
    <m/>
    <m/>
    <m/>
    <m/>
    <m/>
    <n v="8674"/>
    <n v="30576"/>
    <m/>
  </r>
  <r>
    <n v="113"/>
    <n v="42"/>
    <d v="2021-01-27T00:00:00"/>
    <n v="58485"/>
    <x v="101"/>
    <x v="7"/>
    <x v="104"/>
    <n v="31400"/>
    <n v="5338"/>
    <n v="2512"/>
    <m/>
    <m/>
    <m/>
    <m/>
    <m/>
    <n v="39250"/>
    <n v="5000"/>
    <m/>
    <n v="3674"/>
    <m/>
    <m/>
    <m/>
    <m/>
    <m/>
    <m/>
    <m/>
    <n v="8674"/>
    <n v="30576"/>
    <m/>
  </r>
  <r>
    <n v="114"/>
    <n v="45"/>
    <d v="2021-02-26T00:00:00"/>
    <n v="63803"/>
    <x v="102"/>
    <x v="7"/>
    <x v="105"/>
    <n v="31400"/>
    <n v="5338"/>
    <n v="2512"/>
    <m/>
    <m/>
    <m/>
    <m/>
    <m/>
    <n v="39250"/>
    <n v="5000"/>
    <m/>
    <n v="3674"/>
    <m/>
    <m/>
    <m/>
    <m/>
    <m/>
    <m/>
    <m/>
    <n v="8674"/>
    <n v="30576"/>
    <m/>
  </r>
  <r>
    <n v="115"/>
    <n v="47"/>
    <d v="2021-03-05T00:00:00"/>
    <n v="66693"/>
    <x v="103"/>
    <x v="7"/>
    <x v="94"/>
    <n v="8855"/>
    <n v="1505"/>
    <n v="709"/>
    <m/>
    <m/>
    <m/>
    <m/>
    <m/>
    <n v="11069"/>
    <m/>
    <m/>
    <n v="1036"/>
    <m/>
    <m/>
    <m/>
    <m/>
    <m/>
    <m/>
    <m/>
    <n v="1036"/>
    <n v="10033"/>
    <m/>
  </r>
  <r>
    <n v="116"/>
    <n v="2"/>
    <d v="2020-04-11T00:00:00"/>
    <n v="4819"/>
    <x v="104"/>
    <x v="7"/>
    <x v="106"/>
    <m/>
    <n v="9150"/>
    <m/>
    <m/>
    <m/>
    <m/>
    <m/>
    <m/>
    <n v="9150"/>
    <m/>
    <m/>
    <n v="918"/>
    <m/>
    <m/>
    <m/>
    <m/>
    <m/>
    <m/>
    <m/>
    <n v="918"/>
    <n v="8232"/>
    <m/>
  </r>
  <r>
    <n v="117"/>
    <n v="3"/>
    <d v="2020-04-13T00:00:00"/>
    <n v="4811"/>
    <x v="104"/>
    <x v="7"/>
    <x v="106"/>
    <m/>
    <n v="3050"/>
    <m/>
    <m/>
    <m/>
    <m/>
    <m/>
    <m/>
    <n v="3050"/>
    <m/>
    <m/>
    <n v="306"/>
    <m/>
    <m/>
    <m/>
    <m/>
    <m/>
    <m/>
    <m/>
    <n v="306"/>
    <n v="2744"/>
    <m/>
  </r>
  <r>
    <n v="118"/>
    <n v="23"/>
    <d v="2020-08-19T00:00:00"/>
    <n v="31858"/>
    <x v="105"/>
    <x v="7"/>
    <x v="47"/>
    <n v="15700"/>
    <n v="2669"/>
    <m/>
    <m/>
    <m/>
    <m/>
    <m/>
    <m/>
    <n v="18369"/>
    <m/>
    <m/>
    <m/>
    <m/>
    <m/>
    <m/>
    <m/>
    <m/>
    <m/>
    <m/>
    <n v="0"/>
    <n v="18369"/>
    <m/>
  </r>
  <r>
    <n v="119"/>
    <n v="34"/>
    <d v="2020-11-13T00:00:00"/>
    <n v="42173"/>
    <x v="106"/>
    <x v="7"/>
    <x v="45"/>
    <m/>
    <m/>
    <m/>
    <m/>
    <n v="6774"/>
    <m/>
    <m/>
    <m/>
    <n v="6774"/>
    <m/>
    <m/>
    <m/>
    <m/>
    <m/>
    <m/>
    <m/>
    <n v="5081"/>
    <m/>
    <m/>
    <n v="5081"/>
    <n v="1693"/>
    <m/>
  </r>
  <r>
    <n v="120"/>
    <n v="1"/>
    <d v="2021-04-06T00:00:00"/>
    <n v="1971"/>
    <x v="107"/>
    <x v="8"/>
    <x v="107"/>
    <n v="31400"/>
    <n v="5338"/>
    <n v="2512"/>
    <m/>
    <m/>
    <m/>
    <m/>
    <m/>
    <n v="39250"/>
    <n v="5000"/>
    <m/>
    <n v="3674"/>
    <m/>
    <m/>
    <m/>
    <m/>
    <m/>
    <m/>
    <m/>
    <n v="8674"/>
    <n v="30576"/>
    <m/>
  </r>
  <r>
    <n v="121"/>
    <n v="4"/>
    <d v="2021-04-30T00:00:00"/>
    <n v="6836"/>
    <x v="108"/>
    <x v="8"/>
    <x v="108"/>
    <n v="31400"/>
    <n v="5338"/>
    <n v="2512"/>
    <m/>
    <m/>
    <m/>
    <m/>
    <m/>
    <n v="39250"/>
    <n v="5000"/>
    <m/>
    <n v="3674"/>
    <n v="2100"/>
    <m/>
    <m/>
    <m/>
    <m/>
    <m/>
    <m/>
    <n v="10774"/>
    <n v="28476"/>
    <m/>
  </r>
  <r>
    <n v="122"/>
    <n v="7"/>
    <d v="2021-06-03T00:00:00"/>
    <n v="12477"/>
    <x v="109"/>
    <x v="8"/>
    <x v="109"/>
    <n v="31400"/>
    <n v="5338"/>
    <n v="2512"/>
    <m/>
    <m/>
    <m/>
    <m/>
    <m/>
    <n v="39250"/>
    <n v="5000"/>
    <m/>
    <n v="3674"/>
    <m/>
    <m/>
    <m/>
    <m/>
    <m/>
    <m/>
    <m/>
    <n v="8674"/>
    <n v="30576"/>
    <m/>
  </r>
  <r>
    <n v="123"/>
    <n v="9"/>
    <d v="2021-06-15T00:00:00"/>
    <n v="16676"/>
    <x v="110"/>
    <x v="8"/>
    <x v="47"/>
    <n v="15700"/>
    <n v="2669"/>
    <m/>
    <m/>
    <m/>
    <m/>
    <m/>
    <m/>
    <n v="18369"/>
    <m/>
    <m/>
    <m/>
    <m/>
    <m/>
    <m/>
    <m/>
    <m/>
    <m/>
    <m/>
    <n v="0"/>
    <n v="18369"/>
    <m/>
  </r>
  <r>
    <n v="124"/>
    <n v="12"/>
    <d v="2021-07-01T00:00:00"/>
    <n v="17505"/>
    <x v="111"/>
    <x v="8"/>
    <x v="110"/>
    <n v="31400"/>
    <n v="5338"/>
    <n v="2512"/>
    <m/>
    <m/>
    <m/>
    <m/>
    <m/>
    <n v="39250"/>
    <n v="5000"/>
    <m/>
    <n v="3674"/>
    <m/>
    <m/>
    <m/>
    <m/>
    <m/>
    <m/>
    <m/>
    <n v="8674"/>
    <n v="30576"/>
    <m/>
  </r>
  <r>
    <n v="125"/>
    <n v="404"/>
    <d v="2021-07-29T00:00:00"/>
    <n v="22702"/>
    <x v="112"/>
    <x v="8"/>
    <x v="111"/>
    <n v="32300"/>
    <n v="9044"/>
    <n v="2584"/>
    <m/>
    <m/>
    <m/>
    <m/>
    <m/>
    <n v="43928"/>
    <n v="5000"/>
    <m/>
    <n v="4134"/>
    <m/>
    <m/>
    <m/>
    <m/>
    <m/>
    <m/>
    <m/>
    <n v="9134"/>
    <n v="34794"/>
    <m/>
  </r>
  <r>
    <n v="126"/>
    <n v="407"/>
    <d v="2021-08-10T00:00:00"/>
    <n v="26318"/>
    <x v="113"/>
    <x v="8"/>
    <x v="112"/>
    <m/>
    <m/>
    <n v="323"/>
    <m/>
    <m/>
    <m/>
    <m/>
    <m/>
    <n v="323"/>
    <m/>
    <m/>
    <m/>
    <m/>
    <m/>
    <m/>
    <m/>
    <m/>
    <m/>
    <m/>
    <n v="0"/>
    <n v="323"/>
    <m/>
  </r>
  <r>
    <n v="127"/>
    <n v="411"/>
    <d v="2021-08-26T00:00:00"/>
    <n v="28815"/>
    <x v="114"/>
    <x v="8"/>
    <x v="113"/>
    <n v="32300"/>
    <n v="9044"/>
    <n v="2907"/>
    <m/>
    <m/>
    <m/>
    <m/>
    <m/>
    <n v="44251"/>
    <n v="5000"/>
    <m/>
    <n v="4134"/>
    <m/>
    <m/>
    <m/>
    <m/>
    <m/>
    <m/>
    <m/>
    <n v="9134"/>
    <n v="35117"/>
    <m/>
  </r>
  <r>
    <n v="128"/>
    <n v="414"/>
    <d v="2021-10-06T00:00:00"/>
    <n v="36889"/>
    <x v="115"/>
    <x v="8"/>
    <x v="114"/>
    <n v="32300"/>
    <n v="9044"/>
    <n v="2907"/>
    <m/>
    <m/>
    <m/>
    <m/>
    <m/>
    <n v="44251"/>
    <n v="5000"/>
    <m/>
    <n v="4134"/>
    <m/>
    <m/>
    <m/>
    <m/>
    <m/>
    <n v="220"/>
    <m/>
    <n v="9354"/>
    <n v="34897"/>
    <m/>
  </r>
  <r>
    <n v="129"/>
    <n v="415"/>
    <d v="2021-10-27T00:00:00"/>
    <n v="40146"/>
    <x v="116"/>
    <x v="8"/>
    <x v="115"/>
    <n v="32300"/>
    <n v="10013"/>
    <n v="2907"/>
    <m/>
    <m/>
    <m/>
    <m/>
    <m/>
    <n v="45220"/>
    <n v="5000"/>
    <m/>
    <n v="4231"/>
    <m/>
    <m/>
    <m/>
    <m/>
    <m/>
    <n v="220"/>
    <m/>
    <n v="9451"/>
    <n v="35769"/>
    <m/>
  </r>
  <r>
    <n v="130"/>
    <n v="23"/>
    <d v="2021-10-26T00:00:00"/>
    <n v="42420"/>
    <x v="116"/>
    <x v="8"/>
    <x v="45"/>
    <m/>
    <m/>
    <m/>
    <m/>
    <n v="6774"/>
    <m/>
    <m/>
    <m/>
    <n v="6774"/>
    <m/>
    <m/>
    <m/>
    <m/>
    <m/>
    <m/>
    <m/>
    <n v="3387"/>
    <m/>
    <m/>
    <n v="3387"/>
    <n v="3387"/>
    <m/>
  </r>
  <r>
    <n v="131"/>
    <n v="418"/>
    <d v="2021-11-16T00:00:00"/>
    <n v="48467"/>
    <x v="117"/>
    <x v="8"/>
    <x v="116"/>
    <n v="32300"/>
    <n v="10013"/>
    <n v="2907"/>
    <m/>
    <m/>
    <m/>
    <m/>
    <m/>
    <n v="45220"/>
    <n v="5000"/>
    <m/>
    <n v="4231"/>
    <m/>
    <m/>
    <m/>
    <m/>
    <m/>
    <n v="220"/>
    <m/>
    <n v="9451"/>
    <n v="35769"/>
    <m/>
  </r>
  <r>
    <n v="132"/>
    <n v="417"/>
    <d v="2021-11-14T00:00:00"/>
    <n v="52725"/>
    <x v="118"/>
    <x v="8"/>
    <x v="116"/>
    <m/>
    <n v="2907"/>
    <m/>
    <m/>
    <m/>
    <m/>
    <m/>
    <m/>
    <n v="2907"/>
    <m/>
    <m/>
    <n v="291"/>
    <m/>
    <m/>
    <m/>
    <m/>
    <n v="2616"/>
    <m/>
    <m/>
    <n v="2907"/>
    <n v="0"/>
    <s v="nps me amount jma nhi hui"/>
  </r>
  <r>
    <n v="133"/>
    <n v="419"/>
    <d v="2021-12-16T00:00:00"/>
    <n v="55697"/>
    <x v="119"/>
    <x v="8"/>
    <x v="117"/>
    <n v="32300"/>
    <n v="10013"/>
    <n v="2907"/>
    <m/>
    <m/>
    <m/>
    <m/>
    <m/>
    <n v="45220"/>
    <n v="5000"/>
    <m/>
    <n v="4231"/>
    <m/>
    <m/>
    <m/>
    <m/>
    <m/>
    <n v="220"/>
    <m/>
    <n v="9451"/>
    <n v="35769"/>
    <s v="nps me amount jma nhi hui"/>
  </r>
  <r>
    <n v="134"/>
    <n v="423"/>
    <d v="2022-01-27T00:00:00"/>
    <n v="63392"/>
    <x v="120"/>
    <x v="8"/>
    <x v="118"/>
    <n v="32300"/>
    <n v="10013"/>
    <n v="2907"/>
    <m/>
    <m/>
    <m/>
    <m/>
    <m/>
    <n v="45220"/>
    <n v="5000"/>
    <m/>
    <n v="4231"/>
    <m/>
    <m/>
    <m/>
    <m/>
    <m/>
    <n v="660"/>
    <m/>
    <n v="9891"/>
    <n v="35329"/>
    <s v="nps me amount jma nhi hui"/>
  </r>
  <r>
    <n v="135"/>
    <n v="424"/>
    <d v="2022-02-20T00:00:00"/>
    <n v="69267"/>
    <x v="121"/>
    <x v="8"/>
    <x v="119"/>
    <n v="32300"/>
    <n v="10013"/>
    <n v="2907"/>
    <m/>
    <m/>
    <m/>
    <m/>
    <m/>
    <n v="45220"/>
    <n v="5000"/>
    <m/>
    <n v="4231"/>
    <m/>
    <m/>
    <m/>
    <m/>
    <m/>
    <n v="220"/>
    <m/>
    <n v="9451"/>
    <n v="35769"/>
    <s v="nps me amount jma nhi hui"/>
  </r>
  <r>
    <n v="136"/>
    <n v="38098991"/>
    <d v="2022-04-01T00:00:00"/>
    <n v="1076"/>
    <x v="122"/>
    <x v="9"/>
    <x v="120"/>
    <n v="32300"/>
    <n v="10013"/>
    <n v="2907"/>
    <m/>
    <m/>
    <m/>
    <m/>
    <m/>
    <n v="45220"/>
    <n v="5000"/>
    <m/>
    <m/>
    <m/>
    <m/>
    <m/>
    <m/>
    <m/>
    <n v="220"/>
    <m/>
    <n v="5220"/>
    <n v="40000"/>
    <m/>
  </r>
  <r>
    <n v="137"/>
    <n v="39242038"/>
    <d v="2022-04-27T00:00:00"/>
    <n v="6842"/>
    <x v="123"/>
    <x v="9"/>
    <x v="121"/>
    <n v="32300"/>
    <n v="10982"/>
    <n v="2907"/>
    <m/>
    <m/>
    <m/>
    <m/>
    <m/>
    <n v="46189"/>
    <n v="5000"/>
    <m/>
    <m/>
    <n v="1750"/>
    <m/>
    <m/>
    <m/>
    <m/>
    <n v="440"/>
    <m/>
    <n v="7190"/>
    <n v="38999"/>
    <m/>
  </r>
  <r>
    <n v="138"/>
    <n v="39593330"/>
    <d v="2022-05-12T00:00:00"/>
    <n v="10069"/>
    <x v="124"/>
    <x v="9"/>
    <x v="47"/>
    <n v="16150"/>
    <n v="5491"/>
    <m/>
    <m/>
    <m/>
    <m/>
    <m/>
    <m/>
    <n v="21641"/>
    <m/>
    <m/>
    <m/>
    <m/>
    <m/>
    <m/>
    <m/>
    <m/>
    <m/>
    <m/>
    <n v="0"/>
    <n v="21641"/>
    <m/>
  </r>
  <r>
    <n v="139"/>
    <n v="39905433"/>
    <d v="2022-05-29T00:00:00"/>
    <n v="12278"/>
    <x v="125"/>
    <x v="9"/>
    <x v="122"/>
    <n v="32300"/>
    <n v="10982"/>
    <n v="2907"/>
    <m/>
    <m/>
    <m/>
    <m/>
    <m/>
    <n v="46189"/>
    <n v="5000"/>
    <m/>
    <m/>
    <m/>
    <m/>
    <m/>
    <m/>
    <n v="4200"/>
    <n v="440"/>
    <m/>
    <n v="9640"/>
    <n v="36549"/>
    <m/>
  </r>
  <r>
    <n v="140"/>
    <n v="40304752"/>
    <d v="2022-06-23T00:00:00"/>
    <n v="19496"/>
    <x v="126"/>
    <x v="9"/>
    <x v="123"/>
    <n v="32300"/>
    <n v="10982"/>
    <n v="2907"/>
    <m/>
    <m/>
    <m/>
    <m/>
    <m/>
    <n v="46189"/>
    <n v="5000"/>
    <m/>
    <m/>
    <m/>
    <m/>
    <m/>
    <m/>
    <n v="2100"/>
    <n v="440"/>
    <m/>
    <n v="7540"/>
    <n v="38649"/>
    <m/>
  </r>
  <r>
    <n v="141"/>
    <n v="40160448"/>
    <d v="2022-06-16T00:00:00"/>
    <n v="17326"/>
    <x v="127"/>
    <x v="9"/>
    <x v="124"/>
    <m/>
    <n v="2907"/>
    <m/>
    <m/>
    <m/>
    <m/>
    <m/>
    <m/>
    <n v="2907"/>
    <m/>
    <m/>
    <m/>
    <m/>
    <m/>
    <m/>
    <m/>
    <n v="2907"/>
    <m/>
    <m/>
    <n v="2907"/>
    <n v="0"/>
    <m/>
  </r>
  <r>
    <n v="142"/>
    <n v="40693185"/>
    <d v="2022-07-20T00:00:00"/>
    <n v="25322"/>
    <x v="128"/>
    <x v="9"/>
    <x v="125"/>
    <n v="33300"/>
    <n v="11322"/>
    <n v="2997"/>
    <m/>
    <m/>
    <m/>
    <m/>
    <m/>
    <n v="47619"/>
    <n v="5000"/>
    <m/>
    <m/>
    <m/>
    <m/>
    <m/>
    <m/>
    <n v="2100"/>
    <n v="440"/>
    <m/>
    <n v="7540"/>
    <n v="40079"/>
    <m/>
  </r>
  <r>
    <n v="143"/>
    <n v="41095681"/>
    <d v="2022-08-19T00:00:00"/>
    <n v="31626"/>
    <x v="129"/>
    <x v="9"/>
    <x v="126"/>
    <n v="33300"/>
    <n v="11322"/>
    <n v="2997"/>
    <m/>
    <m/>
    <m/>
    <m/>
    <m/>
    <n v="47619"/>
    <n v="5000"/>
    <m/>
    <m/>
    <m/>
    <m/>
    <m/>
    <m/>
    <n v="2100"/>
    <n v="440"/>
    <m/>
    <n v="7540"/>
    <n v="40079"/>
    <m/>
  </r>
  <r>
    <n v="144"/>
    <n v="41591732"/>
    <d v="2022-09-19T00:00:00"/>
    <n v="38533"/>
    <x v="130"/>
    <x v="9"/>
    <x v="127"/>
    <n v="33300"/>
    <n v="11322"/>
    <n v="2997"/>
    <m/>
    <m/>
    <m/>
    <m/>
    <m/>
    <n v="47619"/>
    <n v="5000"/>
    <m/>
    <m/>
    <m/>
    <m/>
    <m/>
    <m/>
    <n v="2100"/>
    <n v="440"/>
    <m/>
    <n v="7540"/>
    <n v="40079"/>
    <m/>
  </r>
  <r>
    <n v="145"/>
    <n v="42065399"/>
    <d v="2022-10-18T00:00:00"/>
    <n v="42574"/>
    <x v="131"/>
    <x v="9"/>
    <x v="45"/>
    <m/>
    <m/>
    <m/>
    <m/>
    <n v="6774"/>
    <m/>
    <m/>
    <m/>
    <n v="6774"/>
    <m/>
    <m/>
    <m/>
    <m/>
    <m/>
    <m/>
    <m/>
    <n v="1694"/>
    <m/>
    <m/>
    <n v="1694"/>
    <n v="5080"/>
    <m/>
  </r>
  <r>
    <n v="146"/>
    <n v="42338085"/>
    <d v="2022-10-27T00:00:00"/>
    <n v="47806"/>
    <x v="132"/>
    <x v="9"/>
    <x v="128"/>
    <n v="33300"/>
    <n v="12654"/>
    <n v="2997"/>
    <m/>
    <m/>
    <m/>
    <m/>
    <m/>
    <n v="48951"/>
    <n v="5000"/>
    <m/>
    <m/>
    <m/>
    <m/>
    <m/>
    <m/>
    <n v="2100"/>
    <n v="440"/>
    <m/>
    <n v="7540"/>
    <n v="41411"/>
    <m/>
  </r>
  <r>
    <n v="147"/>
    <n v="42672230"/>
    <d v="2022-11-17T00:00:00"/>
    <n v="52784"/>
    <x v="133"/>
    <x v="9"/>
    <x v="129"/>
    <n v="33300"/>
    <n v="12654"/>
    <n v="2997"/>
    <m/>
    <m/>
    <m/>
    <m/>
    <m/>
    <n v="48951"/>
    <n v="5000"/>
    <m/>
    <m/>
    <m/>
    <m/>
    <m/>
    <m/>
    <n v="2100"/>
    <n v="440"/>
    <m/>
    <n v="7540"/>
    <n v="41411"/>
    <m/>
  </r>
  <r>
    <n v="148"/>
    <n v="43353029"/>
    <d v="2022-12-23T00:00:00"/>
    <n v="60602"/>
    <x v="134"/>
    <x v="9"/>
    <x v="130"/>
    <n v="33300"/>
    <n v="12654"/>
    <n v="2997"/>
    <m/>
    <m/>
    <m/>
    <m/>
    <m/>
    <n v="48951"/>
    <n v="5000"/>
    <m/>
    <m/>
    <m/>
    <m/>
    <m/>
    <m/>
    <n v="2100"/>
    <n v="440"/>
    <m/>
    <n v="7540"/>
    <n v="41411"/>
    <m/>
  </r>
  <r>
    <n v="149"/>
    <n v="43105964"/>
    <d v="2022-12-13T00:00:00"/>
    <n v="57161"/>
    <x v="135"/>
    <x v="9"/>
    <x v="106"/>
    <m/>
    <n v="3996"/>
    <m/>
    <m/>
    <m/>
    <m/>
    <m/>
    <m/>
    <n v="3996"/>
    <m/>
    <m/>
    <m/>
    <m/>
    <m/>
    <m/>
    <m/>
    <n v="3996"/>
    <m/>
    <m/>
    <n v="3996"/>
    <n v="0"/>
    <m/>
  </r>
  <r>
    <n v="150"/>
    <n v="43739170"/>
    <d v="2023-01-18T00:00:00"/>
    <n v="64998"/>
    <x v="136"/>
    <x v="9"/>
    <x v="131"/>
    <n v="4850"/>
    <n v="1843"/>
    <n v="437"/>
    <m/>
    <m/>
    <m/>
    <m/>
    <m/>
    <n v="7130"/>
    <m/>
    <m/>
    <m/>
    <m/>
    <m/>
    <m/>
    <m/>
    <n v="14"/>
    <m/>
    <m/>
    <n v="14"/>
    <n v="7116"/>
    <m/>
  </r>
  <r>
    <n v="151"/>
    <n v="43878587"/>
    <d v="2023-01-23T00:00:00"/>
    <n v="68683"/>
    <x v="137"/>
    <x v="9"/>
    <x v="132"/>
    <n v="34800"/>
    <n v="13224"/>
    <n v="3132"/>
    <m/>
    <m/>
    <m/>
    <m/>
    <m/>
    <n v="51156"/>
    <n v="5000"/>
    <m/>
    <m/>
    <m/>
    <m/>
    <m/>
    <m/>
    <n v="2100"/>
    <n v="658"/>
    <m/>
    <n v="7758"/>
    <n v="43398"/>
    <m/>
  </r>
  <r>
    <n v="152"/>
    <n v="44472500"/>
    <d v="2023-02-20T00:00:00"/>
    <n v="77782"/>
    <x v="138"/>
    <x v="9"/>
    <x v="133"/>
    <n v="34800"/>
    <n v="13224"/>
    <n v="3132"/>
    <m/>
    <m/>
    <m/>
    <m/>
    <m/>
    <n v="51156"/>
    <n v="5000"/>
    <m/>
    <m/>
    <m/>
    <m/>
    <m/>
    <m/>
    <n v="2100"/>
    <n v="658"/>
    <m/>
    <n v="7758"/>
    <n v="43398"/>
    <m/>
  </r>
  <r>
    <n v="153"/>
    <n v="45133785"/>
    <d v="2023-04-01T00:00:00"/>
    <n v="763"/>
    <x v="139"/>
    <x v="10"/>
    <x v="134"/>
    <n v="34800"/>
    <n v="13224"/>
    <n v="3132"/>
    <m/>
    <m/>
    <m/>
    <m/>
    <m/>
    <n v="51156"/>
    <n v="5000"/>
    <m/>
    <m/>
    <m/>
    <m/>
    <m/>
    <m/>
    <n v="2100"/>
    <n v="658"/>
    <m/>
    <n v="7758"/>
    <n v="43398"/>
    <m/>
  </r>
  <r>
    <n v="154"/>
    <n v="46031314"/>
    <d v="2023-05-12T00:00:00"/>
    <n v="11389"/>
    <x v="140"/>
    <x v="10"/>
    <x v="135"/>
    <n v="26680"/>
    <n v="11206"/>
    <n v="2401"/>
    <m/>
    <m/>
    <m/>
    <m/>
    <m/>
    <n v="40287"/>
    <n v="5000"/>
    <m/>
    <m/>
    <n v="2100"/>
    <m/>
    <m/>
    <m/>
    <n v="2100"/>
    <n v="658"/>
    <m/>
    <n v="9858"/>
    <n v="30429"/>
    <m/>
  </r>
  <r>
    <n v="155"/>
    <n v="46331842"/>
    <d v="2023-05-31T00:00:00"/>
    <n v="15727"/>
    <x v="141"/>
    <x v="10"/>
    <x v="136"/>
    <n v="32555"/>
    <n v="13673"/>
    <n v="2930"/>
    <m/>
    <m/>
    <m/>
    <m/>
    <m/>
    <n v="49158"/>
    <n v="5000"/>
    <m/>
    <m/>
    <m/>
    <m/>
    <m/>
    <m/>
    <n v="2100"/>
    <n v="658"/>
    <m/>
    <n v="7758"/>
    <n v="41400"/>
    <m/>
  </r>
  <r>
    <n v="156"/>
    <n v="46899463"/>
    <d v="2023-07-10T00:00:00"/>
    <n v="23938"/>
    <x v="142"/>
    <x v="10"/>
    <x v="135"/>
    <n v="8120"/>
    <n v="3410"/>
    <n v="731"/>
    <m/>
    <m/>
    <m/>
    <m/>
    <m/>
    <n v="12261"/>
    <m/>
    <m/>
    <m/>
    <m/>
    <m/>
    <m/>
    <m/>
    <m/>
    <m/>
    <m/>
    <n v="0"/>
    <n v="12261"/>
    <m/>
  </r>
  <r>
    <n v="157"/>
    <n v="46616223"/>
    <d v="2023-06-24T00:00:00"/>
    <n v="19972"/>
    <x v="143"/>
    <x v="10"/>
    <x v="137"/>
    <n v="34800"/>
    <n v="14616"/>
    <n v="3132"/>
    <m/>
    <m/>
    <m/>
    <m/>
    <m/>
    <n v="52548"/>
    <n v="5000"/>
    <m/>
    <m/>
    <m/>
    <m/>
    <m/>
    <m/>
    <n v="2100"/>
    <n v="658"/>
    <m/>
    <n v="7758"/>
    <n v="44790"/>
    <m/>
  </r>
  <r>
    <n v="158"/>
    <n v="47362967"/>
    <d v="2023-08-04T00:00:00"/>
    <n v="30437"/>
    <x v="144"/>
    <x v="10"/>
    <x v="138"/>
    <n v="35800"/>
    <n v="15036"/>
    <n v="3222"/>
    <m/>
    <m/>
    <m/>
    <m/>
    <m/>
    <n v="54058"/>
    <n v="5000"/>
    <m/>
    <m/>
    <m/>
    <m/>
    <m/>
    <m/>
    <n v="2100"/>
    <n v="658"/>
    <m/>
    <n v="7758"/>
    <n v="46300"/>
    <m/>
  </r>
  <r>
    <n v="159"/>
    <n v="47086106"/>
    <d v="2023-07-21T00:00:00"/>
    <n v="29256"/>
    <x v="145"/>
    <x v="10"/>
    <x v="136"/>
    <n v="2245"/>
    <n v="943"/>
    <n v="202"/>
    <m/>
    <m/>
    <m/>
    <m/>
    <m/>
    <n v="3390"/>
    <m/>
    <m/>
    <m/>
    <m/>
    <m/>
    <m/>
    <m/>
    <m/>
    <m/>
    <m/>
    <n v="0"/>
    <n v="3390"/>
    <m/>
  </r>
  <r>
    <n v="160"/>
    <n v="47617195"/>
    <d v="2023-08-23T00:00:00"/>
    <n v="34957"/>
    <x v="146"/>
    <x v="10"/>
    <x v="139"/>
    <n v="35800"/>
    <n v="15036"/>
    <n v="3222"/>
    <m/>
    <m/>
    <m/>
    <m/>
    <m/>
    <n v="54058"/>
    <n v="5000"/>
    <m/>
    <m/>
    <m/>
    <m/>
    <m/>
    <m/>
    <n v="2100"/>
    <n v="658"/>
    <m/>
    <n v="7758"/>
    <n v="46300"/>
    <m/>
  </r>
  <r>
    <n v="161"/>
    <n v="47511795"/>
    <d v="2023-08-16T00:00:00"/>
    <n v="31886"/>
    <x v="147"/>
    <x v="10"/>
    <x v="140"/>
    <m/>
    <n v="4176"/>
    <m/>
    <m/>
    <m/>
    <m/>
    <m/>
    <m/>
    <n v="4176"/>
    <m/>
    <m/>
    <m/>
    <m/>
    <m/>
    <m/>
    <m/>
    <n v="4176"/>
    <m/>
    <m/>
    <n v="4176"/>
    <n v="0"/>
    <m/>
  </r>
  <r>
    <n v="162"/>
    <n v="48065579"/>
    <d v="2023-09-23T00:00:00"/>
    <n v="40520"/>
    <x v="148"/>
    <x v="10"/>
    <x v="141"/>
    <n v="35800"/>
    <n v="15036"/>
    <n v="3222"/>
    <m/>
    <m/>
    <m/>
    <m/>
    <m/>
    <n v="54058"/>
    <n v="5000"/>
    <m/>
    <m/>
    <m/>
    <m/>
    <m/>
    <m/>
    <n v="2100"/>
    <n v="658"/>
    <m/>
    <n v="7758"/>
    <n v="46300"/>
    <m/>
  </r>
  <r>
    <n v="163"/>
    <n v="48627195"/>
    <d v="2023-10-27T00:00:00"/>
    <n v="45911"/>
    <x v="149"/>
    <x v="10"/>
    <x v="142"/>
    <n v="35800"/>
    <n v="15036"/>
    <n v="3222"/>
    <m/>
    <m/>
    <m/>
    <m/>
    <m/>
    <n v="54058"/>
    <n v="5000"/>
    <m/>
    <m/>
    <m/>
    <m/>
    <m/>
    <m/>
    <n v="2100"/>
    <n v="658"/>
    <n v="2000"/>
    <n v="9758"/>
    <n v="44300"/>
    <m/>
  </r>
  <r>
    <n v="164"/>
    <n v="48896643"/>
    <d v="2023-11-07T00:00:00"/>
    <n v="50640"/>
    <x v="150"/>
    <x v="10"/>
    <x v="45"/>
    <m/>
    <m/>
    <m/>
    <m/>
    <n v="6774"/>
    <m/>
    <m/>
    <m/>
    <n v="6774"/>
    <m/>
    <m/>
    <m/>
    <m/>
    <m/>
    <m/>
    <m/>
    <n v="1694"/>
    <m/>
    <m/>
    <n v="1694"/>
    <n v="5080"/>
    <m/>
  </r>
  <r>
    <n v="165"/>
    <n v="49199160"/>
    <d v="2023-11-25T00:00:00"/>
    <n v="54122"/>
    <x v="151"/>
    <x v="10"/>
    <x v="143"/>
    <n v="35800"/>
    <n v="16468"/>
    <n v="3222"/>
    <m/>
    <m/>
    <m/>
    <m/>
    <m/>
    <n v="55490"/>
    <n v="5000"/>
    <m/>
    <m/>
    <m/>
    <m/>
    <m/>
    <m/>
    <n v="2100"/>
    <n v="658"/>
    <n v="2000"/>
    <n v="9758"/>
    <n v="45732"/>
    <m/>
  </r>
  <r>
    <n v="166"/>
    <n v="49721966"/>
    <d v="2023-12-23T00:00:00"/>
    <n v="61348"/>
    <x v="152"/>
    <x v="10"/>
    <x v="144"/>
    <n v="35800"/>
    <n v="16468"/>
    <n v="3222"/>
    <m/>
    <m/>
    <m/>
    <m/>
    <m/>
    <n v="55490"/>
    <n v="5000"/>
    <m/>
    <m/>
    <m/>
    <m/>
    <m/>
    <m/>
    <n v="2100"/>
    <n v="658"/>
    <n v="2000"/>
    <n v="9758"/>
    <n v="45732"/>
    <m/>
  </r>
  <r>
    <n v="167"/>
    <n v="50288389"/>
    <d v="2024-01-26T00:00:00"/>
    <n v="70303"/>
    <x v="153"/>
    <x v="10"/>
    <x v="145"/>
    <n v="35800"/>
    <n v="16468"/>
    <n v="3222"/>
    <m/>
    <m/>
    <m/>
    <m/>
    <m/>
    <n v="55490"/>
    <n v="5000"/>
    <m/>
    <m/>
    <m/>
    <m/>
    <m/>
    <m/>
    <n v="2100"/>
    <n v="658"/>
    <n v="2000"/>
    <n v="9758"/>
    <n v="45732"/>
    <m/>
  </r>
  <r>
    <n v="168"/>
    <n v="50080221"/>
    <d v="2024-01-16T00:00:00"/>
    <n v="67485"/>
    <x v="154"/>
    <x v="10"/>
    <x v="146"/>
    <m/>
    <n v="5728"/>
    <m/>
    <m/>
    <m/>
    <m/>
    <m/>
    <m/>
    <n v="5728"/>
    <m/>
    <m/>
    <m/>
    <m/>
    <m/>
    <m/>
    <m/>
    <n v="5728"/>
    <m/>
    <m/>
    <n v="5728"/>
    <n v="0"/>
    <m/>
  </r>
  <r>
    <n v="169"/>
    <n v="500253174"/>
    <d v="2024-02-27T00:00:00"/>
    <n v="77719"/>
    <x v="155"/>
    <x v="10"/>
    <x v="147"/>
    <n v="35800"/>
    <n v="16468"/>
    <n v="3222"/>
    <m/>
    <m/>
    <m/>
    <m/>
    <m/>
    <n v="55490"/>
    <n v="5000"/>
    <m/>
    <m/>
    <m/>
    <m/>
    <m/>
    <m/>
    <n v="2100"/>
    <n v="658"/>
    <n v="2000"/>
    <n v="9758"/>
    <n v="45732"/>
    <m/>
  </r>
  <r>
    <n v="170"/>
    <n v="500441461"/>
    <d v="2024-03-28T00:00:00"/>
    <n v="859"/>
    <x v="156"/>
    <x v="11"/>
    <x v="148"/>
    <n v="35800"/>
    <n v="17900"/>
    <n v="3222"/>
    <m/>
    <m/>
    <m/>
    <m/>
    <m/>
    <n v="56922"/>
    <n v="5000"/>
    <m/>
    <m/>
    <m/>
    <m/>
    <m/>
    <m/>
    <n v="2100"/>
    <n v="658"/>
    <m/>
    <n v="7758"/>
    <n v="49164"/>
    <m/>
  </r>
  <r>
    <n v="171"/>
    <n v="500732006"/>
    <d v="2024-05-06T00:00:00"/>
    <n v="8364"/>
    <x v="157"/>
    <x v="11"/>
    <x v="149"/>
    <n v="35800"/>
    <n v="17900"/>
    <n v="3222"/>
    <m/>
    <m/>
    <m/>
    <m/>
    <m/>
    <n v="56922"/>
    <n v="5000"/>
    <m/>
    <m/>
    <n v="2100"/>
    <m/>
    <m/>
    <m/>
    <n v="2100"/>
    <n v="658"/>
    <n v="2500"/>
    <n v="12358"/>
    <n v="44564"/>
    <m/>
  </r>
  <r>
    <n v="172"/>
    <n v="500935824"/>
    <d v="2024-05-28T00:00:00"/>
    <n v="12316"/>
    <x v="158"/>
    <x v="11"/>
    <x v="150"/>
    <m/>
    <n v="2864"/>
    <m/>
    <m/>
    <m/>
    <m/>
    <m/>
    <m/>
    <n v="2864"/>
    <m/>
    <m/>
    <m/>
    <m/>
    <m/>
    <m/>
    <m/>
    <n v="2864"/>
    <m/>
    <m/>
    <n v="2864"/>
    <n v="0"/>
    <m/>
  </r>
  <r>
    <n v="173"/>
    <n v="500943161"/>
    <d v="2024-05-29T00:00:00"/>
    <n v="13029"/>
    <x v="159"/>
    <x v="11"/>
    <x v="151"/>
    <n v="35800"/>
    <n v="17900"/>
    <n v="3222"/>
    <m/>
    <m/>
    <m/>
    <m/>
    <m/>
    <n v="56922"/>
    <n v="5000"/>
    <m/>
    <m/>
    <m/>
    <m/>
    <m/>
    <m/>
    <n v="2100"/>
    <n v="658"/>
    <n v="2500"/>
    <n v="10258"/>
    <n v="46664"/>
    <m/>
  </r>
  <r>
    <n v="174"/>
    <n v="501141373"/>
    <d v="2024-06-27T00:00:00"/>
    <n v="19255"/>
    <x v="160"/>
    <x v="11"/>
    <x v="152"/>
    <n v="35800"/>
    <n v="17900"/>
    <n v="3222"/>
    <m/>
    <m/>
    <m/>
    <m/>
    <m/>
    <n v="56922"/>
    <n v="5000"/>
    <m/>
    <m/>
    <m/>
    <m/>
    <m/>
    <m/>
    <n v="2100"/>
    <n v="658"/>
    <n v="2500"/>
    <n v="10258"/>
    <n v="46664"/>
    <m/>
  </r>
  <r>
    <n v="175"/>
    <n v="501387157"/>
    <d v="2024-07-30T00:00:00"/>
    <n v="25295"/>
    <x v="161"/>
    <x v="11"/>
    <x v="153"/>
    <n v="36900"/>
    <n v="18450"/>
    <n v="3321"/>
    <m/>
    <m/>
    <m/>
    <m/>
    <m/>
    <n v="58671"/>
    <n v="5000"/>
    <m/>
    <m/>
    <m/>
    <m/>
    <m/>
    <m/>
    <n v="2100"/>
    <n v="658"/>
    <n v="2500"/>
    <n v="10258"/>
    <n v="48413"/>
    <m/>
  </r>
  <r>
    <n v="176"/>
    <n v="501602639"/>
    <d v="2024-08-23T00:00:00"/>
    <n v="31671"/>
    <x v="162"/>
    <x v="11"/>
    <x v="154"/>
    <n v="36900"/>
    <n v="18450"/>
    <n v="3321"/>
    <m/>
    <m/>
    <m/>
    <m/>
    <m/>
    <n v="58671"/>
    <n v="5000"/>
    <m/>
    <m/>
    <m/>
    <m/>
    <m/>
    <m/>
    <n v="2100"/>
    <n v="658"/>
    <n v="2500"/>
    <n v="10258"/>
    <n v="48413"/>
    <m/>
  </r>
  <r>
    <n v="177"/>
    <n v="501860136"/>
    <d v="2024-09-26T00:00:00"/>
    <n v="37968"/>
    <x v="163"/>
    <x v="11"/>
    <x v="155"/>
    <n v="36900"/>
    <n v="18450"/>
    <n v="3321"/>
    <m/>
    <m/>
    <m/>
    <m/>
    <m/>
    <n v="58671"/>
    <n v="5000"/>
    <m/>
    <m/>
    <m/>
    <m/>
    <m/>
    <m/>
    <n v="2100"/>
    <n v="658"/>
    <n v="2500"/>
    <n v="10258"/>
    <n v="48413"/>
    <m/>
  </r>
  <r>
    <n v="178"/>
    <n v="502140454"/>
    <d v="2024-10-23T00:00:00"/>
    <n v="49705"/>
    <x v="164"/>
    <x v="11"/>
    <x v="156"/>
    <n v="36900"/>
    <n v="18450"/>
    <n v="3321"/>
    <m/>
    <m/>
    <m/>
    <m/>
    <m/>
    <n v="58671"/>
    <n v="5000"/>
    <m/>
    <m/>
    <m/>
    <m/>
    <m/>
    <m/>
    <n v="2100"/>
    <n v="658"/>
    <n v="2500"/>
    <n v="10258"/>
    <n v="48413"/>
    <m/>
  </r>
  <r>
    <n v="179"/>
    <n v="502179884"/>
    <d v="2024-10-23T00:00:00"/>
    <n v="44955"/>
    <x v="165"/>
    <x v="11"/>
    <x v="45"/>
    <m/>
    <m/>
    <m/>
    <m/>
    <n v="6774"/>
    <m/>
    <m/>
    <m/>
    <n v="6774"/>
    <m/>
    <m/>
    <m/>
    <m/>
    <m/>
    <m/>
    <m/>
    <n v="1694"/>
    <m/>
    <m/>
    <n v="1694"/>
    <n v="5080"/>
    <m/>
  </r>
  <r>
    <n v="180"/>
    <n v="502532171"/>
    <d v="2024-11-26T00:00:00"/>
    <n v="54666"/>
    <x v="166"/>
    <x v="11"/>
    <x v="157"/>
    <m/>
    <n v="4428"/>
    <m/>
    <m/>
    <m/>
    <m/>
    <m/>
    <m/>
    <n v="4428"/>
    <m/>
    <m/>
    <m/>
    <m/>
    <m/>
    <m/>
    <m/>
    <n v="4428"/>
    <m/>
    <m/>
    <n v="4428"/>
    <n v="0"/>
    <m/>
  </r>
  <r>
    <n v="181"/>
    <n v="502535967"/>
    <d v="2024-11-27T00:00:00"/>
    <n v="57448"/>
    <x v="167"/>
    <x v="11"/>
    <x v="158"/>
    <n v="36900"/>
    <n v="19557"/>
    <n v="3690"/>
    <m/>
    <m/>
    <m/>
    <m/>
    <m/>
    <n v="60147"/>
    <n v="5000"/>
    <m/>
    <m/>
    <m/>
    <m/>
    <m/>
    <m/>
    <n v="2100"/>
    <n v="658"/>
    <n v="2500"/>
    <n v="10258"/>
    <n v="49889"/>
    <m/>
  </r>
  <r>
    <n v="182"/>
    <n v="502837951"/>
    <d v="2024-12-27T00:00:00"/>
    <n v="63222"/>
    <x v="168"/>
    <x v="11"/>
    <x v="159"/>
    <n v="36900"/>
    <n v="19557"/>
    <n v="3690"/>
    <m/>
    <m/>
    <m/>
    <m/>
    <m/>
    <n v="60147"/>
    <n v="5000"/>
    <m/>
    <m/>
    <m/>
    <m/>
    <m/>
    <m/>
    <n v="2100"/>
    <n v="658"/>
    <n v="2500"/>
    <n v="10258"/>
    <n v="49889"/>
    <m/>
  </r>
  <r>
    <n v="183"/>
    <n v="503130202"/>
    <d v="2025-02-03T00:00:00"/>
    <n v="72172"/>
    <x v="169"/>
    <x v="11"/>
    <x v="160"/>
    <n v="36900"/>
    <n v="19557"/>
    <n v="3690"/>
    <m/>
    <m/>
    <m/>
    <m/>
    <m/>
    <n v="60147"/>
    <n v="5000"/>
    <m/>
    <m/>
    <m/>
    <m/>
    <m/>
    <m/>
    <n v="2100"/>
    <n v="658"/>
    <n v="2500"/>
    <n v="10258"/>
    <n v="49889"/>
    <m/>
  </r>
  <r>
    <n v="184"/>
    <n v="503359800"/>
    <d v="2025-02-27T00:00:00"/>
    <n v="77782"/>
    <x v="170"/>
    <x v="11"/>
    <x v="161"/>
    <n v="36900"/>
    <n v="19557"/>
    <n v="3690"/>
    <m/>
    <m/>
    <m/>
    <m/>
    <m/>
    <n v="60147"/>
    <n v="5000"/>
    <m/>
    <m/>
    <m/>
    <m/>
    <m/>
    <m/>
    <n v="2100"/>
    <n v="658"/>
    <n v="2500"/>
    <n v="10258"/>
    <n v="49889"/>
    <m/>
  </r>
  <r>
    <n v="185"/>
    <n v="503690660"/>
    <d v="2025-04-01T00:00:00"/>
    <n v="49331"/>
    <x v="171"/>
    <x v="12"/>
    <x v="162"/>
    <n v="36900"/>
    <n v="19557"/>
    <n v="3690"/>
    <m/>
    <m/>
    <m/>
    <m/>
    <m/>
    <n v="60147"/>
    <n v="5000"/>
    <m/>
    <m/>
    <m/>
    <m/>
    <m/>
    <m/>
    <n v="2100"/>
    <n v="658"/>
    <m/>
    <n v="7758"/>
    <n v="52389"/>
    <m/>
  </r>
  <r>
    <n v="186"/>
    <n v="504010976"/>
    <d v="2025-04-25T00:00:00"/>
    <n v="339072"/>
    <x v="172"/>
    <x v="12"/>
    <x v="163"/>
    <m/>
    <n v="2214"/>
    <m/>
    <m/>
    <m/>
    <m/>
    <m/>
    <m/>
    <n v="2214"/>
    <m/>
    <m/>
    <m/>
    <m/>
    <m/>
    <m/>
    <m/>
    <n v="2214"/>
    <m/>
    <m/>
    <n v="2214"/>
    <n v="0"/>
    <m/>
  </r>
  <r>
    <n v="187"/>
    <n v="504041112"/>
    <d v="2025-04-28T00:00:00"/>
    <n v="432978"/>
    <x v="173"/>
    <x v="12"/>
    <x v="164"/>
    <n v="36900"/>
    <n v="20295"/>
    <n v="3690"/>
    <m/>
    <m/>
    <m/>
    <m/>
    <m/>
    <n v="60885"/>
    <n v="5000"/>
    <m/>
    <m/>
    <n v="2100"/>
    <m/>
    <m/>
    <m/>
    <n v="2100"/>
    <n v="658"/>
    <m/>
    <n v="9858"/>
    <n v="51027"/>
    <m/>
  </r>
  <r>
    <n v="188"/>
    <n v="504091892"/>
    <d v="2025-05-02T00:00:00"/>
    <n v="609942"/>
    <x v="174"/>
    <x v="12"/>
    <x v="47"/>
    <n v="18450"/>
    <n v="10148"/>
    <m/>
    <m/>
    <m/>
    <m/>
    <m/>
    <m/>
    <n v="28598"/>
    <m/>
    <m/>
    <m/>
    <m/>
    <m/>
    <m/>
    <m/>
    <m/>
    <m/>
    <m/>
    <n v="0"/>
    <n v="28598"/>
    <m/>
  </r>
  <r>
    <n v="189"/>
    <m/>
    <m/>
    <n v="621685"/>
    <x v="174"/>
    <x v="12"/>
    <x v="165"/>
    <m/>
    <m/>
    <m/>
    <m/>
    <m/>
    <m/>
    <n v="434500"/>
    <m/>
    <n v="434500"/>
    <m/>
    <m/>
    <m/>
    <m/>
    <m/>
    <m/>
    <m/>
    <m/>
    <m/>
    <m/>
    <n v="0"/>
    <n v="434500"/>
    <s v="SI Loan_x000a_TV no and TV date SI Details se li hai"/>
  </r>
  <r>
    <n v="190"/>
    <n v="504355271"/>
    <d v="2025-05-30T00:00:00"/>
    <n v="876297"/>
    <x v="175"/>
    <x v="12"/>
    <x v="166"/>
    <n v="36900"/>
    <n v="20295"/>
    <n v="3690"/>
    <m/>
    <m/>
    <m/>
    <m/>
    <m/>
    <n v="60885"/>
    <n v="5000"/>
    <m/>
    <m/>
    <m/>
    <m/>
    <m/>
    <m/>
    <n v="2100"/>
    <n v="658"/>
    <m/>
    <n v="7758"/>
    <n v="53127"/>
    <m/>
  </r>
  <r>
    <n v="191"/>
    <n v="5045755347"/>
    <d v="2025-06-26T00:00:00"/>
    <n v="1272439"/>
    <x v="176"/>
    <x v="12"/>
    <x v="167"/>
    <n v="36900"/>
    <n v="20295"/>
    <n v="3690"/>
    <m/>
    <m/>
    <m/>
    <m/>
    <m/>
    <n v="60885"/>
    <n v="5000"/>
    <n v="7242"/>
    <m/>
    <m/>
    <m/>
    <m/>
    <m/>
    <n v="2100"/>
    <n v="658"/>
    <m/>
    <n v="15000"/>
    <n v="45885"/>
    <m/>
  </r>
  <r>
    <n v="192"/>
    <n v="504886347"/>
    <d v="2025-07-29T00:00:00"/>
    <n v="1714317"/>
    <x v="177"/>
    <x v="12"/>
    <x v="168"/>
    <n v="38000"/>
    <n v="20900"/>
    <n v="3800"/>
    <m/>
    <m/>
    <m/>
    <m/>
    <m/>
    <n v="62700"/>
    <n v="5000"/>
    <n v="7242"/>
    <m/>
    <m/>
    <m/>
    <m/>
    <m/>
    <n v="2100"/>
    <n v="658"/>
    <m/>
    <n v="15000"/>
    <n v="47700"/>
    <m/>
  </r>
  <r>
    <n v="193"/>
    <n v="505211967"/>
    <d v="2025-08-27T00:00:00"/>
    <n v="2098977"/>
    <x v="178"/>
    <x v="12"/>
    <x v="169"/>
    <n v="6129"/>
    <n v="3371"/>
    <n v="613"/>
    <m/>
    <m/>
    <m/>
    <m/>
    <m/>
    <n v="10113"/>
    <m/>
    <m/>
    <m/>
    <m/>
    <m/>
    <m/>
    <m/>
    <m/>
    <m/>
    <m/>
    <n v="0"/>
    <n v="10113"/>
    <s v="From 01 to 05 Aug Tibbi salary from jaipur"/>
  </r>
  <r>
    <n v="194"/>
    <n v="505247296"/>
    <d v="2025-09-01T00:00:00"/>
    <n v="2127637"/>
    <x v="179"/>
    <x v="12"/>
    <x v="169"/>
    <n v="31871"/>
    <n v="17529"/>
    <n v="6374"/>
    <m/>
    <m/>
    <m/>
    <m/>
    <n v="839"/>
    <n v="56613"/>
    <n v="5000"/>
    <n v="7242"/>
    <m/>
    <m/>
    <m/>
    <m/>
    <m/>
    <n v="2100"/>
    <n v="658"/>
    <m/>
    <n v="15000"/>
    <n v="41613"/>
    <s v="From 06 to 31 Aug Jaipur salary from jaipur"/>
  </r>
  <r>
    <n v="195"/>
    <n v="505520412"/>
    <d v="2025-09-26T00:00:00"/>
    <n v="2401620"/>
    <x v="180"/>
    <x v="12"/>
    <x v="170"/>
    <n v="38000"/>
    <n v="20900"/>
    <n v="7600"/>
    <m/>
    <m/>
    <m/>
    <m/>
    <n v="1000"/>
    <n v="67500"/>
    <n v="5000"/>
    <n v="7242"/>
    <m/>
    <m/>
    <m/>
    <m/>
    <m/>
    <n v="2100"/>
    <n v="658"/>
    <m/>
    <n v="15000"/>
    <n v="52500"/>
    <m/>
  </r>
  <r>
    <n v="196"/>
    <n v="505819111"/>
    <d v="2025-10-17T00:00:00"/>
    <n v="2845269"/>
    <x v="181"/>
    <x v="12"/>
    <x v="45"/>
    <m/>
    <m/>
    <m/>
    <m/>
    <n v="6774"/>
    <m/>
    <m/>
    <m/>
    <n v="6774"/>
    <m/>
    <m/>
    <m/>
    <m/>
    <m/>
    <m/>
    <m/>
    <n v="1694"/>
    <m/>
    <m/>
    <n v="1694"/>
    <n v="5080"/>
    <m/>
  </r>
  <r>
    <n v="197"/>
    <n v="506009820"/>
    <d v="2025-10-27T00:00:00"/>
    <n v="3111361"/>
    <x v="182"/>
    <x v="12"/>
    <x v="171"/>
    <n v="38000"/>
    <n v="22040"/>
    <n v="7600"/>
    <m/>
    <m/>
    <m/>
    <m/>
    <n v="1000"/>
    <n v="68640"/>
    <n v="5000"/>
    <n v="7242"/>
    <m/>
    <m/>
    <m/>
    <m/>
    <m/>
    <n v="2100"/>
    <n v="658"/>
    <m/>
    <n v="15000"/>
    <n v="53640"/>
    <m/>
  </r>
  <r>
    <n v="198"/>
    <n v="506428847"/>
    <d v="2025-11-27T00:00:00"/>
    <n v="3572197"/>
    <x v="183"/>
    <x v="12"/>
    <x v="172"/>
    <n v="38000"/>
    <n v="22040"/>
    <n v="7600"/>
    <m/>
    <m/>
    <m/>
    <m/>
    <n v="1000"/>
    <n v="68640"/>
    <n v="5000"/>
    <n v="7242"/>
    <m/>
    <m/>
    <m/>
    <m/>
    <m/>
    <n v="2100"/>
    <n v="658"/>
    <m/>
    <n v="15000"/>
    <n v="53640"/>
    <m/>
  </r>
  <r>
    <n v="199"/>
    <n v="505837064"/>
    <d v="2025-10-21T00:00:00"/>
    <n v="3138059"/>
    <x v="184"/>
    <x v="12"/>
    <x v="173"/>
    <m/>
    <n v="3420"/>
    <m/>
    <m/>
    <m/>
    <m/>
    <m/>
    <m/>
    <n v="3420"/>
    <m/>
    <m/>
    <m/>
    <m/>
    <m/>
    <m/>
    <m/>
    <n v="3420"/>
    <m/>
    <m/>
    <n v="3420"/>
    <n v="0"/>
    <m/>
  </r>
  <r>
    <n v="200"/>
    <n v="506767167"/>
    <d v="2025-12-23T00:00:00"/>
    <n v="3925524"/>
    <x v="185"/>
    <x v="12"/>
    <x v="174"/>
    <n v="38000"/>
    <n v="22040"/>
    <n v="7600"/>
    <m/>
    <m/>
    <m/>
    <m/>
    <n v="1000"/>
    <n v="68640"/>
    <n v="5000"/>
    <n v="7242"/>
    <m/>
    <m/>
    <m/>
    <m/>
    <m/>
    <n v="2100"/>
    <n v="658"/>
    <m/>
    <n v="15000"/>
    <n v="53640"/>
    <m/>
  </r>
  <r>
    <n v="201"/>
    <n v="507234109"/>
    <d v="2026-01-29T00:00:00"/>
    <n v="4385715"/>
    <x v="186"/>
    <x v="12"/>
    <x v="175"/>
    <n v="38000"/>
    <n v="22040"/>
    <n v="7600"/>
    <m/>
    <m/>
    <m/>
    <m/>
    <n v="1000"/>
    <n v="68640"/>
    <n v="5000"/>
    <n v="7242"/>
    <m/>
    <m/>
    <m/>
    <m/>
    <m/>
    <n v="2100"/>
    <n v="658"/>
    <m/>
    <n v="15000"/>
    <n v="53640"/>
    <m/>
  </r>
  <r>
    <n v="202"/>
    <n v="507641976"/>
    <d v="2026-02-26T00:00:00"/>
    <n v="4840915"/>
    <x v="187"/>
    <x v="12"/>
    <x v="176"/>
    <n v="38000"/>
    <n v="22040"/>
    <n v="7600"/>
    <m/>
    <m/>
    <m/>
    <m/>
    <n v="1000"/>
    <n v="68640"/>
    <n v="5000"/>
    <n v="7242"/>
    <m/>
    <m/>
    <m/>
    <m/>
    <m/>
    <n v="2100"/>
    <n v="658"/>
    <m/>
    <n v="15000"/>
    <n v="53640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5">
  <r>
    <m/>
    <m/>
    <m/>
    <m/>
    <m/>
    <x v="0"/>
    <x v="0"/>
    <s v="Apr-12"/>
    <m/>
    <m/>
    <m/>
    <m/>
    <m/>
    <n v="0"/>
    <n v="0"/>
    <x v="0"/>
    <n v="0"/>
    <m/>
  </r>
  <r>
    <m/>
    <m/>
    <m/>
    <m/>
    <m/>
    <x v="1"/>
    <x v="0"/>
    <s v="May-12"/>
    <m/>
    <m/>
    <m/>
    <m/>
    <m/>
    <n v="0"/>
    <n v="0"/>
    <x v="0"/>
    <n v="0"/>
    <m/>
  </r>
  <r>
    <m/>
    <m/>
    <m/>
    <m/>
    <m/>
    <x v="2"/>
    <x v="0"/>
    <s v="Jun-12"/>
    <m/>
    <m/>
    <m/>
    <m/>
    <m/>
    <n v="0"/>
    <n v="0"/>
    <x v="0"/>
    <n v="0"/>
    <m/>
  </r>
  <r>
    <m/>
    <m/>
    <m/>
    <m/>
    <m/>
    <x v="3"/>
    <x v="0"/>
    <s v="Jul-12"/>
    <m/>
    <m/>
    <m/>
    <m/>
    <m/>
    <n v="0"/>
    <n v="0"/>
    <x v="0"/>
    <n v="0"/>
    <m/>
  </r>
  <r>
    <m/>
    <m/>
    <m/>
    <m/>
    <m/>
    <x v="4"/>
    <x v="0"/>
    <s v="Aug-12"/>
    <m/>
    <m/>
    <m/>
    <m/>
    <m/>
    <n v="0"/>
    <n v="0"/>
    <x v="0"/>
    <n v="0"/>
    <m/>
  </r>
  <r>
    <m/>
    <m/>
    <m/>
    <m/>
    <m/>
    <x v="5"/>
    <x v="0"/>
    <s v="Sep-12"/>
    <m/>
    <m/>
    <m/>
    <m/>
    <m/>
    <n v="0"/>
    <n v="0"/>
    <x v="0"/>
    <n v="0"/>
    <m/>
  </r>
  <r>
    <m/>
    <m/>
    <m/>
    <m/>
    <m/>
    <x v="6"/>
    <x v="0"/>
    <s v="Oct-12"/>
    <m/>
    <m/>
    <m/>
    <m/>
    <m/>
    <n v="0"/>
    <n v="0"/>
    <x v="0"/>
    <n v="0"/>
    <m/>
  </r>
  <r>
    <m/>
    <m/>
    <m/>
    <m/>
    <m/>
    <x v="7"/>
    <x v="0"/>
    <s v="Nov-12"/>
    <m/>
    <m/>
    <m/>
    <m/>
    <m/>
    <n v="0"/>
    <n v="0"/>
    <x v="0"/>
    <n v="0"/>
    <m/>
  </r>
  <r>
    <m/>
    <m/>
    <m/>
    <m/>
    <m/>
    <x v="8"/>
    <x v="0"/>
    <s v="Dec-12"/>
    <m/>
    <m/>
    <m/>
    <m/>
    <m/>
    <n v="0"/>
    <n v="0"/>
    <x v="0"/>
    <n v="0"/>
    <m/>
  </r>
  <r>
    <m/>
    <m/>
    <m/>
    <m/>
    <m/>
    <x v="9"/>
    <x v="0"/>
    <s v="Jan-13"/>
    <m/>
    <m/>
    <m/>
    <m/>
    <m/>
    <n v="0"/>
    <n v="0"/>
    <x v="0"/>
    <n v="0"/>
    <m/>
  </r>
  <r>
    <m/>
    <m/>
    <m/>
    <m/>
    <m/>
    <x v="10"/>
    <x v="0"/>
    <s v="Feb-13"/>
    <m/>
    <m/>
    <m/>
    <m/>
    <m/>
    <n v="0"/>
    <n v="0"/>
    <x v="0"/>
    <n v="0"/>
    <m/>
  </r>
  <r>
    <m/>
    <m/>
    <m/>
    <m/>
    <m/>
    <x v="11"/>
    <x v="0"/>
    <s v="Mar-13"/>
    <m/>
    <m/>
    <m/>
    <m/>
    <m/>
    <n v="0"/>
    <n v="0"/>
    <x v="0"/>
    <n v="0"/>
    <m/>
  </r>
  <r>
    <m/>
    <m/>
    <m/>
    <m/>
    <m/>
    <x v="12"/>
    <x v="0"/>
    <m/>
    <n v="0"/>
    <n v="0"/>
    <n v="0"/>
    <n v="0"/>
    <n v="0"/>
    <n v="0"/>
    <n v="0"/>
    <x v="1"/>
    <n v="0"/>
    <m/>
  </r>
  <r>
    <m/>
    <m/>
    <m/>
    <m/>
    <m/>
    <x v="0"/>
    <x v="1"/>
    <s v="Apr-13"/>
    <m/>
    <m/>
    <m/>
    <m/>
    <m/>
    <n v="0"/>
    <n v="0"/>
    <x v="2"/>
    <n v="0"/>
    <m/>
  </r>
  <r>
    <m/>
    <m/>
    <m/>
    <m/>
    <m/>
    <x v="1"/>
    <x v="1"/>
    <s v="May-13"/>
    <m/>
    <m/>
    <m/>
    <m/>
    <m/>
    <n v="0"/>
    <n v="0"/>
    <x v="2"/>
    <n v="0"/>
    <m/>
  </r>
  <r>
    <m/>
    <m/>
    <m/>
    <m/>
    <m/>
    <x v="2"/>
    <x v="1"/>
    <s v="Jun-13"/>
    <m/>
    <m/>
    <m/>
    <m/>
    <m/>
    <n v="0"/>
    <n v="0"/>
    <x v="2"/>
    <n v="0"/>
    <m/>
  </r>
  <r>
    <m/>
    <m/>
    <m/>
    <m/>
    <m/>
    <x v="3"/>
    <x v="1"/>
    <s v="Jul-13"/>
    <m/>
    <m/>
    <m/>
    <m/>
    <m/>
    <n v="0"/>
    <n v="0"/>
    <x v="2"/>
    <n v="0"/>
    <m/>
  </r>
  <r>
    <m/>
    <m/>
    <m/>
    <m/>
    <m/>
    <x v="4"/>
    <x v="1"/>
    <s v="Aug-13"/>
    <m/>
    <m/>
    <m/>
    <m/>
    <m/>
    <n v="0"/>
    <n v="0"/>
    <x v="2"/>
    <n v="0"/>
    <m/>
  </r>
  <r>
    <m/>
    <m/>
    <m/>
    <m/>
    <m/>
    <x v="5"/>
    <x v="1"/>
    <s v="Sep-13"/>
    <m/>
    <m/>
    <m/>
    <m/>
    <m/>
    <n v="0"/>
    <n v="0"/>
    <x v="2"/>
    <n v="0"/>
    <m/>
  </r>
  <r>
    <m/>
    <m/>
    <m/>
    <m/>
    <m/>
    <x v="6"/>
    <x v="1"/>
    <s v="Oct-13"/>
    <m/>
    <m/>
    <m/>
    <m/>
    <m/>
    <n v="0"/>
    <n v="0"/>
    <x v="2"/>
    <n v="0"/>
    <m/>
  </r>
  <r>
    <m/>
    <m/>
    <m/>
    <m/>
    <m/>
    <x v="7"/>
    <x v="1"/>
    <s v="Nov-13"/>
    <m/>
    <m/>
    <m/>
    <m/>
    <m/>
    <n v="0"/>
    <n v="0"/>
    <x v="2"/>
    <n v="0"/>
    <m/>
  </r>
  <r>
    <m/>
    <m/>
    <m/>
    <m/>
    <m/>
    <x v="8"/>
    <x v="1"/>
    <s v="Dec-13"/>
    <m/>
    <m/>
    <m/>
    <m/>
    <m/>
    <n v="0"/>
    <n v="0"/>
    <x v="2"/>
    <n v="0"/>
    <m/>
  </r>
  <r>
    <m/>
    <m/>
    <m/>
    <m/>
    <m/>
    <x v="9"/>
    <x v="1"/>
    <s v="Jan-14"/>
    <m/>
    <m/>
    <m/>
    <m/>
    <m/>
    <n v="0"/>
    <n v="0"/>
    <x v="2"/>
    <n v="0"/>
    <m/>
  </r>
  <r>
    <m/>
    <m/>
    <m/>
    <m/>
    <m/>
    <x v="10"/>
    <x v="1"/>
    <s v="Feb-14"/>
    <m/>
    <m/>
    <m/>
    <m/>
    <m/>
    <n v="0"/>
    <n v="0"/>
    <x v="2"/>
    <n v="0"/>
    <m/>
  </r>
  <r>
    <m/>
    <m/>
    <m/>
    <m/>
    <m/>
    <x v="11"/>
    <x v="1"/>
    <s v="Mar-14"/>
    <m/>
    <m/>
    <m/>
    <m/>
    <m/>
    <n v="0"/>
    <n v="0"/>
    <x v="2"/>
    <n v="0"/>
    <m/>
  </r>
  <r>
    <m/>
    <m/>
    <m/>
    <m/>
    <m/>
    <x v="12"/>
    <x v="1"/>
    <m/>
    <n v="0"/>
    <n v="0"/>
    <n v="0"/>
    <n v="0"/>
    <n v="0"/>
    <n v="0"/>
    <n v="0"/>
    <x v="1"/>
    <n v="0"/>
    <m/>
  </r>
  <r>
    <m/>
    <m/>
    <m/>
    <m/>
    <m/>
    <x v="0"/>
    <x v="2"/>
    <s v="Apr-14"/>
    <m/>
    <m/>
    <m/>
    <m/>
    <m/>
    <n v="0"/>
    <n v="0"/>
    <x v="2"/>
    <n v="0"/>
    <m/>
  </r>
  <r>
    <m/>
    <m/>
    <m/>
    <m/>
    <m/>
    <x v="1"/>
    <x v="2"/>
    <s v="May-14"/>
    <m/>
    <m/>
    <m/>
    <m/>
    <m/>
    <n v="0"/>
    <n v="0"/>
    <x v="2"/>
    <n v="0"/>
    <m/>
  </r>
  <r>
    <m/>
    <m/>
    <m/>
    <m/>
    <m/>
    <x v="2"/>
    <x v="2"/>
    <s v="Jun-14"/>
    <m/>
    <m/>
    <m/>
    <m/>
    <m/>
    <n v="0"/>
    <n v="0"/>
    <x v="2"/>
    <n v="0"/>
    <m/>
  </r>
  <r>
    <m/>
    <m/>
    <m/>
    <m/>
    <m/>
    <x v="3"/>
    <x v="2"/>
    <s v="Jul-14"/>
    <m/>
    <m/>
    <m/>
    <m/>
    <m/>
    <n v="0"/>
    <n v="0"/>
    <x v="2"/>
    <n v="0"/>
    <m/>
  </r>
  <r>
    <m/>
    <m/>
    <m/>
    <m/>
    <m/>
    <x v="4"/>
    <x v="2"/>
    <s v="Aug-14"/>
    <m/>
    <m/>
    <m/>
    <m/>
    <m/>
    <n v="0"/>
    <n v="0"/>
    <x v="2"/>
    <n v="0"/>
    <m/>
  </r>
  <r>
    <m/>
    <m/>
    <m/>
    <m/>
    <m/>
    <x v="5"/>
    <x v="2"/>
    <s v="Sep-14"/>
    <m/>
    <m/>
    <m/>
    <m/>
    <m/>
    <n v="0"/>
    <n v="0"/>
    <x v="2"/>
    <n v="0"/>
    <m/>
  </r>
  <r>
    <m/>
    <m/>
    <m/>
    <m/>
    <m/>
    <x v="6"/>
    <x v="2"/>
    <s v="Oct-14"/>
    <m/>
    <m/>
    <m/>
    <m/>
    <m/>
    <n v="0"/>
    <n v="0"/>
    <x v="2"/>
    <n v="0"/>
    <m/>
  </r>
  <r>
    <m/>
    <m/>
    <m/>
    <m/>
    <m/>
    <x v="7"/>
    <x v="2"/>
    <s v="Nov-14"/>
    <m/>
    <m/>
    <m/>
    <m/>
    <m/>
    <n v="0"/>
    <n v="0"/>
    <x v="2"/>
    <n v="0"/>
    <m/>
  </r>
  <r>
    <m/>
    <m/>
    <m/>
    <m/>
    <m/>
    <x v="8"/>
    <x v="2"/>
    <s v="Dec-14"/>
    <m/>
    <m/>
    <m/>
    <m/>
    <m/>
    <n v="0"/>
    <n v="0"/>
    <x v="2"/>
    <n v="0"/>
    <m/>
  </r>
  <r>
    <m/>
    <m/>
    <m/>
    <m/>
    <m/>
    <x v="9"/>
    <x v="2"/>
    <s v="Jan-15"/>
    <m/>
    <m/>
    <m/>
    <m/>
    <m/>
    <n v="0"/>
    <n v="0"/>
    <x v="2"/>
    <n v="0"/>
    <m/>
  </r>
  <r>
    <m/>
    <m/>
    <m/>
    <m/>
    <m/>
    <x v="10"/>
    <x v="2"/>
    <s v="Feb-15"/>
    <m/>
    <m/>
    <m/>
    <m/>
    <m/>
    <n v="0"/>
    <n v="0"/>
    <x v="2"/>
    <n v="0"/>
    <m/>
  </r>
  <r>
    <m/>
    <m/>
    <m/>
    <m/>
    <m/>
    <x v="11"/>
    <x v="2"/>
    <s v="Mar-15"/>
    <m/>
    <m/>
    <m/>
    <m/>
    <m/>
    <n v="0"/>
    <n v="0"/>
    <x v="2"/>
    <n v="0"/>
    <m/>
  </r>
  <r>
    <m/>
    <m/>
    <m/>
    <m/>
    <m/>
    <x v="12"/>
    <x v="2"/>
    <m/>
    <n v="0"/>
    <n v="0"/>
    <n v="0"/>
    <n v="0"/>
    <n v="0"/>
    <n v="0"/>
    <n v="0"/>
    <x v="1"/>
    <n v="0"/>
    <m/>
  </r>
  <r>
    <m/>
    <m/>
    <m/>
    <m/>
    <m/>
    <x v="0"/>
    <x v="3"/>
    <s v="Apr-15"/>
    <m/>
    <m/>
    <m/>
    <m/>
    <m/>
    <n v="0"/>
    <n v="0"/>
    <x v="2"/>
    <n v="0"/>
    <m/>
  </r>
  <r>
    <m/>
    <m/>
    <m/>
    <m/>
    <m/>
    <x v="1"/>
    <x v="3"/>
    <s v="May-15"/>
    <m/>
    <m/>
    <m/>
    <m/>
    <m/>
    <n v="0"/>
    <n v="0"/>
    <x v="2"/>
    <n v="0"/>
    <m/>
  </r>
  <r>
    <m/>
    <m/>
    <m/>
    <m/>
    <m/>
    <x v="2"/>
    <x v="3"/>
    <s v="Jun-15"/>
    <m/>
    <m/>
    <m/>
    <m/>
    <m/>
    <n v="0"/>
    <n v="0"/>
    <x v="2"/>
    <n v="0"/>
    <m/>
  </r>
  <r>
    <m/>
    <m/>
    <m/>
    <m/>
    <m/>
    <x v="3"/>
    <x v="3"/>
    <s v="Jul-15"/>
    <m/>
    <m/>
    <m/>
    <m/>
    <m/>
    <n v="0"/>
    <n v="0"/>
    <x v="2"/>
    <n v="0"/>
    <m/>
  </r>
  <r>
    <m/>
    <m/>
    <m/>
    <m/>
    <m/>
    <x v="4"/>
    <x v="3"/>
    <s v="Aug-15"/>
    <m/>
    <m/>
    <m/>
    <m/>
    <m/>
    <n v="0"/>
    <n v="0"/>
    <x v="2"/>
    <n v="0"/>
    <m/>
  </r>
  <r>
    <m/>
    <m/>
    <m/>
    <m/>
    <m/>
    <x v="5"/>
    <x v="3"/>
    <s v="Sep-15"/>
    <m/>
    <m/>
    <m/>
    <m/>
    <m/>
    <n v="0"/>
    <n v="0"/>
    <x v="2"/>
    <n v="0"/>
    <m/>
  </r>
  <r>
    <m/>
    <m/>
    <m/>
    <m/>
    <m/>
    <x v="6"/>
    <x v="3"/>
    <s v="Oct-15"/>
    <m/>
    <m/>
    <m/>
    <m/>
    <m/>
    <n v="0"/>
    <n v="0"/>
    <x v="2"/>
    <n v="0"/>
    <m/>
  </r>
  <r>
    <m/>
    <m/>
    <m/>
    <m/>
    <m/>
    <x v="7"/>
    <x v="3"/>
    <s v="Nov-15"/>
    <m/>
    <m/>
    <m/>
    <m/>
    <m/>
    <n v="0"/>
    <n v="0"/>
    <x v="2"/>
    <n v="0"/>
    <m/>
  </r>
  <r>
    <m/>
    <m/>
    <m/>
    <m/>
    <m/>
    <x v="8"/>
    <x v="3"/>
    <s v="Dec-15"/>
    <m/>
    <m/>
    <m/>
    <m/>
    <m/>
    <n v="0"/>
    <n v="0"/>
    <x v="2"/>
    <n v="0"/>
    <m/>
  </r>
  <r>
    <m/>
    <m/>
    <m/>
    <m/>
    <m/>
    <x v="9"/>
    <x v="3"/>
    <s v="Jan-16"/>
    <m/>
    <m/>
    <m/>
    <m/>
    <m/>
    <n v="0"/>
    <n v="0"/>
    <x v="2"/>
    <n v="0"/>
    <m/>
  </r>
  <r>
    <m/>
    <m/>
    <m/>
    <m/>
    <m/>
    <x v="10"/>
    <x v="3"/>
    <s v="Feb-16"/>
    <m/>
    <m/>
    <m/>
    <m/>
    <m/>
    <n v="0"/>
    <n v="0"/>
    <x v="2"/>
    <n v="0"/>
    <m/>
  </r>
  <r>
    <m/>
    <m/>
    <m/>
    <m/>
    <m/>
    <x v="11"/>
    <x v="3"/>
    <s v="Mar-16"/>
    <m/>
    <m/>
    <m/>
    <m/>
    <m/>
    <n v="0"/>
    <n v="0"/>
    <x v="2"/>
    <n v="0"/>
    <m/>
  </r>
  <r>
    <m/>
    <m/>
    <m/>
    <m/>
    <m/>
    <x v="12"/>
    <x v="3"/>
    <m/>
    <n v="0"/>
    <n v="0"/>
    <n v="0"/>
    <n v="0"/>
    <n v="0"/>
    <n v="0"/>
    <n v="0"/>
    <x v="1"/>
    <n v="0"/>
    <m/>
  </r>
  <r>
    <m/>
    <m/>
    <m/>
    <m/>
    <m/>
    <x v="0"/>
    <x v="4"/>
    <s v="Apr-16"/>
    <m/>
    <m/>
    <m/>
    <m/>
    <m/>
    <n v="0"/>
    <n v="0"/>
    <x v="3"/>
    <n v="0"/>
    <m/>
  </r>
  <r>
    <m/>
    <m/>
    <m/>
    <m/>
    <m/>
    <x v="1"/>
    <x v="4"/>
    <s v="May-16"/>
    <m/>
    <m/>
    <m/>
    <m/>
    <m/>
    <n v="0"/>
    <n v="0"/>
    <x v="3"/>
    <n v="0"/>
    <m/>
  </r>
  <r>
    <m/>
    <m/>
    <m/>
    <m/>
    <m/>
    <x v="2"/>
    <x v="4"/>
    <s v="Jun-16"/>
    <m/>
    <m/>
    <m/>
    <m/>
    <m/>
    <n v="0"/>
    <n v="0"/>
    <x v="3"/>
    <n v="0"/>
    <m/>
  </r>
  <r>
    <m/>
    <m/>
    <m/>
    <m/>
    <m/>
    <x v="3"/>
    <x v="4"/>
    <s v="Jul-16"/>
    <m/>
    <m/>
    <m/>
    <m/>
    <m/>
    <n v="0"/>
    <n v="0"/>
    <x v="3"/>
    <n v="0"/>
    <m/>
  </r>
  <r>
    <m/>
    <m/>
    <m/>
    <m/>
    <m/>
    <x v="4"/>
    <x v="4"/>
    <s v="Aug-16"/>
    <m/>
    <m/>
    <m/>
    <m/>
    <m/>
    <n v="0"/>
    <n v="0"/>
    <x v="3"/>
    <n v="0"/>
    <m/>
  </r>
  <r>
    <m/>
    <m/>
    <m/>
    <m/>
    <m/>
    <x v="5"/>
    <x v="4"/>
    <s v="Sep-16"/>
    <m/>
    <m/>
    <m/>
    <m/>
    <m/>
    <n v="0"/>
    <n v="0"/>
    <x v="3"/>
    <n v="0"/>
    <m/>
  </r>
  <r>
    <m/>
    <m/>
    <m/>
    <m/>
    <m/>
    <x v="6"/>
    <x v="4"/>
    <s v="Oct-16"/>
    <m/>
    <m/>
    <m/>
    <m/>
    <m/>
    <n v="0"/>
    <n v="0"/>
    <x v="4"/>
    <n v="0"/>
    <m/>
  </r>
  <r>
    <m/>
    <m/>
    <m/>
    <m/>
    <m/>
    <x v="7"/>
    <x v="4"/>
    <s v="Nov-16"/>
    <m/>
    <m/>
    <m/>
    <m/>
    <m/>
    <n v="0"/>
    <n v="0"/>
    <x v="4"/>
    <n v="0"/>
    <m/>
  </r>
  <r>
    <m/>
    <m/>
    <m/>
    <m/>
    <m/>
    <x v="8"/>
    <x v="4"/>
    <s v="Dec-16"/>
    <m/>
    <m/>
    <m/>
    <m/>
    <m/>
    <n v="0"/>
    <n v="0"/>
    <x v="4"/>
    <n v="0"/>
    <m/>
  </r>
  <r>
    <m/>
    <m/>
    <m/>
    <m/>
    <m/>
    <x v="9"/>
    <x v="4"/>
    <s v="Jan-17"/>
    <m/>
    <m/>
    <m/>
    <m/>
    <m/>
    <n v="0"/>
    <n v="0"/>
    <x v="4"/>
    <n v="0"/>
    <m/>
  </r>
  <r>
    <m/>
    <m/>
    <m/>
    <m/>
    <m/>
    <x v="10"/>
    <x v="4"/>
    <s v="Feb-17"/>
    <m/>
    <m/>
    <m/>
    <m/>
    <m/>
    <n v="0"/>
    <n v="0"/>
    <x v="4"/>
    <n v="0"/>
    <m/>
  </r>
  <r>
    <m/>
    <m/>
    <m/>
    <m/>
    <m/>
    <x v="11"/>
    <x v="4"/>
    <s v="Mar-17"/>
    <m/>
    <m/>
    <m/>
    <m/>
    <m/>
    <n v="0"/>
    <n v="0"/>
    <x v="4"/>
    <n v="0"/>
    <m/>
  </r>
  <r>
    <m/>
    <m/>
    <m/>
    <m/>
    <m/>
    <x v="12"/>
    <x v="4"/>
    <m/>
    <n v="0"/>
    <n v="0"/>
    <n v="0"/>
    <n v="0"/>
    <n v="0"/>
    <n v="0"/>
    <n v="0"/>
    <x v="1"/>
    <n v="0"/>
    <m/>
  </r>
  <r>
    <m/>
    <m/>
    <m/>
    <m/>
    <m/>
    <x v="0"/>
    <x v="5"/>
    <s v="Apr-17"/>
    <m/>
    <m/>
    <m/>
    <m/>
    <m/>
    <n v="0"/>
    <n v="0"/>
    <x v="5"/>
    <n v="0"/>
    <m/>
  </r>
  <r>
    <m/>
    <m/>
    <m/>
    <m/>
    <m/>
    <x v="1"/>
    <x v="5"/>
    <s v="May-17"/>
    <m/>
    <m/>
    <m/>
    <m/>
    <m/>
    <n v="0"/>
    <n v="0"/>
    <x v="5"/>
    <n v="0"/>
    <m/>
  </r>
  <r>
    <m/>
    <m/>
    <m/>
    <m/>
    <m/>
    <x v="2"/>
    <x v="5"/>
    <s v="Jun-17"/>
    <m/>
    <m/>
    <m/>
    <m/>
    <m/>
    <n v="0"/>
    <n v="0"/>
    <x v="5"/>
    <n v="0"/>
    <m/>
  </r>
  <r>
    <m/>
    <m/>
    <m/>
    <m/>
    <m/>
    <x v="3"/>
    <x v="5"/>
    <s v="Jul-17"/>
    <m/>
    <m/>
    <m/>
    <m/>
    <m/>
    <n v="0"/>
    <n v="0"/>
    <x v="6"/>
    <n v="0"/>
    <m/>
  </r>
  <r>
    <m/>
    <m/>
    <m/>
    <m/>
    <m/>
    <x v="4"/>
    <x v="5"/>
    <s v="Aug-17"/>
    <m/>
    <m/>
    <m/>
    <m/>
    <m/>
    <n v="0"/>
    <n v="0"/>
    <x v="6"/>
    <n v="0"/>
    <m/>
  </r>
  <r>
    <m/>
    <m/>
    <m/>
    <m/>
    <m/>
    <x v="5"/>
    <x v="5"/>
    <s v="Sep-17"/>
    <m/>
    <m/>
    <m/>
    <m/>
    <m/>
    <n v="0"/>
    <n v="0"/>
    <x v="6"/>
    <n v="0"/>
    <m/>
  </r>
  <r>
    <m/>
    <m/>
    <m/>
    <m/>
    <m/>
    <x v="6"/>
    <x v="5"/>
    <s v="Oct-17"/>
    <m/>
    <m/>
    <m/>
    <m/>
    <m/>
    <n v="0"/>
    <n v="0"/>
    <x v="6"/>
    <n v="0"/>
    <m/>
  </r>
  <r>
    <m/>
    <m/>
    <m/>
    <m/>
    <m/>
    <x v="7"/>
    <x v="5"/>
    <s v="Nov-17"/>
    <m/>
    <m/>
    <m/>
    <m/>
    <m/>
    <n v="0"/>
    <n v="0"/>
    <x v="6"/>
    <n v="0"/>
    <m/>
  </r>
  <r>
    <m/>
    <m/>
    <m/>
    <m/>
    <m/>
    <x v="8"/>
    <x v="5"/>
    <s v="Dec-17"/>
    <m/>
    <m/>
    <m/>
    <m/>
    <m/>
    <n v="0"/>
    <n v="0"/>
    <x v="6"/>
    <n v="0"/>
    <m/>
  </r>
  <r>
    <m/>
    <m/>
    <m/>
    <m/>
    <m/>
    <x v="9"/>
    <x v="5"/>
    <s v="Jan-18"/>
    <m/>
    <m/>
    <m/>
    <m/>
    <m/>
    <n v="0"/>
    <n v="0"/>
    <x v="7"/>
    <n v="0"/>
    <m/>
  </r>
  <r>
    <m/>
    <m/>
    <m/>
    <m/>
    <m/>
    <x v="10"/>
    <x v="5"/>
    <s v="Feb-18"/>
    <m/>
    <m/>
    <m/>
    <m/>
    <m/>
    <n v="0"/>
    <n v="0"/>
    <x v="7"/>
    <n v="0"/>
    <m/>
  </r>
  <r>
    <m/>
    <m/>
    <m/>
    <m/>
    <m/>
    <x v="11"/>
    <x v="5"/>
    <s v="Mar-18"/>
    <m/>
    <m/>
    <m/>
    <m/>
    <m/>
    <n v="0"/>
    <n v="0"/>
    <x v="7"/>
    <n v="0"/>
    <m/>
  </r>
  <r>
    <m/>
    <m/>
    <m/>
    <m/>
    <m/>
    <x v="12"/>
    <x v="5"/>
    <m/>
    <n v="0"/>
    <n v="0"/>
    <n v="0"/>
    <n v="0"/>
    <n v="0"/>
    <n v="0"/>
    <n v="0"/>
    <x v="1"/>
    <n v="0"/>
    <m/>
  </r>
  <r>
    <m/>
    <m/>
    <m/>
    <m/>
    <m/>
    <x v="0"/>
    <x v="6"/>
    <s v="Apr-18"/>
    <m/>
    <m/>
    <m/>
    <m/>
    <m/>
    <n v="0"/>
    <n v="0"/>
    <x v="7"/>
    <n v="0"/>
    <m/>
  </r>
  <r>
    <m/>
    <m/>
    <m/>
    <m/>
    <m/>
    <x v="1"/>
    <x v="6"/>
    <s v="May-18"/>
    <m/>
    <m/>
    <m/>
    <m/>
    <m/>
    <n v="0"/>
    <n v="0"/>
    <x v="7"/>
    <n v="0"/>
    <m/>
  </r>
  <r>
    <m/>
    <m/>
    <m/>
    <m/>
    <m/>
    <x v="2"/>
    <x v="6"/>
    <s v="Jun-18"/>
    <m/>
    <m/>
    <m/>
    <m/>
    <m/>
    <n v="0"/>
    <n v="0"/>
    <x v="7"/>
    <n v="0"/>
    <m/>
  </r>
  <r>
    <m/>
    <m/>
    <m/>
    <m/>
    <m/>
    <x v="3"/>
    <x v="6"/>
    <s v="Jul-18"/>
    <m/>
    <m/>
    <m/>
    <m/>
    <m/>
    <n v="0"/>
    <n v="0"/>
    <x v="7"/>
    <n v="0"/>
    <m/>
  </r>
  <r>
    <m/>
    <m/>
    <m/>
    <m/>
    <m/>
    <x v="4"/>
    <x v="6"/>
    <s v="Aug-18"/>
    <m/>
    <m/>
    <m/>
    <m/>
    <m/>
    <n v="0"/>
    <n v="0"/>
    <x v="7"/>
    <n v="0"/>
    <m/>
  </r>
  <r>
    <m/>
    <m/>
    <m/>
    <m/>
    <m/>
    <x v="5"/>
    <x v="6"/>
    <s v="Sep-18"/>
    <m/>
    <m/>
    <m/>
    <m/>
    <m/>
    <n v="0"/>
    <n v="0"/>
    <x v="7"/>
    <n v="0"/>
    <m/>
  </r>
  <r>
    <m/>
    <m/>
    <m/>
    <m/>
    <m/>
    <x v="6"/>
    <x v="6"/>
    <s v="Oct-18"/>
    <m/>
    <m/>
    <m/>
    <m/>
    <m/>
    <n v="0"/>
    <n v="0"/>
    <x v="4"/>
    <n v="0"/>
    <m/>
  </r>
  <r>
    <m/>
    <m/>
    <m/>
    <m/>
    <m/>
    <x v="7"/>
    <x v="6"/>
    <s v="Nov-18"/>
    <m/>
    <m/>
    <m/>
    <m/>
    <m/>
    <n v="0"/>
    <n v="0"/>
    <x v="4"/>
    <n v="0"/>
    <m/>
  </r>
  <r>
    <m/>
    <m/>
    <m/>
    <m/>
    <m/>
    <x v="8"/>
    <x v="6"/>
    <s v="Dec-18"/>
    <m/>
    <m/>
    <m/>
    <m/>
    <m/>
    <n v="0"/>
    <n v="0"/>
    <x v="4"/>
    <n v="0"/>
    <m/>
  </r>
  <r>
    <m/>
    <m/>
    <m/>
    <m/>
    <m/>
    <x v="9"/>
    <x v="6"/>
    <s v="Jan-19"/>
    <m/>
    <m/>
    <m/>
    <m/>
    <m/>
    <n v="0"/>
    <n v="0"/>
    <x v="4"/>
    <n v="0"/>
    <m/>
  </r>
  <r>
    <m/>
    <m/>
    <m/>
    <m/>
    <m/>
    <x v="10"/>
    <x v="6"/>
    <s v="Feb-19"/>
    <m/>
    <m/>
    <m/>
    <m/>
    <m/>
    <n v="0"/>
    <n v="0"/>
    <x v="4"/>
    <n v="0"/>
    <m/>
  </r>
  <r>
    <m/>
    <m/>
    <m/>
    <m/>
    <m/>
    <x v="11"/>
    <x v="6"/>
    <s v="Mar-19"/>
    <m/>
    <m/>
    <m/>
    <m/>
    <m/>
    <n v="0"/>
    <n v="0"/>
    <x v="4"/>
    <n v="0"/>
    <m/>
  </r>
  <r>
    <m/>
    <m/>
    <m/>
    <m/>
    <m/>
    <x v="12"/>
    <x v="6"/>
    <m/>
    <n v="0"/>
    <n v="0"/>
    <n v="0"/>
    <n v="0"/>
    <n v="0"/>
    <n v="0"/>
    <n v="0"/>
    <x v="1"/>
    <n v="0"/>
    <m/>
  </r>
  <r>
    <m/>
    <m/>
    <m/>
    <m/>
    <m/>
    <x v="0"/>
    <x v="7"/>
    <s v="Apr-19"/>
    <m/>
    <m/>
    <m/>
    <m/>
    <m/>
    <n v="0"/>
    <n v="0"/>
    <x v="4"/>
    <n v="0"/>
    <m/>
  </r>
  <r>
    <m/>
    <m/>
    <m/>
    <m/>
    <m/>
    <x v="1"/>
    <x v="7"/>
    <s v="May-19"/>
    <m/>
    <m/>
    <m/>
    <m/>
    <m/>
    <n v="0"/>
    <n v="0"/>
    <x v="4"/>
    <n v="0"/>
    <m/>
  </r>
  <r>
    <m/>
    <m/>
    <m/>
    <m/>
    <m/>
    <x v="2"/>
    <x v="7"/>
    <s v="Jun-19"/>
    <m/>
    <m/>
    <m/>
    <m/>
    <m/>
    <n v="0"/>
    <n v="0"/>
    <x v="4"/>
    <n v="0"/>
    <m/>
  </r>
  <r>
    <m/>
    <m/>
    <m/>
    <m/>
    <m/>
    <x v="3"/>
    <x v="7"/>
    <s v="Jul-19"/>
    <m/>
    <m/>
    <m/>
    <m/>
    <m/>
    <n v="0"/>
    <n v="0"/>
    <x v="5"/>
    <n v="0"/>
    <m/>
  </r>
  <r>
    <m/>
    <m/>
    <m/>
    <m/>
    <m/>
    <x v="4"/>
    <x v="7"/>
    <s v="Aug-19"/>
    <m/>
    <m/>
    <m/>
    <m/>
    <m/>
    <n v="0"/>
    <n v="0"/>
    <x v="5"/>
    <n v="0"/>
    <m/>
  </r>
  <r>
    <m/>
    <m/>
    <m/>
    <m/>
    <m/>
    <x v="5"/>
    <x v="7"/>
    <s v="Sep-19"/>
    <m/>
    <m/>
    <m/>
    <m/>
    <m/>
    <n v="0"/>
    <n v="0"/>
    <x v="5"/>
    <n v="0"/>
    <m/>
  </r>
  <r>
    <m/>
    <m/>
    <m/>
    <m/>
    <m/>
    <x v="6"/>
    <x v="7"/>
    <s v="Oct-19"/>
    <m/>
    <m/>
    <m/>
    <m/>
    <m/>
    <n v="0"/>
    <n v="0"/>
    <x v="5"/>
    <n v="0"/>
    <m/>
  </r>
  <r>
    <m/>
    <m/>
    <m/>
    <m/>
    <m/>
    <x v="7"/>
    <x v="7"/>
    <s v="Nov-19"/>
    <m/>
    <m/>
    <m/>
    <m/>
    <m/>
    <n v="0"/>
    <n v="0"/>
    <x v="5"/>
    <n v="0"/>
    <m/>
  </r>
  <r>
    <m/>
    <m/>
    <m/>
    <m/>
    <m/>
    <x v="8"/>
    <x v="7"/>
    <s v="Dec-19"/>
    <m/>
    <m/>
    <m/>
    <m/>
    <m/>
    <n v="0"/>
    <n v="0"/>
    <x v="5"/>
    <n v="0"/>
    <m/>
  </r>
  <r>
    <m/>
    <m/>
    <m/>
    <m/>
    <m/>
    <x v="9"/>
    <x v="7"/>
    <s v="Jan-20"/>
    <m/>
    <m/>
    <m/>
    <m/>
    <m/>
    <n v="0"/>
    <n v="0"/>
    <x v="5"/>
    <n v="0"/>
    <m/>
  </r>
  <r>
    <m/>
    <m/>
    <m/>
    <m/>
    <m/>
    <x v="10"/>
    <x v="7"/>
    <s v="Feb-20"/>
    <m/>
    <m/>
    <m/>
    <m/>
    <m/>
    <n v="0"/>
    <n v="0"/>
    <x v="5"/>
    <n v="0"/>
    <m/>
  </r>
  <r>
    <m/>
    <m/>
    <m/>
    <m/>
    <m/>
    <x v="11"/>
    <x v="7"/>
    <s v="Mar-20"/>
    <m/>
    <m/>
    <m/>
    <m/>
    <m/>
    <n v="0"/>
    <n v="0"/>
    <x v="5"/>
    <n v="0"/>
    <m/>
  </r>
  <r>
    <m/>
    <m/>
    <m/>
    <m/>
    <m/>
    <x v="12"/>
    <x v="7"/>
    <m/>
    <n v="0"/>
    <n v="0"/>
    <n v="0"/>
    <n v="0"/>
    <n v="0"/>
    <n v="0"/>
    <n v="0"/>
    <x v="1"/>
    <n v="0"/>
    <m/>
  </r>
  <r>
    <m/>
    <m/>
    <m/>
    <m/>
    <m/>
    <x v="0"/>
    <x v="8"/>
    <s v="Apr-20"/>
    <m/>
    <m/>
    <m/>
    <m/>
    <m/>
    <n v="0"/>
    <n v="0"/>
    <x v="8"/>
    <n v="0"/>
    <m/>
  </r>
  <r>
    <m/>
    <m/>
    <m/>
    <m/>
    <m/>
    <x v="1"/>
    <x v="8"/>
    <s v="May-20"/>
    <m/>
    <m/>
    <m/>
    <m/>
    <m/>
    <n v="0"/>
    <n v="0"/>
    <x v="8"/>
    <n v="0"/>
    <m/>
  </r>
  <r>
    <m/>
    <m/>
    <m/>
    <m/>
    <m/>
    <x v="2"/>
    <x v="8"/>
    <s v="Jun-20"/>
    <m/>
    <m/>
    <m/>
    <m/>
    <m/>
    <n v="0"/>
    <n v="0"/>
    <x v="8"/>
    <n v="0"/>
    <m/>
  </r>
  <r>
    <m/>
    <m/>
    <m/>
    <m/>
    <m/>
    <x v="3"/>
    <x v="8"/>
    <s v="Jul-20"/>
    <m/>
    <m/>
    <m/>
    <m/>
    <m/>
    <n v="0"/>
    <n v="0"/>
    <x v="8"/>
    <n v="0"/>
    <m/>
  </r>
  <r>
    <m/>
    <m/>
    <m/>
    <m/>
    <m/>
    <x v="4"/>
    <x v="8"/>
    <s v="Aug-20"/>
    <m/>
    <m/>
    <m/>
    <m/>
    <m/>
    <n v="0"/>
    <n v="0"/>
    <x v="8"/>
    <n v="0"/>
    <m/>
  </r>
  <r>
    <m/>
    <m/>
    <m/>
    <m/>
    <m/>
    <x v="5"/>
    <x v="8"/>
    <s v="Sep-20"/>
    <m/>
    <m/>
    <m/>
    <m/>
    <m/>
    <n v="0"/>
    <n v="0"/>
    <x v="8"/>
    <n v="0"/>
    <m/>
  </r>
  <r>
    <m/>
    <m/>
    <m/>
    <m/>
    <m/>
    <x v="6"/>
    <x v="8"/>
    <s v="Oct-20"/>
    <m/>
    <m/>
    <m/>
    <m/>
    <m/>
    <n v="0"/>
    <n v="0"/>
    <x v="8"/>
    <n v="0"/>
    <m/>
  </r>
  <r>
    <n v="119"/>
    <n v="34"/>
    <d v="2020-11-13T00:00:00"/>
    <n v="42173"/>
    <d v="2020-11-18T00:00:00"/>
    <x v="7"/>
    <x v="8"/>
    <s v="Nov-20"/>
    <m/>
    <m/>
    <m/>
    <m/>
    <n v="5081"/>
    <n v="5081"/>
    <n v="5081"/>
    <x v="8"/>
    <n v="30.062583333333333"/>
    <s v="ok"/>
  </r>
  <r>
    <m/>
    <m/>
    <m/>
    <m/>
    <m/>
    <x v="8"/>
    <x v="8"/>
    <s v="Dec-20"/>
    <m/>
    <m/>
    <m/>
    <m/>
    <m/>
    <n v="0"/>
    <n v="5081"/>
    <x v="8"/>
    <n v="30.062583333333333"/>
    <m/>
  </r>
  <r>
    <m/>
    <m/>
    <m/>
    <m/>
    <m/>
    <x v="9"/>
    <x v="8"/>
    <s v="Jan-21"/>
    <m/>
    <m/>
    <m/>
    <m/>
    <m/>
    <n v="0"/>
    <n v="5081"/>
    <x v="8"/>
    <n v="30.062583333333333"/>
    <m/>
  </r>
  <r>
    <m/>
    <m/>
    <m/>
    <m/>
    <m/>
    <x v="10"/>
    <x v="8"/>
    <s v="Feb-21"/>
    <m/>
    <m/>
    <m/>
    <m/>
    <m/>
    <n v="0"/>
    <n v="5081"/>
    <x v="8"/>
    <n v="30.062583333333333"/>
    <m/>
  </r>
  <r>
    <m/>
    <m/>
    <m/>
    <m/>
    <m/>
    <x v="11"/>
    <x v="8"/>
    <s v="Mar-21"/>
    <m/>
    <m/>
    <m/>
    <m/>
    <m/>
    <n v="0"/>
    <n v="5081"/>
    <x v="8"/>
    <n v="30.062583333333333"/>
    <m/>
  </r>
  <r>
    <m/>
    <m/>
    <m/>
    <m/>
    <m/>
    <x v="12"/>
    <x v="8"/>
    <m/>
    <n v="0"/>
    <n v="0"/>
    <n v="0"/>
    <n v="0"/>
    <n v="5081"/>
    <n v="5081"/>
    <n v="5231.3129166666668"/>
    <x v="1"/>
    <n v="150.31291666666667"/>
    <s v="ok"/>
  </r>
  <r>
    <m/>
    <m/>
    <m/>
    <m/>
    <m/>
    <x v="0"/>
    <x v="9"/>
    <s v="Apr-21"/>
    <m/>
    <m/>
    <m/>
    <m/>
    <m/>
    <n v="0"/>
    <n v="5231.3129166666668"/>
    <x v="8"/>
    <n v="30.951934756944443"/>
    <m/>
  </r>
  <r>
    <m/>
    <m/>
    <m/>
    <m/>
    <m/>
    <x v="1"/>
    <x v="9"/>
    <s v="May-21"/>
    <m/>
    <m/>
    <m/>
    <m/>
    <m/>
    <n v="0"/>
    <n v="5231.3129166666668"/>
    <x v="8"/>
    <n v="30.951934756944443"/>
    <m/>
  </r>
  <r>
    <m/>
    <m/>
    <m/>
    <m/>
    <m/>
    <x v="2"/>
    <x v="9"/>
    <s v="Jun-21"/>
    <m/>
    <m/>
    <m/>
    <m/>
    <m/>
    <n v="0"/>
    <n v="5231.3129166666668"/>
    <x v="8"/>
    <n v="30.951934756944443"/>
    <m/>
  </r>
  <r>
    <m/>
    <m/>
    <m/>
    <m/>
    <m/>
    <x v="3"/>
    <x v="9"/>
    <s v="Jul-21"/>
    <m/>
    <m/>
    <m/>
    <m/>
    <m/>
    <n v="0"/>
    <n v="5231.3129166666668"/>
    <x v="8"/>
    <n v="30.951934756944443"/>
    <m/>
  </r>
  <r>
    <m/>
    <m/>
    <m/>
    <m/>
    <m/>
    <x v="4"/>
    <x v="9"/>
    <s v="Aug-21"/>
    <m/>
    <m/>
    <m/>
    <m/>
    <m/>
    <n v="0"/>
    <n v="5231.3129166666668"/>
    <x v="8"/>
    <n v="30.951934756944443"/>
    <m/>
  </r>
  <r>
    <m/>
    <m/>
    <m/>
    <m/>
    <m/>
    <x v="5"/>
    <x v="9"/>
    <s v="Sep-21"/>
    <m/>
    <m/>
    <m/>
    <m/>
    <m/>
    <n v="0"/>
    <n v="5231.3129166666668"/>
    <x v="8"/>
    <n v="30.951934756944443"/>
    <m/>
  </r>
  <r>
    <m/>
    <m/>
    <m/>
    <m/>
    <m/>
    <x v="6"/>
    <x v="9"/>
    <s v="Oct-21"/>
    <m/>
    <m/>
    <m/>
    <m/>
    <m/>
    <n v="0"/>
    <n v="5231.3129166666668"/>
    <x v="8"/>
    <n v="30.951934756944443"/>
    <m/>
  </r>
  <r>
    <n v="130"/>
    <n v="23"/>
    <d v="2021-10-26T00:00:00"/>
    <n v="42420"/>
    <d v="2021-11-01T00:00:00"/>
    <x v="7"/>
    <x v="9"/>
    <s v="Nov-21"/>
    <m/>
    <m/>
    <m/>
    <m/>
    <n v="3387"/>
    <n v="3387"/>
    <n v="8618.3129166666658"/>
    <x v="8"/>
    <n v="50.991684756944437"/>
    <s v="ok"/>
  </r>
  <r>
    <n v="132"/>
    <n v="417"/>
    <d v="2021-11-14T00:00:00"/>
    <n v="52725"/>
    <d v="2021-12-16T00:00:00"/>
    <x v="8"/>
    <x v="9"/>
    <s v="Dec-21"/>
    <m/>
    <n v="2616"/>
    <m/>
    <m/>
    <m/>
    <n v="2616"/>
    <n v="11234.312916666666"/>
    <x v="8"/>
    <n v="66.469684756944432"/>
    <s v="ok"/>
  </r>
  <r>
    <m/>
    <m/>
    <m/>
    <m/>
    <m/>
    <x v="9"/>
    <x v="9"/>
    <s v="Jan-22"/>
    <m/>
    <m/>
    <m/>
    <m/>
    <m/>
    <n v="0"/>
    <n v="11234.312916666666"/>
    <x v="8"/>
    <n v="66.469684756944432"/>
    <m/>
  </r>
  <r>
    <m/>
    <m/>
    <m/>
    <m/>
    <m/>
    <x v="10"/>
    <x v="9"/>
    <s v="Feb-22"/>
    <m/>
    <m/>
    <m/>
    <m/>
    <m/>
    <n v="0"/>
    <n v="11234.312916666666"/>
    <x v="8"/>
    <n v="66.469684756944432"/>
    <m/>
  </r>
  <r>
    <m/>
    <m/>
    <m/>
    <m/>
    <m/>
    <x v="11"/>
    <x v="9"/>
    <s v="Mar-22"/>
    <m/>
    <m/>
    <m/>
    <m/>
    <m/>
    <n v="0"/>
    <n v="11234.312916666666"/>
    <x v="8"/>
    <n v="66.469684756944432"/>
    <m/>
  </r>
  <r>
    <m/>
    <m/>
    <m/>
    <m/>
    <m/>
    <x v="12"/>
    <x v="9"/>
    <m/>
    <n v="0"/>
    <n v="2616"/>
    <n v="0"/>
    <n v="0"/>
    <n v="3387"/>
    <n v="6003"/>
    <n v="11767.846883749999"/>
    <x v="1"/>
    <n v="533.53396708333332"/>
    <s v="interest and new balance not matched "/>
  </r>
  <r>
    <m/>
    <m/>
    <m/>
    <m/>
    <m/>
    <x v="0"/>
    <x v="10"/>
    <s v="Apr-22"/>
    <m/>
    <m/>
    <m/>
    <m/>
    <m/>
    <n v="0"/>
    <n v="11767.846883749999"/>
    <x v="8"/>
    <n v="69.626427395520821"/>
    <m/>
  </r>
  <r>
    <m/>
    <m/>
    <m/>
    <m/>
    <m/>
    <x v="1"/>
    <x v="10"/>
    <s v="May-22"/>
    <m/>
    <m/>
    <m/>
    <m/>
    <m/>
    <n v="0"/>
    <n v="11767.846883749999"/>
    <x v="8"/>
    <n v="69.626427395520821"/>
    <m/>
  </r>
  <r>
    <s v="139_x000a_141"/>
    <s v="39905433_x000a_40160448"/>
    <s v="29-05-2022_x000a_16-06-2022"/>
    <s v="12278_x000a_17326"/>
    <s v="01-06-2022_x000a_27-06-2022"/>
    <x v="2"/>
    <x v="10"/>
    <s v="Jun-22"/>
    <n v="4200"/>
    <n v="2907"/>
    <m/>
    <m/>
    <m/>
    <n v="7107"/>
    <n v="18874.846883749997"/>
    <x v="8"/>
    <n v="111.67617739552081"/>
    <s v="ok"/>
  </r>
  <r>
    <n v="140"/>
    <n v="40304752"/>
    <d v="2022-06-23T00:00:00"/>
    <n v="19496"/>
    <d v="2022-07-01T00:00:00"/>
    <x v="3"/>
    <x v="10"/>
    <s v="Jul-22"/>
    <n v="2100"/>
    <m/>
    <m/>
    <m/>
    <m/>
    <n v="2100"/>
    <n v="20974.846883749997"/>
    <x v="8"/>
    <n v="124.10117739552079"/>
    <s v="ok"/>
  </r>
  <r>
    <n v="142"/>
    <n v="40693185"/>
    <d v="2022-07-20T00:00:00"/>
    <n v="25322"/>
    <d v="2022-08-01T00:00:00"/>
    <x v="4"/>
    <x v="10"/>
    <s v="Aug-22"/>
    <n v="2100"/>
    <m/>
    <m/>
    <m/>
    <m/>
    <n v="2100"/>
    <n v="23074.846883749997"/>
    <x v="8"/>
    <n v="136.52617739552082"/>
    <s v="ok"/>
  </r>
  <r>
    <n v="143"/>
    <n v="41095681"/>
    <d v="2022-08-19T00:00:00"/>
    <n v="31626"/>
    <d v="2022-09-01T00:00:00"/>
    <x v="5"/>
    <x v="10"/>
    <s v="Sep-22"/>
    <n v="2100"/>
    <m/>
    <m/>
    <m/>
    <m/>
    <n v="2100"/>
    <n v="25174.846883749997"/>
    <x v="8"/>
    <n v="148.9511773955208"/>
    <s v="ok"/>
  </r>
  <r>
    <s v="144_x000a_145"/>
    <s v="41591732_x000a_42065399"/>
    <s v="19-09-2022_x000a_18-10-2022"/>
    <s v="38533_x000a_42574"/>
    <s v="01-10-2022_x000a_20-10-2022"/>
    <x v="6"/>
    <x v="10"/>
    <s v="Oct-22"/>
    <n v="2100"/>
    <m/>
    <m/>
    <m/>
    <n v="1694"/>
    <n v="3794"/>
    <n v="28968.846883749997"/>
    <x v="8"/>
    <n v="171.39901072885414"/>
    <s v="ok"/>
  </r>
  <r>
    <n v="146"/>
    <n v="42338085"/>
    <d v="2022-10-27T00:00:00"/>
    <n v="47806"/>
    <d v="2022-11-01T00:00:00"/>
    <x v="7"/>
    <x v="10"/>
    <s v="Nov-22"/>
    <n v="2100"/>
    <m/>
    <m/>
    <m/>
    <m/>
    <n v="2100"/>
    <n v="31068.846883749997"/>
    <x v="8"/>
    <n v="183.82401072885412"/>
    <s v="ok"/>
  </r>
  <r>
    <s v="147_x000a_149"/>
    <s v="42672230_x000a_43105964"/>
    <s v="17-11-2022_x000a_13-12-2022"/>
    <s v="52784_x000a_57161"/>
    <s v="01-12-2022_x000a_14-12-2022"/>
    <x v="8"/>
    <x v="10"/>
    <s v="Dec-22"/>
    <n v="2100"/>
    <n v="3996"/>
    <m/>
    <m/>
    <m/>
    <n v="6096"/>
    <n v="37164.846883749997"/>
    <x v="8"/>
    <n v="219.8920107288541"/>
    <s v="ok"/>
  </r>
  <r>
    <s v="148_x000a_150"/>
    <s v="43353029_x000a_43739170"/>
    <s v="23-12-2022_x000a_18-01-2023"/>
    <s v="60602_x000a_64998"/>
    <s v="02-01-2023_x000a_20-01-2023"/>
    <x v="9"/>
    <x v="10"/>
    <s v="Jan-23"/>
    <n v="2100"/>
    <m/>
    <m/>
    <m/>
    <n v="14"/>
    <n v="2114"/>
    <n v="39278.846883749997"/>
    <x v="8"/>
    <n v="232.39984406218744"/>
    <s v="ok"/>
  </r>
  <r>
    <n v="151"/>
    <n v="43878587"/>
    <d v="2023-01-23T00:00:00"/>
    <n v="68683"/>
    <d v="2023-02-01T00:00:00"/>
    <x v="10"/>
    <x v="10"/>
    <s v="Feb-23"/>
    <n v="2100"/>
    <m/>
    <m/>
    <m/>
    <m/>
    <n v="2100"/>
    <n v="41378.846883749997"/>
    <x v="8"/>
    <n v="244.82484406218745"/>
    <s v="ok"/>
  </r>
  <r>
    <n v="152"/>
    <n v="44472500"/>
    <d v="2023-02-20T00:00:00"/>
    <n v="77782"/>
    <d v="2023-03-01T00:00:00"/>
    <x v="11"/>
    <x v="10"/>
    <s v="Mar-23"/>
    <n v="2100"/>
    <m/>
    <m/>
    <m/>
    <m/>
    <n v="2100"/>
    <n v="43478.846883749997"/>
    <x v="8"/>
    <n v="257.24984406218749"/>
    <s v="ok"/>
  </r>
  <r>
    <m/>
    <m/>
    <m/>
    <m/>
    <m/>
    <x v="12"/>
    <x v="10"/>
    <m/>
    <n v="23100"/>
    <n v="6903"/>
    <n v="0"/>
    <n v="0"/>
    <n v="1708"/>
    <n v="31711"/>
    <n v="45448.944012496249"/>
    <x v="1"/>
    <n v="1970.0971287462494"/>
    <s v="interest and new balance not matched "/>
  </r>
  <r>
    <n v="153"/>
    <n v="45133785"/>
    <d v="2023-04-01T00:00:00"/>
    <n v="763"/>
    <d v="2023-04-03T00:00:00"/>
    <x v="0"/>
    <x v="11"/>
    <s v="Apr-23"/>
    <n v="2100"/>
    <m/>
    <m/>
    <m/>
    <m/>
    <n v="2100"/>
    <n v="47548.944012496249"/>
    <x v="8"/>
    <n v="281.33125207393613"/>
    <s v="ok"/>
  </r>
  <r>
    <n v="154"/>
    <n v="46031314"/>
    <d v="2023-05-12T00:00:00"/>
    <n v="11389"/>
    <d v="2023-05-15T00:00:00"/>
    <x v="1"/>
    <x v="11"/>
    <s v="May-23"/>
    <n v="2100"/>
    <m/>
    <m/>
    <m/>
    <m/>
    <n v="2100"/>
    <n v="49648.944012496249"/>
    <x v="8"/>
    <n v="293.75625207393608"/>
    <s v="ok"/>
  </r>
  <r>
    <n v="155"/>
    <n v="46331842"/>
    <d v="2023-05-31T00:00:00"/>
    <n v="15727"/>
    <d v="2023-06-01T00:00:00"/>
    <x v="2"/>
    <x v="11"/>
    <s v="Jun-23"/>
    <n v="2100"/>
    <m/>
    <m/>
    <m/>
    <m/>
    <n v="2100"/>
    <n v="51748.944012496249"/>
    <x v="8"/>
    <n v="306.18125207393615"/>
    <s v="ok"/>
  </r>
  <r>
    <n v="157"/>
    <n v="46616223"/>
    <d v="2023-06-24T00:00:00"/>
    <n v="19972"/>
    <d v="2023-07-01T00:00:00"/>
    <x v="3"/>
    <x v="11"/>
    <s v="Jul-23"/>
    <n v="2100"/>
    <m/>
    <m/>
    <m/>
    <m/>
    <n v="2100"/>
    <n v="53848.944012496249"/>
    <x v="8"/>
    <n v="318.6062520739361"/>
    <s v="ok"/>
  </r>
  <r>
    <s v="158_x000a_161"/>
    <s v="47362967_x000a_47511795"/>
    <s v="04-08-2023_x000a_16-08-2023"/>
    <s v="30437_x000a_31886"/>
    <s v="07-08-2023_x000a_16-08-2023"/>
    <x v="4"/>
    <x v="11"/>
    <s v="Aug-23"/>
    <n v="2100"/>
    <n v="4176"/>
    <m/>
    <m/>
    <m/>
    <n v="6276"/>
    <n v="60124.944012496249"/>
    <x v="8"/>
    <n v="355.73925207393609"/>
    <s v="ok"/>
  </r>
  <r>
    <n v="160"/>
    <n v="47617195"/>
    <d v="2023-08-23T00:00:00"/>
    <n v="34957"/>
    <d v="2023-09-01T00:00:00"/>
    <x v="5"/>
    <x v="11"/>
    <s v="Sep-23"/>
    <n v="2100"/>
    <m/>
    <m/>
    <m/>
    <m/>
    <n v="2100"/>
    <n v="62224.944012496249"/>
    <x v="8"/>
    <n v="368.1642520739361"/>
    <s v="ok"/>
  </r>
  <r>
    <n v="162"/>
    <n v="48065579"/>
    <d v="2023-09-23T00:00:00"/>
    <n v="40520"/>
    <d v="2023-10-03T00:00:00"/>
    <x v="6"/>
    <x v="11"/>
    <s v="Oct-23"/>
    <n v="2100"/>
    <m/>
    <m/>
    <m/>
    <m/>
    <n v="2100"/>
    <n v="64324.944012496249"/>
    <x v="8"/>
    <n v="380.58925207393605"/>
    <s v="ok"/>
  </r>
  <r>
    <s v="163_x000a_164"/>
    <s v="48627195_x000a_48896643"/>
    <s v="27-10-2023_x000a_07-11-2023"/>
    <s v="45911_x000a_50640"/>
    <s v="01-11-2023_x000a_09-11-2023"/>
    <x v="7"/>
    <x v="11"/>
    <s v="Nov-23"/>
    <n v="2100"/>
    <m/>
    <m/>
    <m/>
    <n v="1694"/>
    <n v="3794"/>
    <n v="68118.944012496242"/>
    <x v="8"/>
    <n v="403.03708540726939"/>
    <s v="ok"/>
  </r>
  <r>
    <n v="165"/>
    <n v="49199160"/>
    <d v="2023-11-25T00:00:00"/>
    <n v="54122"/>
    <d v="2023-12-01T00:00:00"/>
    <x v="8"/>
    <x v="11"/>
    <s v="Dec-23"/>
    <n v="2100"/>
    <m/>
    <m/>
    <m/>
    <m/>
    <n v="2100"/>
    <n v="70218.944012496242"/>
    <x v="8"/>
    <n v="415.4620854072694"/>
    <s v="ok"/>
  </r>
  <r>
    <s v="166_x000a_168"/>
    <s v="49721966_x000a_50080221"/>
    <s v="23-12-2023_x000a_16-01-2024"/>
    <s v="61348_x000a_67485"/>
    <s v="01-01-2024_x000a_24-01-2024"/>
    <x v="9"/>
    <x v="11"/>
    <s v="Jan-24"/>
    <n v="2100"/>
    <n v="5728"/>
    <m/>
    <m/>
    <m/>
    <n v="7828"/>
    <n v="78046.944012496242"/>
    <x v="8"/>
    <n v="461.77775207393603"/>
    <s v="ok"/>
  </r>
  <r>
    <n v="167"/>
    <n v="50288389"/>
    <d v="2024-01-26T00:00:00"/>
    <n v="70303"/>
    <d v="2024-02-01T00:00:00"/>
    <x v="10"/>
    <x v="11"/>
    <s v="Feb-24"/>
    <n v="2100"/>
    <m/>
    <m/>
    <m/>
    <m/>
    <n v="2100"/>
    <n v="80146.944012496242"/>
    <x v="8"/>
    <n v="474.2027520739361"/>
    <s v="ok"/>
  </r>
  <r>
    <n v="169"/>
    <n v="500253174"/>
    <d v="2024-02-27T00:00:00"/>
    <n v="77719"/>
    <d v="2024-03-04T00:00:00"/>
    <x v="11"/>
    <x v="11"/>
    <s v="Mar-24"/>
    <n v="2100"/>
    <m/>
    <m/>
    <m/>
    <m/>
    <n v="2100"/>
    <n v="82246.944012496242"/>
    <x v="8"/>
    <n v="486.62775207393605"/>
    <s v="ok"/>
  </r>
  <r>
    <m/>
    <m/>
    <m/>
    <m/>
    <m/>
    <x v="12"/>
    <x v="11"/>
    <m/>
    <n v="25200"/>
    <n v="9904"/>
    <n v="0"/>
    <n v="0"/>
    <n v="1694"/>
    <n v="36798"/>
    <n v="86792.419204050137"/>
    <x v="1"/>
    <n v="4545.4751915539"/>
    <s v="interest and new balance not matched "/>
  </r>
  <r>
    <n v="170"/>
    <n v="500441461"/>
    <d v="2024-03-28T00:00:00"/>
    <n v="859"/>
    <d v="2024-04-02T00:00:00"/>
    <x v="0"/>
    <x v="12"/>
    <s v="Apr-24"/>
    <n v="2100"/>
    <m/>
    <m/>
    <m/>
    <m/>
    <n v="2100"/>
    <n v="88892.419204050137"/>
    <x v="8"/>
    <n v="525.94681362396329"/>
    <s v="ok"/>
  </r>
  <r>
    <s v="171_x000a_172"/>
    <s v="500732006_x000a_500935824"/>
    <s v="06-05-2024_x000a_28-05-2024"/>
    <s v="8364_x000a_12316"/>
    <s v="07-05-2024_x000a_30-05-2024"/>
    <x v="1"/>
    <x v="12"/>
    <s v="May-24"/>
    <n v="2100"/>
    <n v="2864"/>
    <m/>
    <m/>
    <m/>
    <n v="4964"/>
    <n v="93856.419204050137"/>
    <x v="8"/>
    <n v="555.31714695729659"/>
    <s v="ok"/>
  </r>
  <r>
    <n v="173"/>
    <n v="500943161"/>
    <d v="2024-05-29T00:00:00"/>
    <n v="13029"/>
    <d v="2024-06-01T00:00:00"/>
    <x v="2"/>
    <x v="12"/>
    <s v="Jun-24"/>
    <n v="2100"/>
    <m/>
    <m/>
    <m/>
    <m/>
    <n v="2100"/>
    <n v="95956.419204050137"/>
    <x v="8"/>
    <n v="567.74214695729654"/>
    <s v="ok"/>
  </r>
  <r>
    <n v="174"/>
    <n v="501141373"/>
    <d v="2024-06-27T00:00:00"/>
    <n v="19255"/>
    <d v="2024-07-01T00:00:00"/>
    <x v="3"/>
    <x v="12"/>
    <s v="Jul-24"/>
    <n v="2100"/>
    <m/>
    <m/>
    <m/>
    <m/>
    <n v="2100"/>
    <n v="98056.419204050137"/>
    <x v="8"/>
    <n v="580.16714695729661"/>
    <s v="ok"/>
  </r>
  <r>
    <n v="175"/>
    <n v="501387157"/>
    <d v="2024-07-30T00:00:00"/>
    <n v="25295"/>
    <d v="2024-08-01T00:00:00"/>
    <x v="4"/>
    <x v="12"/>
    <s v="Aug-24"/>
    <n v="2100"/>
    <m/>
    <m/>
    <m/>
    <m/>
    <n v="2100"/>
    <n v="100156.41920405014"/>
    <x v="8"/>
    <n v="592.59214695729656"/>
    <s v="ok"/>
  </r>
  <r>
    <n v="176"/>
    <n v="501602639"/>
    <d v="2024-08-23T00:00:00"/>
    <n v="31671"/>
    <d v="2024-09-02T00:00:00"/>
    <x v="5"/>
    <x v="12"/>
    <s v="Sep-24"/>
    <n v="2100"/>
    <m/>
    <m/>
    <m/>
    <m/>
    <n v="2100"/>
    <n v="102256.41920405014"/>
    <x v="8"/>
    <n v="605.01714695729663"/>
    <s v="ok"/>
  </r>
  <r>
    <n v="177"/>
    <s v="501860136_x000a_502140454_x000a_502179884"/>
    <s v="26-09-2024_x000a_23-10-2024_x000a_23-10-2024"/>
    <s v="37968_x000a_49705_x000a_44955"/>
    <s v="01-10-2024_x000a_30-10-2024_x000a_24-10-2024"/>
    <x v="6"/>
    <x v="12"/>
    <s v="Oct-24"/>
    <n v="4200"/>
    <m/>
    <m/>
    <m/>
    <n v="1694"/>
    <n v="5894"/>
    <n v="108150.41920405014"/>
    <x v="8"/>
    <n v="639.88998029062998"/>
    <s v="ok"/>
  </r>
  <r>
    <n v="180"/>
    <n v="502532171"/>
    <d v="2024-11-26T00:00:00"/>
    <n v="54666"/>
    <d v="2024-11-28T00:00:00"/>
    <x v="7"/>
    <x v="12"/>
    <s v="Nov-24"/>
    <n v="0"/>
    <n v="4428"/>
    <m/>
    <m/>
    <m/>
    <n v="4428"/>
    <n v="112578.41920405014"/>
    <x v="8"/>
    <n v="666.08898029062993"/>
    <s v="ok"/>
  </r>
  <r>
    <n v="181"/>
    <n v="502535967"/>
    <d v="2024-11-27T00:00:00"/>
    <n v="57448"/>
    <d v="2024-12-02T00:00:00"/>
    <x v="8"/>
    <x v="12"/>
    <s v="Dec-24"/>
    <n v="2100"/>
    <m/>
    <m/>
    <m/>
    <m/>
    <n v="2100"/>
    <n v="114678.41920405014"/>
    <x v="8"/>
    <n v="678.51398029062989"/>
    <s v="ok"/>
  </r>
  <r>
    <n v="182"/>
    <n v="502837951"/>
    <d v="2024-12-27T00:00:00"/>
    <n v="63222"/>
    <d v="2025-01-01T00:00:00"/>
    <x v="9"/>
    <x v="12"/>
    <s v="Jan-25"/>
    <n v="2100"/>
    <m/>
    <m/>
    <m/>
    <m/>
    <n v="2100"/>
    <n v="116778.41920405014"/>
    <x v="8"/>
    <n v="690.93898029062984"/>
    <s v="ok"/>
  </r>
  <r>
    <n v="183"/>
    <n v="503130202"/>
    <d v="2025-02-03T00:00:00"/>
    <n v="72172"/>
    <d v="2025-02-05T00:00:00"/>
    <x v="10"/>
    <x v="12"/>
    <s v="Feb-25"/>
    <n v="2100"/>
    <m/>
    <m/>
    <m/>
    <m/>
    <n v="2100"/>
    <n v="118878.41920405014"/>
    <x v="8"/>
    <n v="703.36398029062991"/>
    <s v="ok"/>
  </r>
  <r>
    <n v="184"/>
    <n v="503359800"/>
    <d v="2025-02-27T00:00:00"/>
    <n v="77782"/>
    <d v="2025-03-01T00:00:00"/>
    <x v="11"/>
    <x v="12"/>
    <s v="Mar-25"/>
    <n v="2100"/>
    <m/>
    <m/>
    <m/>
    <m/>
    <n v="2100"/>
    <n v="120978.41920405014"/>
    <x v="8"/>
    <n v="715.78898029062987"/>
    <s v="ok"/>
  </r>
  <r>
    <m/>
    <m/>
    <m/>
    <m/>
    <m/>
    <x v="12"/>
    <x v="12"/>
    <m/>
    <n v="25200"/>
    <n v="7292"/>
    <n v="0"/>
    <n v="0"/>
    <n v="1694"/>
    <n v="34186"/>
    <n v="128499.78663420436"/>
    <x v="1"/>
    <n v="7521.367430154226"/>
    <s v="interest and new balance not matched "/>
  </r>
  <r>
    <s v="185_x000a_186"/>
    <s v="503690660_x000a_504010976"/>
    <s v="01-04-2025_x000a_25-04-2025"/>
    <s v="49331_x000a_339072"/>
    <s v="02-04-2025_x000a_28-04-2025"/>
    <x v="0"/>
    <x v="13"/>
    <s v="Apr-25"/>
    <n v="2100"/>
    <n v="2214"/>
    <m/>
    <m/>
    <m/>
    <n v="4314"/>
    <n v="132813.78663420436"/>
    <x v="8"/>
    <n v="785.81490425237564"/>
    <s v="ok"/>
  </r>
  <r>
    <n v="187"/>
    <n v="504041112"/>
    <d v="2025-04-28T00:00:00"/>
    <n v="432978"/>
    <d v="2025-05-01T00:00:00"/>
    <x v="1"/>
    <x v="13"/>
    <s v="May-25"/>
    <n v="2100"/>
    <m/>
    <m/>
    <m/>
    <m/>
    <n v="2100"/>
    <n v="134913.78663420436"/>
    <x v="8"/>
    <n v="798.23990425237571"/>
    <s v="ok"/>
  </r>
  <r>
    <n v="190"/>
    <n v="504355271"/>
    <d v="2025-05-30T00:00:00"/>
    <n v="876297"/>
    <d v="2025-06-02T00:00:00"/>
    <x v="2"/>
    <x v="13"/>
    <s v="Jun-25"/>
    <n v="2100"/>
    <m/>
    <m/>
    <m/>
    <m/>
    <n v="2100"/>
    <n v="137013.78663420436"/>
    <x v="8"/>
    <n v="810.66490425237578"/>
    <s v="ok"/>
  </r>
  <r>
    <n v="191"/>
    <n v="5045755347"/>
    <d v="2025-06-26T00:00:00"/>
    <n v="1272439"/>
    <d v="2025-07-01T00:00:00"/>
    <x v="3"/>
    <x v="13"/>
    <s v="Jul-25"/>
    <n v="2100"/>
    <m/>
    <m/>
    <m/>
    <m/>
    <n v="2100"/>
    <n v="139113.78663420436"/>
    <x v="8"/>
    <n v="823.08990425237573"/>
    <s v="ok"/>
  </r>
  <r>
    <n v="192"/>
    <n v="504886347"/>
    <d v="2025-07-29T00:00:00"/>
    <n v="1714317"/>
    <d v="2025-08-01T00:00:00"/>
    <x v="4"/>
    <x v="13"/>
    <s v="Aug-25"/>
    <n v="2100"/>
    <m/>
    <m/>
    <m/>
    <m/>
    <n v="2100"/>
    <n v="141213.78663420436"/>
    <x v="8"/>
    <n v="835.51490425237569"/>
    <s v="ok"/>
  </r>
  <r>
    <n v="194"/>
    <n v="505247296"/>
    <d v="2025-09-01T00:00:00"/>
    <n v="2127637"/>
    <d v="2025-09-03T00:00:00"/>
    <x v="5"/>
    <x v="13"/>
    <s v="Sep-25"/>
    <n v="2100"/>
    <m/>
    <m/>
    <m/>
    <m/>
    <n v="2100"/>
    <n v="143313.78663420436"/>
    <x v="8"/>
    <n v="847.93990425237564"/>
    <s v="ok"/>
  </r>
  <r>
    <s v="195_x000a_196"/>
    <s v="505520412_x000a_505819111"/>
    <s v="26-Sep-2025_x000a_17-Oct-2025"/>
    <s v="2401620_x000a_2845269"/>
    <s v="01-10-2025_x000a_17-10-2025"/>
    <x v="6"/>
    <x v="13"/>
    <s v="Oct-25"/>
    <n v="2100"/>
    <m/>
    <m/>
    <m/>
    <n v="1694"/>
    <n v="3794"/>
    <n v="147107.78663420436"/>
    <x v="8"/>
    <n v="870.38773758570903"/>
    <s v="ok"/>
  </r>
  <r>
    <s v="197_x000a_199"/>
    <s v="506009820_x000a_505837064"/>
    <s v="27-10-2025_x000a_21-10-2025"/>
    <s v="3111361_x000a_3138059"/>
    <s v="01-11-2025_x000a_03-11-2025"/>
    <x v="7"/>
    <x v="13"/>
    <s v="Nov-25"/>
    <n v="2100"/>
    <n v="3420"/>
    <m/>
    <m/>
    <m/>
    <n v="5520"/>
    <n v="152627.78663420436"/>
    <x v="8"/>
    <n v="903.047737585709"/>
    <s v="ok"/>
  </r>
  <r>
    <n v="198"/>
    <n v="506428847"/>
    <d v="2025-11-27T00:00:00"/>
    <n v="3572197"/>
    <d v="2025-12-01T00:00:00"/>
    <x v="8"/>
    <x v="13"/>
    <s v="Dec-25"/>
    <n v="2100"/>
    <m/>
    <m/>
    <m/>
    <m/>
    <n v="2100"/>
    <n v="154727.78663420436"/>
    <x v="8"/>
    <n v="915.47273758570907"/>
    <s v="ok"/>
  </r>
  <r>
    <n v="200"/>
    <n v="506767167"/>
    <d v="2025-12-23T00:00:00"/>
    <n v="3925524"/>
    <d v="2026-01-01T00:00:00"/>
    <x v="9"/>
    <x v="13"/>
    <s v="Jan-26"/>
    <n v="2100"/>
    <m/>
    <m/>
    <m/>
    <m/>
    <n v="2100"/>
    <n v="156827.78663420436"/>
    <x v="8"/>
    <n v="927.89773758570902"/>
    <s v="ok"/>
  </r>
  <r>
    <n v="201"/>
    <n v="507234109"/>
    <d v="2026-01-29T00:00:00"/>
    <n v="4385715"/>
    <d v="2026-02-02T00:00:00"/>
    <x v="10"/>
    <x v="13"/>
    <s v="Feb-26"/>
    <n v="2100"/>
    <m/>
    <m/>
    <m/>
    <m/>
    <n v="2100"/>
    <n v="158927.78663420436"/>
    <x v="8"/>
    <n v="940.32273758570909"/>
    <s v="ok"/>
  </r>
  <r>
    <n v="202"/>
    <n v="507641976"/>
    <d v="2026-02-26T00:00:00"/>
    <n v="4840915"/>
    <d v="2026-03-02T00:00:00"/>
    <x v="11"/>
    <x v="13"/>
    <s v="Mar-26"/>
    <n v="2100"/>
    <m/>
    <m/>
    <m/>
    <m/>
    <n v="2100"/>
    <n v="161027.78663420436"/>
    <x v="8"/>
    <n v="952.74773758570893"/>
    <s v="ok"/>
  </r>
  <r>
    <m/>
    <m/>
    <m/>
    <m/>
    <m/>
    <x v="12"/>
    <x v="13"/>
    <m/>
    <n v="25200"/>
    <n v="5634"/>
    <n v="0"/>
    <n v="0"/>
    <n v="1694"/>
    <n v="32528"/>
    <n v="171438.92748523285"/>
    <x v="1"/>
    <n v="10411.140851028509"/>
    <s v="interest and new balance not matched "/>
  </r>
  <r>
    <m/>
    <m/>
    <m/>
    <m/>
    <m/>
    <x v="0"/>
    <x v="14"/>
    <s v="Apr-26"/>
    <m/>
    <m/>
    <m/>
    <m/>
    <m/>
    <n v="0"/>
    <n v="171438.92748523285"/>
    <x v="8"/>
    <n v="1014.3469876209609"/>
    <s v="Pending to check"/>
  </r>
  <r>
    <m/>
    <m/>
    <m/>
    <m/>
    <m/>
    <x v="1"/>
    <x v="14"/>
    <s v="May-26"/>
    <m/>
    <m/>
    <m/>
    <m/>
    <m/>
    <n v="0"/>
    <n v="171438.92748523285"/>
    <x v="8"/>
    <n v="1014.3469876209609"/>
    <s v="Pending to check"/>
  </r>
  <r>
    <m/>
    <m/>
    <m/>
    <m/>
    <m/>
    <x v="2"/>
    <x v="14"/>
    <s v="Jun-26"/>
    <m/>
    <m/>
    <m/>
    <m/>
    <m/>
    <n v="0"/>
    <n v="171438.92748523285"/>
    <x v="8"/>
    <n v="1014.3469876209609"/>
    <s v="Pending to check"/>
  </r>
  <r>
    <m/>
    <m/>
    <m/>
    <m/>
    <m/>
    <x v="3"/>
    <x v="14"/>
    <s v="Jul-26"/>
    <m/>
    <m/>
    <m/>
    <m/>
    <m/>
    <n v="0"/>
    <n v="171438.92748523285"/>
    <x v="8"/>
    <n v="1014.3469876209609"/>
    <s v="Pending to check"/>
  </r>
  <r>
    <m/>
    <m/>
    <m/>
    <m/>
    <m/>
    <x v="4"/>
    <x v="14"/>
    <s v="Aug-26"/>
    <m/>
    <m/>
    <m/>
    <m/>
    <m/>
    <n v="0"/>
    <n v="171438.92748523285"/>
    <x v="8"/>
    <n v="1014.3469876209609"/>
    <s v="Pending to check"/>
  </r>
  <r>
    <m/>
    <m/>
    <m/>
    <m/>
    <m/>
    <x v="5"/>
    <x v="14"/>
    <s v="Sep-26"/>
    <m/>
    <m/>
    <m/>
    <m/>
    <m/>
    <n v="0"/>
    <n v="171438.92748523285"/>
    <x v="8"/>
    <n v="1014.3469876209609"/>
    <s v="Pending to check"/>
  </r>
  <r>
    <m/>
    <m/>
    <m/>
    <m/>
    <m/>
    <x v="6"/>
    <x v="14"/>
    <s v="Oct-26"/>
    <m/>
    <m/>
    <m/>
    <m/>
    <m/>
    <n v="0"/>
    <n v="171438.92748523285"/>
    <x v="8"/>
    <n v="1014.3469876209609"/>
    <s v="Pending to check"/>
  </r>
  <r>
    <m/>
    <m/>
    <m/>
    <m/>
    <m/>
    <x v="7"/>
    <x v="14"/>
    <s v="Nov-26"/>
    <m/>
    <m/>
    <m/>
    <m/>
    <m/>
    <n v="0"/>
    <n v="171438.92748523285"/>
    <x v="8"/>
    <n v="1014.3469876209609"/>
    <s v="Pending to check"/>
  </r>
  <r>
    <m/>
    <m/>
    <m/>
    <m/>
    <m/>
    <x v="8"/>
    <x v="14"/>
    <s v="Dec-26"/>
    <m/>
    <m/>
    <m/>
    <m/>
    <m/>
    <n v="0"/>
    <n v="171438.92748523285"/>
    <x v="8"/>
    <n v="1014.3469876209609"/>
    <s v="Pending to check"/>
  </r>
  <r>
    <m/>
    <m/>
    <m/>
    <m/>
    <m/>
    <x v="9"/>
    <x v="14"/>
    <s v="Jan-27"/>
    <m/>
    <m/>
    <m/>
    <m/>
    <m/>
    <n v="0"/>
    <n v="171438.92748523285"/>
    <x v="8"/>
    <n v="1014.3469876209609"/>
    <s v="Pending to check"/>
  </r>
  <r>
    <m/>
    <m/>
    <m/>
    <m/>
    <m/>
    <x v="10"/>
    <x v="14"/>
    <s v="Feb-27"/>
    <m/>
    <m/>
    <m/>
    <m/>
    <m/>
    <n v="0"/>
    <n v="171438.92748523285"/>
    <x v="8"/>
    <n v="1014.3469876209609"/>
    <s v="Pending to check"/>
  </r>
  <r>
    <m/>
    <m/>
    <m/>
    <m/>
    <m/>
    <x v="11"/>
    <x v="14"/>
    <s v="Mar-27"/>
    <m/>
    <m/>
    <m/>
    <m/>
    <m/>
    <n v="0"/>
    <n v="171438.92748523285"/>
    <x v="8"/>
    <n v="1014.3469876209609"/>
    <s v="Pending to check"/>
  </r>
  <r>
    <m/>
    <m/>
    <m/>
    <m/>
    <m/>
    <x v="12"/>
    <x v="14"/>
    <m/>
    <n v="0"/>
    <n v="0"/>
    <n v="0"/>
    <n v="0"/>
    <n v="0"/>
    <n v="0"/>
    <n v="183611.09133668439"/>
    <x v="1"/>
    <n v="12172.163851451529"/>
    <s v="interest and new balance not matched "/>
  </r>
  <r>
    <m/>
    <m/>
    <m/>
    <m/>
    <m/>
    <x v="0"/>
    <x v="15"/>
    <s v="Apr-27"/>
    <m/>
    <m/>
    <m/>
    <m/>
    <m/>
    <n v="0"/>
    <n v="183611.09133668439"/>
    <x v="8"/>
    <n v="1086.3656237420491"/>
    <s v="Pending to check"/>
  </r>
  <r>
    <m/>
    <m/>
    <m/>
    <m/>
    <m/>
    <x v="1"/>
    <x v="15"/>
    <s v="May-27"/>
    <m/>
    <m/>
    <m/>
    <m/>
    <m/>
    <n v="0"/>
    <n v="183611.09133668439"/>
    <x v="8"/>
    <n v="1086.3656237420491"/>
    <s v="Pending to check"/>
  </r>
  <r>
    <m/>
    <m/>
    <m/>
    <m/>
    <m/>
    <x v="2"/>
    <x v="15"/>
    <s v="Jun-27"/>
    <m/>
    <m/>
    <m/>
    <m/>
    <m/>
    <n v="0"/>
    <n v="183611.09133668439"/>
    <x v="8"/>
    <n v="1086.3656237420491"/>
    <s v="Pending to check"/>
  </r>
  <r>
    <m/>
    <m/>
    <m/>
    <m/>
    <m/>
    <x v="3"/>
    <x v="15"/>
    <s v="Jul-27"/>
    <m/>
    <m/>
    <m/>
    <m/>
    <m/>
    <n v="0"/>
    <n v="183611.09133668439"/>
    <x v="8"/>
    <n v="1086.3656237420491"/>
    <s v="Pending to check"/>
  </r>
  <r>
    <m/>
    <m/>
    <m/>
    <m/>
    <m/>
    <x v="4"/>
    <x v="15"/>
    <s v="Aug-27"/>
    <m/>
    <m/>
    <m/>
    <m/>
    <m/>
    <n v="0"/>
    <n v="183611.09133668439"/>
    <x v="8"/>
    <n v="1086.3656237420491"/>
    <s v="Pending to check"/>
  </r>
  <r>
    <m/>
    <m/>
    <m/>
    <m/>
    <m/>
    <x v="5"/>
    <x v="15"/>
    <s v="Sep-27"/>
    <m/>
    <m/>
    <m/>
    <m/>
    <m/>
    <n v="0"/>
    <n v="183611.09133668439"/>
    <x v="8"/>
    <n v="1086.3656237420491"/>
    <s v="Pending to check"/>
  </r>
  <r>
    <m/>
    <m/>
    <m/>
    <m/>
    <m/>
    <x v="6"/>
    <x v="15"/>
    <s v="Oct-27"/>
    <m/>
    <m/>
    <m/>
    <m/>
    <m/>
    <n v="0"/>
    <n v="183611.09133668439"/>
    <x v="8"/>
    <n v="1086.3656237420491"/>
    <s v="Pending to check"/>
  </r>
  <r>
    <m/>
    <m/>
    <m/>
    <m/>
    <m/>
    <x v="7"/>
    <x v="15"/>
    <s v="Nov-27"/>
    <m/>
    <m/>
    <m/>
    <m/>
    <m/>
    <n v="0"/>
    <n v="183611.09133668439"/>
    <x v="8"/>
    <n v="1086.3656237420491"/>
    <s v="Pending to check"/>
  </r>
  <r>
    <m/>
    <m/>
    <m/>
    <m/>
    <m/>
    <x v="8"/>
    <x v="15"/>
    <s v="Dec-27"/>
    <m/>
    <m/>
    <m/>
    <m/>
    <m/>
    <n v="0"/>
    <n v="183611.09133668439"/>
    <x v="8"/>
    <n v="1086.3656237420491"/>
    <s v="Pending to check"/>
  </r>
  <r>
    <m/>
    <m/>
    <m/>
    <m/>
    <m/>
    <x v="9"/>
    <x v="15"/>
    <s v="Jan-28"/>
    <m/>
    <m/>
    <m/>
    <m/>
    <m/>
    <n v="0"/>
    <n v="183611.09133668439"/>
    <x v="8"/>
    <n v="1086.3656237420491"/>
    <s v="Pending to check"/>
  </r>
  <r>
    <m/>
    <m/>
    <m/>
    <m/>
    <m/>
    <x v="10"/>
    <x v="15"/>
    <s v="Feb-28"/>
    <m/>
    <m/>
    <m/>
    <m/>
    <m/>
    <n v="0"/>
    <n v="183611.09133668439"/>
    <x v="8"/>
    <n v="1086.3656237420491"/>
    <s v="Pending to check"/>
  </r>
  <r>
    <m/>
    <m/>
    <m/>
    <m/>
    <m/>
    <x v="11"/>
    <x v="15"/>
    <s v="Mar-28"/>
    <m/>
    <m/>
    <m/>
    <m/>
    <m/>
    <n v="0"/>
    <n v="183611.09133668439"/>
    <x v="8"/>
    <n v="1086.3656237420491"/>
    <s v="Pending to check"/>
  </r>
  <r>
    <m/>
    <m/>
    <m/>
    <m/>
    <m/>
    <x v="12"/>
    <x v="15"/>
    <m/>
    <n v="0"/>
    <n v="0"/>
    <n v="0"/>
    <n v="0"/>
    <n v="0"/>
    <n v="0"/>
    <n v="196647.47882158897"/>
    <x v="1"/>
    <n v="13036.38748490459"/>
    <s v="interest and new balance not matched "/>
  </r>
  <r>
    <m/>
    <m/>
    <m/>
    <m/>
    <m/>
    <x v="0"/>
    <x v="16"/>
    <s v="Apr-28"/>
    <m/>
    <m/>
    <m/>
    <m/>
    <m/>
    <n v="0"/>
    <n v="196647.47882158897"/>
    <x v="8"/>
    <n v="1163.4975830277347"/>
    <s v="Pending to check"/>
  </r>
  <r>
    <m/>
    <m/>
    <m/>
    <m/>
    <m/>
    <x v="1"/>
    <x v="16"/>
    <s v="May-28"/>
    <m/>
    <m/>
    <m/>
    <m/>
    <m/>
    <n v="0"/>
    <n v="196647.47882158897"/>
    <x v="8"/>
    <n v="1163.4975830277347"/>
    <s v="Pending to check"/>
  </r>
  <r>
    <m/>
    <m/>
    <m/>
    <m/>
    <m/>
    <x v="2"/>
    <x v="16"/>
    <s v="Jun-28"/>
    <m/>
    <m/>
    <m/>
    <m/>
    <m/>
    <n v="0"/>
    <n v="196647.47882158897"/>
    <x v="8"/>
    <n v="1163.4975830277347"/>
    <s v="Pending to check"/>
  </r>
  <r>
    <m/>
    <m/>
    <m/>
    <m/>
    <m/>
    <x v="3"/>
    <x v="16"/>
    <s v="Jul-28"/>
    <m/>
    <m/>
    <m/>
    <m/>
    <m/>
    <n v="0"/>
    <n v="196647.47882158897"/>
    <x v="8"/>
    <n v="1163.4975830277347"/>
    <s v="Pending to check"/>
  </r>
  <r>
    <m/>
    <m/>
    <m/>
    <m/>
    <m/>
    <x v="4"/>
    <x v="16"/>
    <s v="Aug-28"/>
    <m/>
    <m/>
    <m/>
    <m/>
    <m/>
    <n v="0"/>
    <n v="196647.47882158897"/>
    <x v="8"/>
    <n v="1163.4975830277347"/>
    <s v="Pending to check"/>
  </r>
  <r>
    <m/>
    <m/>
    <m/>
    <m/>
    <m/>
    <x v="5"/>
    <x v="16"/>
    <s v="Sep-28"/>
    <m/>
    <m/>
    <m/>
    <m/>
    <m/>
    <n v="0"/>
    <n v="196647.47882158897"/>
    <x v="8"/>
    <n v="1163.4975830277347"/>
    <s v="Pending to check"/>
  </r>
  <r>
    <m/>
    <m/>
    <m/>
    <m/>
    <m/>
    <x v="6"/>
    <x v="16"/>
    <s v="Oct-28"/>
    <m/>
    <m/>
    <m/>
    <m/>
    <m/>
    <n v="0"/>
    <n v="196647.47882158897"/>
    <x v="8"/>
    <n v="1163.4975830277347"/>
    <s v="Pending to check"/>
  </r>
  <r>
    <m/>
    <m/>
    <m/>
    <m/>
    <m/>
    <x v="7"/>
    <x v="16"/>
    <s v="Nov-28"/>
    <m/>
    <m/>
    <m/>
    <m/>
    <m/>
    <n v="0"/>
    <n v="196647.47882158897"/>
    <x v="8"/>
    <n v="1163.4975830277347"/>
    <s v="Pending to check"/>
  </r>
  <r>
    <m/>
    <m/>
    <m/>
    <m/>
    <m/>
    <x v="8"/>
    <x v="16"/>
    <s v="Dec-28"/>
    <m/>
    <m/>
    <m/>
    <m/>
    <m/>
    <n v="0"/>
    <n v="196647.47882158897"/>
    <x v="8"/>
    <n v="1163.4975830277347"/>
    <s v="Pending to check"/>
  </r>
  <r>
    <m/>
    <m/>
    <m/>
    <m/>
    <m/>
    <x v="9"/>
    <x v="16"/>
    <s v="Jan-29"/>
    <m/>
    <m/>
    <m/>
    <m/>
    <m/>
    <n v="0"/>
    <n v="196647.47882158897"/>
    <x v="8"/>
    <n v="1163.4975830277347"/>
    <s v="Pending to check"/>
  </r>
  <r>
    <m/>
    <m/>
    <m/>
    <m/>
    <m/>
    <x v="10"/>
    <x v="16"/>
    <s v="Feb-29"/>
    <m/>
    <m/>
    <m/>
    <m/>
    <m/>
    <n v="0"/>
    <n v="196647.47882158897"/>
    <x v="8"/>
    <n v="1163.4975830277347"/>
    <s v="Pending to check"/>
  </r>
  <r>
    <m/>
    <m/>
    <m/>
    <m/>
    <m/>
    <x v="11"/>
    <x v="16"/>
    <s v="Mar-29"/>
    <m/>
    <m/>
    <m/>
    <m/>
    <m/>
    <n v="0"/>
    <n v="196647.47882158897"/>
    <x v="8"/>
    <n v="1163.4975830277347"/>
    <s v="Pending to check"/>
  </r>
  <r>
    <m/>
    <m/>
    <m/>
    <m/>
    <m/>
    <x v="12"/>
    <x v="16"/>
    <m/>
    <n v="0"/>
    <n v="0"/>
    <n v="0"/>
    <n v="0"/>
    <n v="0"/>
    <n v="0"/>
    <n v="210609.44981792179"/>
    <x v="1"/>
    <n v="13961.970996332815"/>
    <s v="interest and new balance not matched "/>
  </r>
  <r>
    <m/>
    <m/>
    <m/>
    <m/>
    <m/>
    <x v="0"/>
    <x v="17"/>
    <s v="Apr-29"/>
    <m/>
    <m/>
    <m/>
    <m/>
    <m/>
    <n v="0"/>
    <n v="210609.44981792179"/>
    <x v="8"/>
    <n v="1246.1059114227039"/>
    <s v="Pending to check"/>
  </r>
  <r>
    <m/>
    <m/>
    <m/>
    <m/>
    <m/>
    <x v="1"/>
    <x v="17"/>
    <s v="May-29"/>
    <m/>
    <m/>
    <m/>
    <m/>
    <m/>
    <n v="0"/>
    <n v="210609.44981792179"/>
    <x v="8"/>
    <n v="1246.1059114227039"/>
    <s v="Pending to check"/>
  </r>
  <r>
    <m/>
    <m/>
    <m/>
    <m/>
    <m/>
    <x v="2"/>
    <x v="17"/>
    <s v="Jun-29"/>
    <m/>
    <m/>
    <m/>
    <m/>
    <m/>
    <n v="0"/>
    <n v="210609.44981792179"/>
    <x v="8"/>
    <n v="1246.1059114227039"/>
    <s v="Pending to check"/>
  </r>
  <r>
    <m/>
    <m/>
    <m/>
    <m/>
    <m/>
    <x v="3"/>
    <x v="17"/>
    <s v="Jul-29"/>
    <m/>
    <m/>
    <m/>
    <m/>
    <m/>
    <n v="0"/>
    <n v="210609.44981792179"/>
    <x v="8"/>
    <n v="1246.1059114227039"/>
    <s v="Pending to check"/>
  </r>
  <r>
    <m/>
    <m/>
    <m/>
    <m/>
    <m/>
    <x v="4"/>
    <x v="17"/>
    <s v="Aug-29"/>
    <m/>
    <m/>
    <m/>
    <m/>
    <m/>
    <n v="0"/>
    <n v="210609.44981792179"/>
    <x v="8"/>
    <n v="1246.1059114227039"/>
    <s v="Pending to check"/>
  </r>
  <r>
    <m/>
    <m/>
    <m/>
    <m/>
    <m/>
    <x v="5"/>
    <x v="17"/>
    <s v="Sep-29"/>
    <m/>
    <m/>
    <m/>
    <m/>
    <m/>
    <n v="0"/>
    <n v="210609.44981792179"/>
    <x v="8"/>
    <n v="1246.1059114227039"/>
    <s v="Pending to check"/>
  </r>
  <r>
    <m/>
    <m/>
    <m/>
    <m/>
    <m/>
    <x v="6"/>
    <x v="17"/>
    <s v="Oct-29"/>
    <m/>
    <m/>
    <m/>
    <m/>
    <m/>
    <n v="0"/>
    <n v="210609.44981792179"/>
    <x v="8"/>
    <n v="1246.1059114227039"/>
    <s v="Pending to check"/>
  </r>
  <r>
    <m/>
    <m/>
    <m/>
    <m/>
    <m/>
    <x v="7"/>
    <x v="17"/>
    <s v="Nov-29"/>
    <m/>
    <m/>
    <m/>
    <m/>
    <m/>
    <n v="0"/>
    <n v="210609.44981792179"/>
    <x v="8"/>
    <n v="1246.1059114227039"/>
    <s v="Pending to check"/>
  </r>
  <r>
    <m/>
    <m/>
    <m/>
    <m/>
    <m/>
    <x v="8"/>
    <x v="17"/>
    <s v="Dec-29"/>
    <m/>
    <m/>
    <m/>
    <m/>
    <m/>
    <n v="0"/>
    <n v="210609.44981792179"/>
    <x v="8"/>
    <n v="1246.1059114227039"/>
    <s v="Pending to check"/>
  </r>
  <r>
    <m/>
    <m/>
    <m/>
    <m/>
    <m/>
    <x v="9"/>
    <x v="17"/>
    <s v="Jan-30"/>
    <m/>
    <m/>
    <m/>
    <m/>
    <m/>
    <n v="0"/>
    <n v="210609.44981792179"/>
    <x v="8"/>
    <n v="1246.1059114227039"/>
    <s v="Pending to check"/>
  </r>
  <r>
    <m/>
    <m/>
    <m/>
    <m/>
    <m/>
    <x v="10"/>
    <x v="17"/>
    <s v="Feb-30"/>
    <m/>
    <m/>
    <m/>
    <m/>
    <m/>
    <n v="0"/>
    <n v="210609.44981792179"/>
    <x v="8"/>
    <n v="1246.1059114227039"/>
    <s v="Pending to check"/>
  </r>
  <r>
    <m/>
    <m/>
    <m/>
    <m/>
    <m/>
    <x v="11"/>
    <x v="17"/>
    <s v="Mar-30"/>
    <m/>
    <m/>
    <m/>
    <m/>
    <m/>
    <n v="0"/>
    <n v="210609.44981792179"/>
    <x v="8"/>
    <n v="1246.1059114227039"/>
    <s v="Pending to check"/>
  </r>
  <r>
    <m/>
    <m/>
    <m/>
    <m/>
    <m/>
    <x v="12"/>
    <x v="17"/>
    <m/>
    <n v="0"/>
    <n v="0"/>
    <n v="0"/>
    <n v="0"/>
    <n v="0"/>
    <n v="0"/>
    <n v="225562.72075499425"/>
    <x v="1"/>
    <n v="14953.27093707245"/>
    <s v="interest and new balance not matched "/>
  </r>
  <r>
    <m/>
    <m/>
    <m/>
    <m/>
    <m/>
    <x v="12"/>
    <x v="18"/>
    <m/>
    <m/>
    <m/>
    <m/>
    <m/>
    <m/>
    <m/>
    <m/>
    <x v="1"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m/>
    <d v="2015-09-24T00:00:00"/>
    <d v="2016-09-23T00:00:00"/>
    <s v="1 Year"/>
    <n v="20"/>
    <n v="20"/>
    <m/>
  </r>
  <r>
    <x v="0"/>
    <x v="0"/>
    <m/>
    <d v="2016-09-24T00:00:00"/>
    <d v="2017-09-23T00:00:00"/>
    <s v="1 Year"/>
    <n v="20"/>
    <n v="40"/>
    <m/>
  </r>
  <r>
    <x v="0"/>
    <x v="0"/>
    <m/>
    <d v="2017-09-24T00:00:00"/>
    <d v="2018-09-23T00:00:00"/>
    <s v="1 Year"/>
    <n v="20"/>
    <n v="60"/>
    <m/>
  </r>
  <r>
    <x v="0"/>
    <x v="0"/>
    <m/>
    <d v="2018-09-24T00:00:00"/>
    <d v="2019-09-23T00:00:00"/>
    <s v="1 Year"/>
    <n v="20"/>
    <n v="80"/>
    <m/>
  </r>
  <r>
    <x v="0"/>
    <x v="0"/>
    <m/>
    <d v="2019-09-24T00:00:00"/>
    <d v="2020-09-23T00:00:00"/>
    <s v="1 Year"/>
    <n v="20"/>
    <n v="100"/>
    <m/>
  </r>
  <r>
    <x v="0"/>
    <x v="0"/>
    <m/>
    <d v="2020-09-24T00:00:00"/>
    <d v="2021-09-23T00:00:00"/>
    <s v="1 Year"/>
    <n v="20"/>
    <n v="120"/>
    <m/>
  </r>
  <r>
    <x v="0"/>
    <x v="0"/>
    <m/>
    <d v="2021-09-24T00:00:00"/>
    <d v="2022-09-23T00:00:00"/>
    <s v="1 Year"/>
    <n v="20"/>
    <n v="140"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x v="0"/>
    <x v="0"/>
    <n v="2015"/>
    <d v="2015-09-24T00:00:00"/>
    <d v="2015-12-31T00:00:00"/>
    <s v="3 Months and 7 Days"/>
    <n v="8"/>
    <n v="8"/>
    <m/>
    <s v="Yes"/>
  </r>
  <r>
    <x v="0"/>
    <x v="0"/>
    <n v="2016"/>
    <d v="2016-01-01T00:00:00"/>
    <d v="2016-06-30T00:00:00"/>
    <s v="6 Months"/>
    <n v="15"/>
    <n v="23"/>
    <m/>
    <s v="Yes"/>
  </r>
  <r>
    <x v="0"/>
    <x v="0"/>
    <n v="2016"/>
    <d v="2016-07-01T00:00:00"/>
    <d v="2016-12-31T00:00:00"/>
    <s v="6 Months"/>
    <n v="15"/>
    <n v="38"/>
    <m/>
    <s v="Yes"/>
  </r>
  <r>
    <x v="0"/>
    <x v="0"/>
    <n v="2016"/>
    <m/>
    <m/>
    <m/>
    <n v="10"/>
    <n v="48"/>
    <s v="Transfer From sangriya to Tibbi"/>
    <s v="Yes"/>
  </r>
  <r>
    <x v="0"/>
    <x v="0"/>
    <n v="2017"/>
    <d v="2017-01-01T00:00:00"/>
    <d v="2017-06-30T00:00:00"/>
    <s v="6 Months"/>
    <n v="15"/>
    <n v="63"/>
    <m/>
    <s v="Yes"/>
  </r>
  <r>
    <x v="0"/>
    <x v="1"/>
    <n v="2017"/>
    <d v="2017-03-01T00:00:00"/>
    <m/>
    <m/>
    <n v="-15"/>
    <n v="48"/>
    <m/>
    <s v="Yes"/>
  </r>
  <r>
    <x v="0"/>
    <x v="0"/>
    <n v="2017"/>
    <d v="2017-07-01T00:00:00"/>
    <d v="2017-12-31T00:00:00"/>
    <s v="6 Months"/>
    <n v="15"/>
    <n v="63"/>
    <m/>
    <s v="Yes"/>
  </r>
  <r>
    <x v="0"/>
    <x v="2"/>
    <n v="2017"/>
    <d v="2017-08-08T00:00:00"/>
    <d v="2017-08-09T00:00:00"/>
    <s v="2 Days"/>
    <n v="-2"/>
    <n v="61"/>
    <s v="2 Days Strike"/>
    <s v="Yes"/>
  </r>
  <r>
    <x v="0"/>
    <x v="0"/>
    <n v="2018"/>
    <d v="2018-01-01T00:00:00"/>
    <d v="2018-06-30T00:00:00"/>
    <s v="6 Months"/>
    <n v="15"/>
    <n v="76"/>
    <m/>
    <s v="Yes"/>
  </r>
  <r>
    <x v="0"/>
    <x v="1"/>
    <n v="2018"/>
    <d v="2018-02-01T00:00:00"/>
    <m/>
    <m/>
    <n v="-15"/>
    <n v="61"/>
    <m/>
    <s v="Yes"/>
  </r>
  <r>
    <x v="0"/>
    <x v="0"/>
    <n v="2018"/>
    <d v="2018-07-01T00:00:00"/>
    <d v="2018-12-31T00:00:00"/>
    <s v="6 Months"/>
    <n v="15"/>
    <n v="76"/>
    <m/>
    <s v="Yes"/>
  </r>
  <r>
    <x v="0"/>
    <x v="2"/>
    <n v="2018"/>
    <d v="2018-09-25T00:00:00"/>
    <d v="2018-10-05T00:00:00"/>
    <s v="11 Days"/>
    <n v="-11"/>
    <n v="65"/>
    <s v="11 Days Strike"/>
    <s v="Yes"/>
  </r>
  <r>
    <x v="0"/>
    <x v="0"/>
    <n v="2019"/>
    <d v="2019-01-01T00:00:00"/>
    <d v="2019-06-30T00:00:00"/>
    <s v="6 Months"/>
    <n v="15"/>
    <n v="80"/>
    <m/>
    <s v="Yes"/>
  </r>
  <r>
    <x v="0"/>
    <x v="1"/>
    <n v="2019"/>
    <d v="2019-01-01T00:00:00"/>
    <m/>
    <m/>
    <n v="-15"/>
    <n v="65"/>
    <m/>
    <s v="Yes"/>
  </r>
  <r>
    <x v="0"/>
    <x v="0"/>
    <n v="2019"/>
    <d v="2019-07-01T00:00:00"/>
    <d v="2019-12-31T00:00:00"/>
    <s v="6 Months"/>
    <n v="15"/>
    <n v="80"/>
    <m/>
    <s v="Yes"/>
  </r>
  <r>
    <x v="0"/>
    <x v="0"/>
    <n v="2020"/>
    <d v="2020-01-01T00:00:00"/>
    <d v="2020-06-30T00:00:00"/>
    <s v="6 Months"/>
    <n v="15"/>
    <n v="95"/>
    <m/>
    <s v="Yes"/>
  </r>
  <r>
    <x v="0"/>
    <x v="1"/>
    <n v="2020"/>
    <d v="2020-02-01T00:00:00"/>
    <m/>
    <m/>
    <n v="-15"/>
    <n v="80"/>
    <m/>
    <s v="Yes"/>
  </r>
  <r>
    <x v="0"/>
    <x v="0"/>
    <n v="2020"/>
    <d v="2020-07-01T00:00:00"/>
    <d v="2020-12-31T00:00:00"/>
    <s v="6 Months"/>
    <n v="15"/>
    <n v="95"/>
    <m/>
    <s v="Yes"/>
  </r>
  <r>
    <x v="0"/>
    <x v="1"/>
    <n v="2020"/>
    <d v="2020-08-01T00:00:00"/>
    <m/>
    <m/>
    <n v="-15"/>
    <n v="80"/>
    <m/>
    <s v="Yes"/>
  </r>
  <r>
    <x v="0"/>
    <x v="0"/>
    <n v="2021"/>
    <d v="2021-01-01T00:00:00"/>
    <d v="2021-06-30T00:00:00"/>
    <s v="6 Months"/>
    <n v="15"/>
    <n v="95"/>
    <m/>
    <s v="Yes"/>
  </r>
  <r>
    <x v="0"/>
    <x v="1"/>
    <n v="2021"/>
    <d v="2021-06-01T00:00:00"/>
    <m/>
    <m/>
    <n v="-15"/>
    <n v="80"/>
    <m/>
    <s v="Yes"/>
  </r>
  <r>
    <x v="0"/>
    <x v="0"/>
    <n v="2021"/>
    <d v="2021-07-01T00:00:00"/>
    <d v="2021-12-31T00:00:00"/>
    <s v="6 Months"/>
    <n v="15"/>
    <n v="95"/>
    <m/>
    <s v="Yes"/>
  </r>
  <r>
    <x v="0"/>
    <x v="0"/>
    <n v="2022"/>
    <d v="2022-01-01T00:00:00"/>
    <d v="2022-06-30T00:00:00"/>
    <s v="6 Months"/>
    <n v="15"/>
    <n v="110"/>
    <m/>
    <s v="Yes"/>
  </r>
  <r>
    <x v="0"/>
    <x v="1"/>
    <n v="2022"/>
    <d v="2022-05-01T00:00:00"/>
    <m/>
    <m/>
    <n v="-15"/>
    <n v="95"/>
    <m/>
    <s v="Yes"/>
  </r>
  <r>
    <x v="0"/>
    <x v="0"/>
    <n v="2022"/>
    <d v="2022-07-01T00:00:00"/>
    <d v="2022-12-31T00:00:00"/>
    <s v="6 Months"/>
    <n v="15"/>
    <n v="110"/>
    <m/>
    <s v="Yes"/>
  </r>
  <r>
    <x v="0"/>
    <x v="0"/>
    <n v="2023"/>
    <d v="2023-01-01T00:00:00"/>
    <d v="2023-06-30T00:00:00"/>
    <s v="6 Months"/>
    <n v="15"/>
    <n v="125"/>
    <m/>
    <s v="Yes"/>
  </r>
  <r>
    <x v="0"/>
    <x v="2"/>
    <n v="2023"/>
    <d v="2023-04-24T00:00:00"/>
    <d v="2023-05-02T00:00:00"/>
    <s v="9 Days"/>
    <n v="-9"/>
    <n v="116"/>
    <s v="9 Days Strike"/>
    <s v="Yes"/>
  </r>
  <r>
    <x v="0"/>
    <x v="0"/>
    <n v="2023"/>
    <d v="2023-07-01T00:00:00"/>
    <d v="2023-12-31T00:00:00"/>
    <s v="6 Months"/>
    <n v="15"/>
    <n v="131"/>
    <m/>
    <s v="Yes"/>
  </r>
  <r>
    <x v="0"/>
    <x v="0"/>
    <n v="2024"/>
    <d v="2024-01-01T00:00:00"/>
    <d v="2024-06-30T00:00:00"/>
    <s v="6 Months"/>
    <n v="15"/>
    <n v="146"/>
    <m/>
    <s v="Yes"/>
  </r>
  <r>
    <x v="0"/>
    <x v="0"/>
    <n v="2024"/>
    <d v="2024-07-01T00:00:00"/>
    <d v="2024-12-31T00:00:00"/>
    <s v="6 Months"/>
    <n v="15"/>
    <n v="161"/>
    <m/>
    <s v="Yes"/>
  </r>
  <r>
    <x v="0"/>
    <x v="0"/>
    <n v="2025"/>
    <d v="2025-01-01T00:00:00"/>
    <d v="2025-06-30T00:00:00"/>
    <s v="6 Months"/>
    <n v="15"/>
    <n v="176"/>
    <m/>
    <s v="Yes"/>
  </r>
  <r>
    <x v="0"/>
    <x v="1"/>
    <n v="2025"/>
    <d v="2025-05-01T00:00:00"/>
    <m/>
    <m/>
    <n v="-15"/>
    <n v="161"/>
    <m/>
    <s v="Yes"/>
  </r>
  <r>
    <x v="0"/>
    <x v="0"/>
    <n v="2025"/>
    <d v="2025-07-01T00:00:00"/>
    <d v="2025-12-31T00:00:00"/>
    <s v="6 Months"/>
    <n v="15"/>
    <n v="176"/>
    <m/>
    <s v="Yes"/>
  </r>
  <r>
    <x v="0"/>
    <x v="0"/>
    <n v="2025"/>
    <m/>
    <m/>
    <m/>
    <n v="10"/>
    <n v="186"/>
    <s v="Transfer From Tibbi to Jaipur"/>
    <s v="Pending to check"/>
  </r>
  <r>
    <x v="0"/>
    <x v="2"/>
    <n v="2025"/>
    <d v="2025-11-24T00:00:00"/>
    <d v="2025-12-05T00:00:00"/>
    <m/>
    <n v="-12"/>
    <n v="174"/>
    <s v="in two terms PL taken"/>
    <s v="Pending to check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n v="1"/>
    <x v="0"/>
    <s v="FEB-2016"/>
    <n v="43674"/>
    <s v="Community Health Center, Sangaria (Hanumangarh)"/>
    <n v="2446"/>
    <n v="2446"/>
    <n v="4892"/>
    <s v="ok"/>
    <n v="0"/>
  </r>
  <r>
    <n v="2"/>
    <x v="0"/>
    <s v="MAR-2016"/>
    <n v="48941"/>
    <s v="Community Health Center, Sangaria (Hanumangarh)"/>
    <n v="2446"/>
    <n v="2446"/>
    <n v="4892"/>
    <s v="ok"/>
    <n v="0"/>
  </r>
  <r>
    <n v="3"/>
    <x v="0"/>
    <s v="MAR-2016"/>
    <n v="49219"/>
    <s v="Community Health Center, Sangaria (Hanumangarh)"/>
    <n v="2446"/>
    <n v="2446"/>
    <n v="4892"/>
    <s v="ok"/>
    <n v="0"/>
  </r>
  <r>
    <n v="4"/>
    <x v="0"/>
    <s v="MAR-2016"/>
    <n v="55291"/>
    <s v="Community Health Center, Sangaria (Hanumangarh)"/>
    <n v="5463"/>
    <n v="5463"/>
    <n v="10926"/>
    <s v="ok"/>
    <n v="0"/>
  </r>
  <r>
    <n v="5"/>
    <x v="1"/>
    <s v="APR-2016"/>
    <n v="2179"/>
    <s v="Community Health Center, Sangaria (Hanumangarh)"/>
    <n v="2446"/>
    <n v="2446"/>
    <n v="4892"/>
    <s v="ok"/>
    <n v="0"/>
  </r>
  <r>
    <n v="6"/>
    <x v="1"/>
    <s v="MAY-2016"/>
    <n v="3158"/>
    <s v="Community Health Center, Sangaria (Hanumangarh)"/>
    <n v="2513"/>
    <n v="2513"/>
    <n v="5026"/>
    <s v="ok"/>
    <n v="0"/>
  </r>
  <r>
    <n v="7"/>
    <x v="1"/>
    <s v="JUN-2016"/>
    <n v="13185"/>
    <s v="Office of Analyst cum programmer(Dy Director) DoIT&amp;C Hanumangarh"/>
    <n v="2513"/>
    <n v="2513"/>
    <n v="5026"/>
    <s v="ok"/>
    <n v="0"/>
  </r>
  <r>
    <n v="8"/>
    <x v="1"/>
    <s v="JUL-2016"/>
    <n v="14705"/>
    <s v="Office of Analyst cum programmer(Dy Director) DoIT&amp;C Hanumangarh"/>
    <n v="2513"/>
    <n v="2513"/>
    <n v="5026"/>
    <s v="ok"/>
    <n v="0"/>
  </r>
  <r>
    <n v="9"/>
    <x v="1"/>
    <s v="AUG-2016"/>
    <n v="19959"/>
    <s v="Office of Analyst cum programmer(Dy Director) DoIT&amp;C Hanumangarh"/>
    <n v="2513"/>
    <n v="2513"/>
    <n v="5026"/>
    <s v="ok"/>
    <n v="0"/>
  </r>
  <r>
    <n v="10"/>
    <x v="1"/>
    <s v="SEP-2016"/>
    <n v="23893"/>
    <s v="Office of Analyst cum programmer(Dy Director) DoIT&amp;C Hanumangarh"/>
    <n v="2590"/>
    <n v="2590"/>
    <n v="5180"/>
    <s v="ok"/>
    <n v="0"/>
  </r>
  <r>
    <n v="11"/>
    <x v="1"/>
    <s v="SEP-2016"/>
    <n v="26364"/>
    <s v="Office of Analyst cum programmer(Dy Director) DoIT&amp;C Hanumangarh"/>
    <n v="77"/>
    <n v="77"/>
    <n v="154"/>
    <s v="ok"/>
    <n v="0"/>
  </r>
  <r>
    <n v="12"/>
    <x v="1"/>
    <s v="OCT-2016"/>
    <n v="28883"/>
    <s v="Office of Analyst cum programmer(Dy Director) DoIT&amp;C Hanumangarh"/>
    <n v="2590"/>
    <n v="2590"/>
    <n v="5180"/>
    <s v="ok"/>
    <n v="0"/>
  </r>
  <r>
    <n v="13"/>
    <x v="1"/>
    <s v="OCT-2016"/>
    <n v="35248"/>
    <s v="Office of Analyst cum programmer(Dy Director) DoIT&amp;C Hanumangarh"/>
    <n v="2590"/>
    <n v="2590"/>
    <n v="5180"/>
    <s v="ok"/>
    <n v="0"/>
  </r>
  <r>
    <n v="14"/>
    <x v="1"/>
    <s v="OCT-2016"/>
    <n v="37085"/>
    <m/>
    <n v="201"/>
    <n v="201"/>
    <n v="402"/>
    <s v="missing"/>
    <n v="1"/>
  </r>
  <r>
    <n v="15"/>
    <x v="1"/>
    <s v="DEC-2016"/>
    <n v="40457"/>
    <s v="Office of Analyst cum programmer(Dy Director) DoIT&amp;C Hanumangarh"/>
    <n v="2670"/>
    <n v="2670"/>
    <n v="5340"/>
    <s v="ok"/>
    <n v="0"/>
  </r>
  <r>
    <n v="16"/>
    <x v="1"/>
    <s v="DEC-2016"/>
    <n v="41655"/>
    <s v="Office of Analyst cum programmer(Dy Director) DoIT&amp;C Hanumangarh"/>
    <n v="324"/>
    <n v="324"/>
    <n v="648"/>
    <s v="ok"/>
    <n v="0"/>
  </r>
  <r>
    <n v="17"/>
    <x v="1"/>
    <s v="JAN-2017"/>
    <n v="45844"/>
    <s v="Office of Analyst cum programmer(Dy Director) DoIT&amp;C Hanumangarh"/>
    <n v="2670"/>
    <n v="2670"/>
    <n v="5340"/>
    <s v="ok"/>
    <n v="0"/>
  </r>
  <r>
    <n v="18"/>
    <x v="1"/>
    <s v="FEB-2017"/>
    <n v="50049"/>
    <s v="Office of Analyst cum programmer(Dy Director) DoIT&amp;C Hanumangarh"/>
    <n v="2670"/>
    <n v="2670"/>
    <n v="5340"/>
    <s v="ok"/>
    <n v="0"/>
  </r>
  <r>
    <n v="19"/>
    <x v="1"/>
    <s v="MAR-2017"/>
    <n v="55694"/>
    <s v="Office of Analyst cum programmer(Dy Director) DoIT&amp;C Hanumangarh"/>
    <n v="2670"/>
    <n v="2670"/>
    <n v="5340"/>
    <s v="ok"/>
    <n v="0"/>
  </r>
  <r>
    <n v="20"/>
    <x v="2"/>
    <s v="APR-2017"/>
    <n v="727"/>
    <s v="Office of Analyst cum programmer(Dy Director) DoIT&amp;C Hanumangarh"/>
    <n v="2670"/>
    <n v="2670"/>
    <n v="5340"/>
    <s v="ok"/>
    <n v="0"/>
  </r>
  <r>
    <n v="21"/>
    <x v="2"/>
    <s v="APR-2017"/>
    <n v="3532"/>
    <s v="Office of Analyst cum programmer(Dy Director) DoIT&amp;C Hanumangarh"/>
    <n v="138"/>
    <n v="138"/>
    <n v="276"/>
    <s v="ok"/>
    <n v="0"/>
  </r>
  <r>
    <n v="22"/>
    <x v="2"/>
    <s v="MAY-2017"/>
    <n v="5192"/>
    <s v="Office of Analyst cum programmer(Dy Director) DoIT&amp;C Hanumangarh"/>
    <n v="2716"/>
    <n v="2716"/>
    <n v="5432"/>
    <s v="ok"/>
    <n v="0"/>
  </r>
  <r>
    <n v="23"/>
    <x v="2"/>
    <s v="JUN-2017"/>
    <n v="10350"/>
    <s v="Office of Analyst cum programmer(Dy Director) DoIT&amp;C Hanumangarh"/>
    <n v="2716"/>
    <n v="2716"/>
    <n v="5432"/>
    <s v="ok"/>
    <n v="0"/>
  </r>
  <r>
    <n v="24"/>
    <x v="2"/>
    <s v="JUL-2017"/>
    <n v="15103"/>
    <s v="Office of Analyst cum programmer(Dy Director) DoIT&amp;C Hanumangarh"/>
    <n v="2716"/>
    <n v="2716"/>
    <n v="5432"/>
    <s v="ok"/>
    <n v="0"/>
  </r>
  <r>
    <n v="25"/>
    <x v="2"/>
    <s v="AUG-2017"/>
    <n v="20970"/>
    <s v="Office of Analyst cum programmer(Dy Director) DoIT&amp;C Hanumangarh"/>
    <n v="2716"/>
    <n v="2716"/>
    <n v="5432"/>
    <s v="ok"/>
    <n v="0"/>
  </r>
  <r>
    <n v="26"/>
    <x v="2"/>
    <s v="SEP-2017"/>
    <n v="24832"/>
    <s v="Office of Analyst cum programmer(Dy Director) DoIT&amp;C Hanumangarh"/>
    <n v="2716"/>
    <n v="2716"/>
    <n v="5432"/>
    <s v="ok"/>
    <n v="0"/>
  </r>
  <r>
    <n v="27"/>
    <x v="2"/>
    <s v="OCT-2017"/>
    <n v="29089"/>
    <s v="Office of Analyst cum programmer(Dy Director) DoIT&amp;C Hanumangarh"/>
    <n v="2716"/>
    <n v="2716"/>
    <n v="5432"/>
    <s v="ok"/>
    <n v="0"/>
  </r>
  <r>
    <n v="28"/>
    <x v="2"/>
    <s v="OCT-2017"/>
    <n v="32614"/>
    <s v="Office of Analyst cum programmer(Dy Director) DoIT&amp;C Hanumangarh"/>
    <n v="105"/>
    <n v="105"/>
    <n v="210"/>
    <s v="ok"/>
    <n v="0"/>
  </r>
  <r>
    <n v="29"/>
    <x v="2"/>
    <s v="NOV-2017"/>
    <n v="37958"/>
    <s v="Office of Analyst cum programmer(Dy Director) DoIT&amp;C Hanumangarh"/>
    <n v="2751"/>
    <n v="2751"/>
    <n v="5502"/>
    <s v="ok"/>
    <n v="0"/>
  </r>
  <r>
    <n v="30"/>
    <x v="2"/>
    <s v="DEC-2017"/>
    <n v="41798"/>
    <s v="Office of Analyst cum programmer(Dy Director) DoIT&amp;C Hanumangarh"/>
    <n v="2751"/>
    <n v="2751"/>
    <n v="5502"/>
    <s v="ok"/>
    <n v="0"/>
  </r>
  <r>
    <n v="31"/>
    <x v="2"/>
    <s v="JAN-2018"/>
    <n v="47622"/>
    <s v="Office of Analyst cum programmer(Dy Director) DoIT&amp;C Hanumangarh"/>
    <n v="2751"/>
    <n v="2751"/>
    <n v="5502"/>
    <s v="ok"/>
    <n v="0"/>
  </r>
  <r>
    <n v="32"/>
    <x v="2"/>
    <s v="FEB-2018"/>
    <n v="52864"/>
    <s v="Office of Analyst cum programmer(Dy Director) DoIT&amp;C Hanumangarh"/>
    <n v="3014"/>
    <n v="3014"/>
    <n v="6028"/>
    <s v="ok"/>
    <n v="0"/>
  </r>
  <r>
    <n v="33"/>
    <x v="2"/>
    <s v="2017-18"/>
    <n v="54288"/>
    <m/>
    <n v="789"/>
    <n v="789"/>
    <n v="1578"/>
    <s v="missing"/>
    <n v="1"/>
  </r>
  <r>
    <n v="34"/>
    <x v="2"/>
    <s v="MAR-2018"/>
    <n v="59059"/>
    <s v="Office of Analyst cum programmer(Dy Director) DoIT&amp;C Hanumangarh"/>
    <n v="3014"/>
    <n v="3014"/>
    <n v="6028"/>
    <s v="ok"/>
    <n v="0"/>
  </r>
  <r>
    <n v="35"/>
    <x v="3"/>
    <s v="APR-2018"/>
    <n v="2261"/>
    <s v="Office of Analyst cum programmer(Dy Director) DoIT&amp;C Hanumangarh"/>
    <n v="3071"/>
    <n v="3071"/>
    <n v="6142"/>
    <s v="ok"/>
    <n v="0"/>
  </r>
  <r>
    <n v="36"/>
    <x v="3"/>
    <s v="APR-2018"/>
    <n v="4380"/>
    <s v="Office of Analyst cum programmer(Dy Director) DoIT&amp;C Hanumangarh"/>
    <n v="114"/>
    <n v="114"/>
    <n v="228"/>
    <s v="ok"/>
    <n v="0"/>
  </r>
  <r>
    <n v="37"/>
    <x v="3"/>
    <s v="MAY-2018"/>
    <n v="10650"/>
    <s v="Office of Analyst cum programmer(Dy Director) DoIT&amp;C Hanumangarh"/>
    <n v="573"/>
    <n v="573"/>
    <n v="1146"/>
    <s v="ok"/>
    <n v="0"/>
  </r>
  <r>
    <n v="38"/>
    <x v="3"/>
    <s v="MAY-2018"/>
    <n v="12293"/>
    <s v="Office of Analyst cum programmer(Dy Director) DoIT&amp;C Hanumangarh"/>
    <n v="3071"/>
    <n v="3071"/>
    <n v="6142"/>
    <s v="ok"/>
    <n v="0"/>
  </r>
  <r>
    <n v="39"/>
    <x v="3"/>
    <s v="JUN-2018"/>
    <n v="14665"/>
    <s v="Office of Analyst cum programmer(Dy Director) DoIT&amp;C Hanumangarh"/>
    <n v="3071"/>
    <n v="3071"/>
    <n v="6142"/>
    <s v="ok"/>
    <n v="0"/>
  </r>
  <r>
    <n v="40"/>
    <x v="3"/>
    <s v="JUL-2018"/>
    <n v="20799"/>
    <s v="Office of Analyst cum programmer(Dy Director) DoIT&amp;C Hanumangarh"/>
    <n v="3071"/>
    <n v="3071"/>
    <n v="6142"/>
    <s v="ok"/>
    <n v="0"/>
  </r>
  <r>
    <n v="41"/>
    <x v="3"/>
    <s v="JUL-2018"/>
    <n v="27703"/>
    <s v="Office of Analyst cum programmer(Dy Director) DoIT&amp;C Hanumangarh"/>
    <n v="573"/>
    <n v="573"/>
    <n v="1146"/>
    <s v="ok"/>
    <n v="0"/>
  </r>
  <r>
    <n v="42"/>
    <x v="3"/>
    <s v="AUG-2018"/>
    <n v="28948"/>
    <s v="Office of Analyst cum programmer(Dy Director) DoIT&amp;C Hanumangarh"/>
    <n v="3167"/>
    <n v="3167"/>
    <n v="6334"/>
    <s v="ok"/>
    <n v="0"/>
  </r>
  <r>
    <n v="43"/>
    <x v="3"/>
    <s v="SEP-2018"/>
    <n v="38148"/>
    <s v="Office of Analyst cum programmer(Dy Director) DoIT&amp;C Hanumangarh"/>
    <n v="3167"/>
    <n v="3167"/>
    <n v="6334"/>
    <s v="ok"/>
    <n v="0"/>
  </r>
  <r>
    <n v="44"/>
    <x v="3"/>
    <s v="OCT-2018"/>
    <n v="45759"/>
    <s v="Office of Analyst cum programmer(Dy Director) DoIT&amp;C Hanumangarh"/>
    <n v="3167"/>
    <n v="3167"/>
    <n v="6334"/>
    <s v="ok"/>
    <n v="0"/>
  </r>
  <r>
    <n v="45"/>
    <x v="3"/>
    <s v="OCT-2018"/>
    <n v="51682"/>
    <s v="Office of Analyst cum programmer(Dy Director) DoIT&amp;C Hanumangarh"/>
    <n v="177"/>
    <n v="177"/>
    <n v="354"/>
    <s v="ok"/>
    <n v="0"/>
  </r>
  <r>
    <n v="46"/>
    <x v="3"/>
    <s v="2018-19"/>
    <n v="61581"/>
    <m/>
    <n v="759"/>
    <n v="759"/>
    <n v="1518"/>
    <s v="missing"/>
    <n v="1"/>
  </r>
  <r>
    <n v="47"/>
    <x v="3"/>
    <s v="NOV-2018"/>
    <n v="64791"/>
    <s v="Office of Analyst cum programmer(Dy Director) DoIT&amp;C Hanumangarh"/>
    <n v="3226"/>
    <n v="3226"/>
    <n v="6452"/>
    <s v="ok"/>
    <n v="0"/>
  </r>
  <r>
    <n v="48"/>
    <x v="3"/>
    <s v="JAN-2019"/>
    <n v="78389"/>
    <s v="Office of Analyst cum programmer(Dy Director) DoIT&amp;C Hanumangarh"/>
    <n v="3226"/>
    <n v="3226"/>
    <n v="6452"/>
    <s v="ok"/>
    <n v="0"/>
  </r>
  <r>
    <n v="49"/>
    <x v="3"/>
    <s v="FEB-2019"/>
    <n v="84675"/>
    <s v="Office of Analyst cum programmer(Dy Director) DoIT&amp;C Hanumangarh"/>
    <n v="3226"/>
    <n v="3226"/>
    <n v="6452"/>
    <s v="ok"/>
    <n v="0"/>
  </r>
  <r>
    <n v="50"/>
    <x v="3"/>
    <s v="FEB-2019"/>
    <n v="84676"/>
    <s v="Office of Analyst cum programmer(Dy Director) DoIT&amp;C Hanumangarh"/>
    <n v="3226"/>
    <n v="3226"/>
    <n v="6452"/>
    <s v="ok"/>
    <n v="0"/>
  </r>
  <r>
    <n v="51"/>
    <x v="3"/>
    <s v="MAR-2019"/>
    <n v="89654"/>
    <s v="Office of Analyst cum programmer(Dy Director) DoIT&amp;C Hanumangarh"/>
    <n v="3226"/>
    <n v="3226"/>
    <n v="6452"/>
    <s v="ok"/>
    <n v="0"/>
  </r>
  <r>
    <n v="52"/>
    <x v="4"/>
    <s v="APR-2019"/>
    <n v="2067"/>
    <s v="Office of Analyst cum programmer(Dy Director) DoIT&amp;C Hanumangarh"/>
    <n v="3315"/>
    <n v="3315"/>
    <n v="6630"/>
    <s v="ok"/>
    <n v="0"/>
  </r>
  <r>
    <n v="53"/>
    <x v="4"/>
    <s v="MAY-2019"/>
    <n v="7783"/>
    <s v="Office of Analyst cum programmer(Dy Director) DoIT&amp;C Hanumangarh"/>
    <n v="3315"/>
    <n v="3315"/>
    <n v="6630"/>
    <s v="ok"/>
    <n v="0"/>
  </r>
  <r>
    <n v="54"/>
    <x v="4"/>
    <s v="2019-20"/>
    <n v="8498"/>
    <m/>
    <n v="178"/>
    <n v="178"/>
    <n v="356"/>
    <s v="missing"/>
    <n v="1"/>
  </r>
  <r>
    <n v="55"/>
    <x v="4"/>
    <s v="JUN-2019"/>
    <n v="13083"/>
    <s v="Office of Analyst cum programmer(Dy Director) DoIT&amp;C Hanumangarh"/>
    <n v="3315"/>
    <n v="3315"/>
    <n v="6630"/>
    <s v="ok"/>
    <n v="0"/>
  </r>
  <r>
    <n v="56"/>
    <x v="4"/>
    <s v="JUL-2019"/>
    <n v="17962"/>
    <s v="Office of Analyst cum programmer(Dy Director) DoIT&amp;C Hanumangarh"/>
    <n v="3315"/>
    <n v="3315"/>
    <n v="6630"/>
    <s v="ok"/>
    <n v="0"/>
  </r>
  <r>
    <n v="57"/>
    <x v="4"/>
    <s v="AUG-2019"/>
    <n v="22832"/>
    <s v="Office of Analyst cum programmer(Dy Director) DoIT&amp;C Hanumangarh"/>
    <n v="3416"/>
    <n v="3416"/>
    <n v="6832"/>
    <s v="ok"/>
    <n v="0"/>
  </r>
  <r>
    <n v="58"/>
    <x v="4"/>
    <s v="SEP-2019"/>
    <n v="28118"/>
    <s v="Office of Analyst cum programmer(Dy Director) DoIT&amp;C Hanumangarh"/>
    <n v="3416"/>
    <n v="3416"/>
    <n v="6832"/>
    <s v="ok"/>
    <n v="0"/>
  </r>
  <r>
    <n v="59"/>
    <x v="4"/>
    <s v="OCT-2019"/>
    <n v="35390"/>
    <s v="Office of Analyst cum programmer(Dy Director) DoIT&amp;C Hanumangarh"/>
    <n v="3416"/>
    <n v="3416"/>
    <n v="6832"/>
    <s v="ok"/>
    <n v="0"/>
  </r>
  <r>
    <n v="60"/>
    <x v="4"/>
    <s v="NOV-2019"/>
    <n v="41375"/>
    <s v="Office of Analyst cum programmer(Dy Director) DoIT&amp;C Hanumangarh"/>
    <n v="3416"/>
    <n v="3416"/>
    <n v="6832"/>
    <s v="ok"/>
    <n v="0"/>
  </r>
  <r>
    <n v="61"/>
    <x v="4"/>
    <s v="DEC-2019"/>
    <n v="48035"/>
    <s v="Office of Analyst cum programmer(Dy Director) DoIT&amp;C Hanumangarh"/>
    <n v="3416"/>
    <n v="3416"/>
    <n v="6832"/>
    <s v="ok"/>
    <n v="0"/>
  </r>
  <r>
    <n v="62"/>
    <x v="4"/>
    <s v="JAN-2020"/>
    <n v="53590"/>
    <s v="Office of Analyst cum programmer(Dy Director) DoIT&amp;C Hanumangarh"/>
    <n v="3416"/>
    <n v="3416"/>
    <n v="6832"/>
    <s v="ok"/>
    <n v="0"/>
  </r>
  <r>
    <n v="63"/>
    <x v="4"/>
    <s v="FEB-2020"/>
    <n v="58674"/>
    <s v="Office of Analyst cum programmer(Dy Director) DoIT&amp;C Hanumangarh"/>
    <n v="3416"/>
    <n v="3416"/>
    <n v="6832"/>
    <s v="ok"/>
    <n v="0"/>
  </r>
  <r>
    <n v="64"/>
    <x v="4"/>
    <s v="MAR-2020"/>
    <n v="65112"/>
    <s v="Office of Analyst cum programmer(Dy Director) DoIT&amp;C Hanumangarh"/>
    <n v="3416"/>
    <n v="3416"/>
    <n v="6832"/>
    <s v="ok"/>
    <n v="0"/>
  </r>
  <r>
    <n v="65"/>
    <x v="5"/>
    <s v="APR-2020"/>
    <n v="291"/>
    <s v="Office of Analyst cum programmer(Dy Director) DoIT&amp;C Hanumangarh"/>
    <n v="2532"/>
    <n v="2532"/>
    <n v="5064"/>
    <s v="ok"/>
    <n v="0"/>
  </r>
  <r>
    <n v="66"/>
    <x v="5"/>
    <s v="MAY-2020"/>
    <n v="4971"/>
    <s v="Office of Analyst cum programmer(Dy Director) DoIT&amp;C Hanumangarh"/>
    <n v="3569"/>
    <n v="3569"/>
    <n v="7138"/>
    <s v="ok"/>
    <n v="0"/>
  </r>
  <r>
    <n v="67"/>
    <x v="5"/>
    <s v="MAY-2020"/>
    <n v="4819"/>
    <s v="Office of Analyst cum programmer(Dy Director) DoIT&amp;C Hanumangarh"/>
    <n v="918"/>
    <n v="918"/>
    <n v="1836"/>
    <s v="ok"/>
    <n v="0"/>
  </r>
  <r>
    <n v="68"/>
    <x v="5"/>
    <s v="MAY-2020"/>
    <n v="4811"/>
    <s v="Office of Analyst cum programmer(Dy Director) DoIT&amp;C Hanumangarh"/>
    <n v="306"/>
    <n v="306"/>
    <n v="612"/>
    <s v="ok"/>
    <n v="0"/>
  </r>
  <r>
    <n v="69"/>
    <x v="5"/>
    <s v="JUN-2020"/>
    <n v="10260"/>
    <s v="Office of Analyst cum programmer(Dy Director) DoIT&amp;C Hanumangarh"/>
    <n v="3569"/>
    <n v="3569"/>
    <n v="7138"/>
    <s v="ok"/>
    <n v="0"/>
  </r>
  <r>
    <n v="70"/>
    <x v="5"/>
    <s v="JUL-2020"/>
    <n v="17622"/>
    <s v="Office of Analyst cum programmer(Dy Director) DoIT&amp;C Hanumangarh"/>
    <n v="3569"/>
    <n v="3569"/>
    <n v="7138"/>
    <s v="ok"/>
    <n v="0"/>
  </r>
  <r>
    <n v="71"/>
    <x v="5"/>
    <s v="AUG-2020"/>
    <n v="23350"/>
    <s v="Office of Analyst cum programmer(Dy Director) DoIT&amp;C Hanumangarh"/>
    <n v="3674"/>
    <n v="3674"/>
    <n v="7348"/>
    <s v="ok"/>
    <n v="0"/>
  </r>
  <r>
    <n v="72"/>
    <x v="5"/>
    <s v="SEP-2020"/>
    <n v="28462"/>
    <s v="Office of Analyst cum programmer(Dy Director) DoIT&amp;C Hanumangarh"/>
    <n v="3674"/>
    <n v="3674"/>
    <n v="7348"/>
    <s v="ok"/>
    <n v="0"/>
  </r>
  <r>
    <n v="73"/>
    <x v="5"/>
    <s v="OCT-2020"/>
    <n v="33490"/>
    <s v="Office of Analyst cum programmer(Dy Director) DoIT&amp;C Hanumangarh"/>
    <n v="3674"/>
    <n v="3674"/>
    <n v="7348"/>
    <s v="ok"/>
    <n v="0"/>
  </r>
  <r>
    <n v="74"/>
    <x v="5"/>
    <s v="NOV-2020"/>
    <n v="38388"/>
    <s v="Office of Analyst cum programmer(Dy Director) DoIT&amp;C Hanumangarh"/>
    <n v="3674"/>
    <n v="3674"/>
    <n v="7348"/>
    <s v="ok"/>
    <n v="0"/>
  </r>
  <r>
    <n v="75"/>
    <x v="5"/>
    <s v="DEC-2020"/>
    <n v="45971"/>
    <s v="Office of Analyst cum programmer(Dy Director) DoIT&amp;C Hanumangarh"/>
    <n v="3674"/>
    <n v="3674"/>
    <n v="7348"/>
    <s v="ok"/>
    <n v="0"/>
  </r>
  <r>
    <n v="76"/>
    <x v="5"/>
    <s v="JAN-2021"/>
    <n v="52244"/>
    <s v="Office of Analyst cum programmer(Dy Director) DoIT&amp;C Hanumangarh"/>
    <n v="3674"/>
    <n v="3674"/>
    <n v="7348"/>
    <s v="ok"/>
    <n v="0"/>
  </r>
  <r>
    <n v="77"/>
    <x v="5"/>
    <s v="FEB-2021"/>
    <n v="58485"/>
    <s v="Office of Analyst cum programmer(Dy Director) DoIT&amp;C Hanumangarh"/>
    <n v="3674"/>
    <n v="3674"/>
    <n v="7348"/>
    <s v="ok"/>
    <n v="0"/>
  </r>
  <r>
    <n v="78"/>
    <x v="5"/>
    <s v="MAR-2021"/>
    <n v="63803"/>
    <s v="Office of Analyst cum programmer(Dy Director) DoIT&amp;C Hanumangarh"/>
    <n v="3674"/>
    <n v="3674"/>
    <n v="7348"/>
    <s v="ok"/>
    <n v="0"/>
  </r>
  <r>
    <n v="79"/>
    <x v="5"/>
    <s v="MAR-2021"/>
    <n v="66693"/>
    <s v="Office of Analyst cum programmer(Dy Director) DoIT&amp;C Hanumangarh"/>
    <n v="1036"/>
    <n v="1036"/>
    <n v="2072"/>
    <s v="MARCH 2021 KI जगह पर MARCH 2020 आएगा, GA 55 में MARCH 2020 की एंट्री है|"/>
    <n v="1"/>
  </r>
  <r>
    <n v="80"/>
    <x v="6"/>
    <s v="APR-2021"/>
    <n v="1971"/>
    <s v="Office of Analyst cum programmer(Dy Director) DoIT&amp;C Hanumangarh"/>
    <n v="3674"/>
    <n v="3674"/>
    <n v="7348"/>
    <s v="ok"/>
    <n v="0"/>
  </r>
  <r>
    <n v="81"/>
    <x v="6"/>
    <s v="MAY-2021"/>
    <n v="6836"/>
    <s v="Office of Analyst cum programmer(Dy Director) DoIT&amp;C Hanumangarh"/>
    <n v="3674"/>
    <n v="3674"/>
    <n v="7348"/>
    <s v="ok"/>
    <n v="0"/>
  </r>
  <r>
    <n v="82"/>
    <x v="6"/>
    <s v="JUN-2021"/>
    <n v="12477"/>
    <s v="Office of Analyst cum programmer(Dy Director) DoIT&amp;C Hanumangarh"/>
    <n v="3674"/>
    <n v="3674"/>
    <n v="7348"/>
    <s v="ok"/>
    <n v="0"/>
  </r>
  <r>
    <n v="83"/>
    <x v="6"/>
    <s v="JUL-2021"/>
    <n v="17505"/>
    <s v="Office of Analyst cum programmer(Dy Director) DoIT&amp;C Hanumangarh"/>
    <n v="3674"/>
    <n v="3674"/>
    <n v="7348"/>
    <s v="ok"/>
    <n v="0"/>
  </r>
  <r>
    <n v="84"/>
    <x v="6"/>
    <s v="AUG-2021"/>
    <n v="22702"/>
    <s v="Office of Analyst cum programmer(Dy Director) DoIT&amp;C Hanumangarh"/>
    <n v="4134"/>
    <n v="4134"/>
    <n v="8268"/>
    <s v="ok"/>
    <n v="0"/>
  </r>
  <r>
    <n v="85"/>
    <x v="6"/>
    <s v="SEP-2021"/>
    <n v="28815"/>
    <s v="Office of Analyst cum programmer(Dy Director) DoIT&amp;C Hanumangarh"/>
    <n v="4134"/>
    <n v="4134"/>
    <n v="8268"/>
    <s v="ok"/>
    <n v="0"/>
  </r>
  <r>
    <n v="87"/>
    <x v="6"/>
    <m/>
    <n v="36889"/>
    <m/>
    <n v="4134"/>
    <n v="4134"/>
    <n v="8268"/>
    <s v="missing"/>
    <n v="1"/>
  </r>
  <r>
    <n v="88"/>
    <x v="6"/>
    <m/>
    <n v="40146"/>
    <m/>
    <n v="4231"/>
    <n v="4231"/>
    <n v="8462"/>
    <s v="missing"/>
    <n v="1"/>
  </r>
  <r>
    <n v="88"/>
    <x v="6"/>
    <m/>
    <n v="48467"/>
    <m/>
    <n v="4231"/>
    <n v="4231"/>
    <n v="8462"/>
    <s v="missing"/>
    <n v="1"/>
  </r>
  <r>
    <n v="88"/>
    <x v="6"/>
    <m/>
    <n v="55697"/>
    <m/>
    <n v="4231"/>
    <n v="4231"/>
    <n v="8462"/>
    <s v="missing"/>
    <n v="1"/>
  </r>
  <r>
    <n v="88"/>
    <x v="6"/>
    <m/>
    <n v="63392"/>
    <m/>
    <n v="4231"/>
    <n v="4231"/>
    <n v="8462"/>
    <s v="missing"/>
    <n v="1"/>
  </r>
  <r>
    <n v="88"/>
    <x v="6"/>
    <m/>
    <n v="52725"/>
    <m/>
    <n v="291"/>
    <n v="291"/>
    <n v="582"/>
    <s v="missing"/>
    <n v="1"/>
  </r>
  <r>
    <m/>
    <x v="7"/>
    <m/>
    <m/>
    <m/>
    <m/>
    <m/>
    <m/>
    <s v="ok"/>
    <n v="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s v="IPD"/>
    <n v="1"/>
    <s v="S N SUPER SPECIALITY HOSPITAL PVT LTD"/>
    <s v="Mohit Kumar Jain"/>
    <s v="9999-88UT-00011"/>
    <s v="2025062110364656"/>
    <s v="Self"/>
    <s v="Male"/>
    <d v="2025-06-21T00:00:00"/>
    <s v="Normal"/>
    <s v="DAYCARE - Others"/>
    <d v="2025-06-21T00:00:00"/>
    <d v="2025-06-21T00:00:00"/>
    <n v="1786"/>
  </r>
  <r>
    <x v="0"/>
    <s v="IPD"/>
    <n v="2"/>
    <s v="S N SUPER SPECIALITY HOSPITAL PVT LTD"/>
    <s v="Mohit Kumar Jain"/>
    <s v="9999-88UT-00011"/>
    <s v="202508141039225"/>
    <s v="Self"/>
    <s v="Male"/>
    <d v="2025-08-14T00:00:00"/>
    <s v="Normal"/>
    <s v="DAYCARE - Others"/>
    <d v="2025-08-14T00:00:00"/>
    <d v="2025-08-14T00:00:00"/>
    <n v="1786"/>
  </r>
  <r>
    <x v="0"/>
    <s v="IPD"/>
    <n v="3"/>
    <s v="S N SUPER SPECIALITY HOSPITAL PVT LTD"/>
    <s v="Manisha Jain"/>
    <s v="9999-88UT-00011"/>
    <s v="2025112612494319"/>
    <s v="Mother"/>
    <s v="Female"/>
    <d v="2025-11-26T00:00:00"/>
    <s v="Normal"/>
    <s v="IPD"/>
    <d v="2025-11-26T00:00:00"/>
    <d v="2025-11-27T00:00:00"/>
    <n v="5342"/>
  </r>
  <r>
    <x v="0"/>
    <s v="IPD"/>
    <n v="4"/>
    <s v="ManglamPlus Medicity Hospital"/>
    <s v="Mohit Kumar Jain"/>
    <s v="9999-88UT-00011"/>
    <s v="2025123014404367"/>
    <s v="Self"/>
    <s v="Male"/>
    <d v="2025-12-30T00:00:00"/>
    <s v="Normal"/>
    <s v="DAYCARE - Others"/>
    <d v="2025-12-31T00:00:00"/>
    <d v="2025-12-31T00:00:00"/>
    <n v="5952"/>
  </r>
  <r>
    <x v="0"/>
    <s v="IPD"/>
    <n v="5"/>
    <s v="ManglamPlus Medicity Hospital"/>
    <s v="Mohit Kumar Jain"/>
    <s v="9999-88UT-00011"/>
    <s v="2026011711334561"/>
    <s v="Self"/>
    <s v="Male"/>
    <d v="2026-01-17T00:00:00"/>
    <s v="Normal"/>
    <s v="DAYCARE - Others"/>
    <d v="2026-01-17T00:00:00"/>
    <d v="2026-01-17T00:00:00"/>
    <n v="4166"/>
  </r>
  <r>
    <x v="1"/>
    <m/>
    <m/>
    <m/>
    <m/>
    <m/>
    <m/>
    <m/>
    <m/>
    <m/>
    <m/>
    <m/>
    <m/>
    <m/>
    <m/>
  </r>
  <r>
    <x v="1"/>
    <m/>
    <m/>
    <m/>
    <m/>
    <m/>
    <m/>
    <m/>
    <m/>
    <m/>
    <m/>
    <m/>
    <m/>
    <m/>
    <m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3">
  <r>
    <x v="0"/>
    <d v="2016-03-01T00:00:00"/>
    <n v="1"/>
    <d v="2016-03-01T00:00:00"/>
    <d v="2016-04-25T00:00:00"/>
    <n v="2179"/>
    <n v="1100"/>
    <s v="ONLINE"/>
    <s v="HANUMANGARH"/>
    <s v="22956-CHC SANGARIA"/>
    <s v="Community Health Center, Sangaria (Hanumangarh)"/>
    <x v="0"/>
    <s v="16"/>
    <s v="ok"/>
  </r>
  <r>
    <x v="0"/>
    <d v="2016-04-01T00:00:00"/>
    <n v="1"/>
    <d v="2016-04-01T00:00:00"/>
    <d v="2016-05-02T00:00:00"/>
    <n v="3158"/>
    <n v="1100"/>
    <s v="ONLINE"/>
    <s v="HANUMANGARH"/>
    <s v="22956-CHC SANGARIA"/>
    <s v="Community Health Center, Sangaria (Hanumangarh)"/>
    <x v="1"/>
    <s v="16"/>
    <s v="ok"/>
  </r>
  <r>
    <x v="0"/>
    <d v="2016-05-01T00:00:00"/>
    <n v="1"/>
    <d v="2016-05-01T00:00:00"/>
    <d v="2016-06-28T00:00:00"/>
    <n v="13185"/>
    <n v="1100"/>
    <s v="ONLINE"/>
    <s v="HANUMANGARH"/>
    <s v="Analyst Cum Programmer DOIT&amp;amp;C HANUMANGARH"/>
    <s v="Office of Analyst cum programmer(Dy Director) DoIT&amp;C Hanumangarh"/>
    <x v="2"/>
    <s v="16"/>
    <s v="ok"/>
  </r>
  <r>
    <x v="0"/>
    <d v="2016-06-01T00:00:00"/>
    <n v="1"/>
    <d v="2016-06-01T00:00:00"/>
    <d v="2016-07-02T00:00:00"/>
    <n v="14705"/>
    <n v="1100"/>
    <s v="ONLINE"/>
    <s v="HANUMANGARH"/>
    <s v="Analyst Cum Programmer DOIT&amp;amp;C HANUMANGARH"/>
    <s v="Office of Analyst cum programmer(Dy Director) DoIT&amp;C Hanumangarh"/>
    <x v="3"/>
    <s v="16"/>
    <s v="ok"/>
  </r>
  <r>
    <x v="0"/>
    <d v="2016-07-01T00:00:00"/>
    <n v="1"/>
    <d v="2016-07-01T00:00:00"/>
    <d v="2016-08-04T00:00:00"/>
    <n v="19959"/>
    <n v="1100"/>
    <s v="ONLINE"/>
    <s v="HANUMANGARH"/>
    <s v="Analyst Cum Programmer DOIT&amp;amp;C HANUMANGARH"/>
    <s v="Office of Analyst cum programmer(Dy Director) DoIT&amp;C Hanumangarh"/>
    <x v="4"/>
    <s v="16"/>
    <s v="ok"/>
  </r>
  <r>
    <x v="0"/>
    <d v="2016-08-01T00:00:00"/>
    <n v="1"/>
    <d v="2016-08-01T00:00:00"/>
    <d v="2016-09-01T00:00:00"/>
    <n v="23893"/>
    <n v="1100"/>
    <s v="ONLINE"/>
    <s v="HANUMANGARH"/>
    <s v="Analyst Cum Programmer DOIT&amp;amp;C HANUMANGARH"/>
    <s v="Office of Analyst cum programmer(Dy Director) DoIT&amp;C Hanumangarh"/>
    <x v="5"/>
    <s v="16"/>
    <s v="ok"/>
  </r>
  <r>
    <x v="0"/>
    <d v="2016-09-01T00:00:00"/>
    <n v="1"/>
    <d v="2016-10-01T00:00:00"/>
    <d v="2016-10-28T00:00:00"/>
    <n v="35248"/>
    <n v="1100"/>
    <s v="ONLINE"/>
    <s v="HANUMANGARH"/>
    <s v="Analyst Cum Programmer DOIT&amp;amp;C HANUMANGARH"/>
    <s v="Office of Analyst cum programmer(Dy Director) DoIT&amp;C Hanumangarh"/>
    <x v="6"/>
    <s v="16"/>
    <s v="ok"/>
  </r>
  <r>
    <x v="0"/>
    <d v="2016-09-01T00:00:00"/>
    <n v="3"/>
    <d v="2016-09-01T00:00:00"/>
    <d v="2016-10-01T00:00:00"/>
    <n v="28883"/>
    <n v="1100"/>
    <s v="ONLINE"/>
    <s v="HANUMANGARH"/>
    <s v="Analyst Cum Programmer DOIT&amp;amp;C HANUMANGARH"/>
    <s v="Office of Analyst cum programmer(Dy Director) DoIT&amp;C Hanumangarh"/>
    <x v="6"/>
    <s v="16"/>
    <s v="ok"/>
  </r>
  <r>
    <x v="0"/>
    <d v="2016-11-01T00:00:00"/>
    <n v="1"/>
    <d v="2016-11-01T00:00:00"/>
    <d v="2016-12-01T00:00:00"/>
    <n v="40457"/>
    <n v="1100"/>
    <s v="ONLINE"/>
    <s v="HANUMANGARH"/>
    <s v="Analyst Cum Programmer DOIT&amp;amp;C HANUMANGARH"/>
    <s v="Office of Analyst cum programmer(Dy Director) DoIT&amp;C Hanumangarh"/>
    <x v="7"/>
    <s v="16"/>
    <s v="ok"/>
  </r>
  <r>
    <x v="0"/>
    <d v="2016-12-01T00:00:00"/>
    <n v="1"/>
    <d v="2016-12-01T00:00:00"/>
    <d v="2017-01-04T00:00:00"/>
    <n v="45844"/>
    <n v="1100"/>
    <s v="ONLINE"/>
    <s v="HANUMANGARH"/>
    <s v="Analyst Cum Programmer DOIT&amp;amp;C HANUMANGARH"/>
    <s v="Office of Analyst cum programmer(Dy Director) DoIT&amp;C Hanumangarh"/>
    <x v="8"/>
    <s v="17"/>
    <s v="ok"/>
  </r>
  <r>
    <x v="0"/>
    <d v="2017-01-01T00:00:00"/>
    <n v="1"/>
    <d v="2017-01-01T00:00:00"/>
    <d v="2017-02-01T00:00:00"/>
    <n v="50049"/>
    <n v="1100"/>
    <s v="ONLINE"/>
    <s v="HANUMANGARH"/>
    <s v="Analyst Cum Programmer DOIT&amp;amp;C HANUMANGARH"/>
    <s v="Office of Analyst cum programmer(Dy Director) DoIT&amp;C Hanumangarh"/>
    <x v="9"/>
    <s v="17"/>
    <s v="ok"/>
  </r>
  <r>
    <x v="0"/>
    <d v="2017-02-01T00:00:00"/>
    <n v="1"/>
    <d v="2017-02-01T00:00:00"/>
    <d v="2017-03-03T00:00:00"/>
    <n v="55694"/>
    <n v="1100"/>
    <s v="ONLINE"/>
    <s v="HANUMANGARH"/>
    <s v="Analyst Cum Programmer DOIT&amp;amp;C HANUMANGARH"/>
    <s v="Office of Analyst cum programmer(Dy Director) DoIT&amp;C Hanumangarh"/>
    <x v="10"/>
    <s v="17"/>
    <s v="ok"/>
  </r>
  <r>
    <x v="1"/>
    <d v="2017-03-01T00:00:00"/>
    <n v="1"/>
    <d v="2017-03-01T00:00:00"/>
    <d v="2017-04-07T00:00:00"/>
    <n v="727"/>
    <n v="2650"/>
    <s v="ONLINE"/>
    <s v="HANUMANGARH"/>
    <s v="Analyst Cum Programmer DOIT&amp;amp;C HANUMANGARH"/>
    <s v="Office of Analyst cum programmer(Dy Director) DoIT&amp;C Hanumangarh"/>
    <x v="0"/>
    <s v="17"/>
    <s v="ok"/>
  </r>
  <r>
    <x v="1"/>
    <d v="2017-04-01T00:00:00"/>
    <n v="1"/>
    <d v="2017-04-01T00:00:00"/>
    <d v="2017-05-03T00:00:00"/>
    <n v="5192"/>
    <n v="2650"/>
    <s v="ONLINE"/>
    <s v="HANUMANGARH"/>
    <s v="Analyst Cum Programmer DOIT&amp;amp;C HANUMANGARH"/>
    <s v="Office of Analyst cum programmer(Dy Director) DoIT&amp;C Hanumangarh"/>
    <x v="1"/>
    <s v="17"/>
    <s v="ok"/>
  </r>
  <r>
    <x v="1"/>
    <d v="2017-05-01T00:00:00"/>
    <n v="1"/>
    <d v="2017-05-01T00:00:00"/>
    <d v="2017-06-01T00:00:00"/>
    <n v="10350"/>
    <n v="2650"/>
    <s v="ONLINE"/>
    <s v="HANUMANGARH"/>
    <s v="Analyst Cum Programmer DOIT&amp;amp;C HANUMANGARH"/>
    <s v="Office of Analyst cum programmer(Dy Director) DoIT&amp;C Hanumangarh"/>
    <x v="2"/>
    <s v="17"/>
    <s v="ok"/>
  </r>
  <r>
    <x v="1"/>
    <d v="2017-06-01T00:00:00"/>
    <n v="1"/>
    <d v="2017-06-01T00:00:00"/>
    <d v="2017-07-01T00:00:00"/>
    <n v="15103"/>
    <n v="2650"/>
    <s v="ONLINE"/>
    <s v="HANUMANGARH"/>
    <s v="Analyst Cum Programmer DOIT&amp;amp;C HANUMANGARH"/>
    <s v="Office of Analyst cum programmer(Dy Director) DoIT&amp;C Hanumangarh"/>
    <x v="3"/>
    <s v="17"/>
    <s v="ok"/>
  </r>
  <r>
    <x v="1"/>
    <d v="2017-07-01T00:00:00"/>
    <n v="1"/>
    <d v="2017-07-01T00:00:00"/>
    <d v="2017-08-04T00:00:00"/>
    <n v="20970"/>
    <n v="2650"/>
    <s v="ONLINE"/>
    <s v="HANUMANGARH"/>
    <s v="Analyst Cum Programmer DOIT&amp;amp;C HANUMANGARH"/>
    <s v="Office of Analyst cum programmer(Dy Director) DoIT&amp;C Hanumangarh"/>
    <x v="4"/>
    <s v="17"/>
    <s v="ok"/>
  </r>
  <r>
    <x v="1"/>
    <d v="2017-08-01T00:00:00"/>
    <n v="1"/>
    <d v="2017-08-01T00:00:00"/>
    <d v="2017-09-06T00:00:00"/>
    <n v="24832"/>
    <n v="2650"/>
    <s v="ONLINE"/>
    <s v="HANUMANGARH"/>
    <s v="Analyst Cum Programmer DOIT&amp;amp;C HANUMANGARH"/>
    <s v="Office of Analyst cum programmer(Dy Director) DoIT&amp;C Hanumangarh"/>
    <x v="5"/>
    <s v="17"/>
    <s v="ok"/>
  </r>
  <r>
    <x v="1"/>
    <d v="2017-09-01T00:00:00"/>
    <n v="1"/>
    <d v="2017-09-01T00:00:00"/>
    <d v="2017-10-06T00:00:00"/>
    <n v="29089"/>
    <n v="2650"/>
    <s v="ONLINE"/>
    <s v="HANUMANGARH"/>
    <m/>
    <s v="Office of Analyst cum programmer(Dy Director) DoIT&amp;C Hanumangarh"/>
    <x v="6"/>
    <s v="17"/>
    <s v="ok"/>
  </r>
  <r>
    <x v="1"/>
    <d v="2017-10-01T00:00:00"/>
    <n v="1"/>
    <d v="2017-10-01T00:00:00"/>
    <d v="2017-11-06T00:00:00"/>
    <n v="37958"/>
    <n v="2650"/>
    <s v="ONLINE"/>
    <s v="HANUMANGARH"/>
    <s v="Analyst Cum Programmer DOIT&amp;amp;C HANUMANGARH"/>
    <s v="Office of Analyst cum programmer(Dy Director) DoIT&amp;C Hanumangarh"/>
    <x v="11"/>
    <s v="17"/>
    <s v="ok"/>
  </r>
  <r>
    <x v="1"/>
    <d v="2017-11-01T00:00:00"/>
    <n v="1"/>
    <d v="2017-11-01T00:00:00"/>
    <d v="2017-12-01T00:00:00"/>
    <n v="41798"/>
    <n v="2650"/>
    <s v="ONLINE"/>
    <s v="HANUMANGARH"/>
    <s v="Analyst Cum Programmer DOIT&amp;amp;C HANUMANGARH"/>
    <s v="Office of Analyst cum programmer(Dy Director) DoIT&amp;C Hanumangarh"/>
    <x v="7"/>
    <s v="17"/>
    <s v="ok"/>
  </r>
  <r>
    <x v="1"/>
    <d v="2017-12-01T00:00:00"/>
    <n v="1"/>
    <d v="2017-12-01T00:00:00"/>
    <d v="2018-01-03T00:00:00"/>
    <n v="47622"/>
    <n v="2650"/>
    <s v="ONLINE"/>
    <s v="HANUMANGARH"/>
    <s v="Analyst Cum Programmer DOIT&amp;amp;C HANUMANGARH"/>
    <s v="Office of Analyst cum programmer(Dy Director) DoIT&amp;C Hanumangarh"/>
    <x v="8"/>
    <s v="18"/>
    <s v="ok"/>
  </r>
  <r>
    <x v="1"/>
    <d v="2018-01-01T00:00:00"/>
    <n v="1"/>
    <d v="2018-01-01T00:00:00"/>
    <d v="2018-02-03T00:00:00"/>
    <n v="52864"/>
    <n v="2650"/>
    <s v="ONLINE"/>
    <s v="HANUMANGARH"/>
    <s v="Analyst Cum Programmer DOIT&amp;amp;C HANUMANGARH"/>
    <s v="Office of Analyst cum programmer(Dy Director) DoIT&amp;C Hanumangarh"/>
    <x v="9"/>
    <s v="18"/>
    <s v="ok"/>
  </r>
  <r>
    <x v="1"/>
    <d v="2018-02-01T00:00:00"/>
    <n v="1"/>
    <d v="2018-02-01T00:00:00"/>
    <d v="2018-03-07T00:00:00"/>
    <n v="59059"/>
    <n v="2650"/>
    <s v="ONLINE"/>
    <s v="HANUMANGARH"/>
    <s v="Analyst Cum Programmer DOIT&amp;amp;C HANUMANGARH"/>
    <s v="Office of Analyst cum programmer(Dy Director) DoIT&amp;C Hanumangarh"/>
    <x v="10"/>
    <s v="18"/>
    <s v="ok"/>
  </r>
  <r>
    <x v="2"/>
    <d v="2018-03-01T00:00:00"/>
    <n v="1"/>
    <d v="2018-03-01T00:00:00"/>
    <d v="2018-04-16T00:00:00"/>
    <n v="2261"/>
    <n v="3000"/>
    <s v="ONLINE"/>
    <s v="HANUMANGARH"/>
    <s v="Analyst Cum Programmer DOIT&amp;amp;C HANUMANGARH"/>
    <s v="Office of Analyst cum programmer(Dy Director) DoIT&amp;C Hanumangarh"/>
    <x v="0"/>
    <s v="18"/>
    <s v="ok"/>
  </r>
  <r>
    <x v="2"/>
    <d v="2018-04-01T00:00:00"/>
    <n v="1"/>
    <d v="2018-04-01T00:00:00"/>
    <d v="2018-05-29T00:00:00"/>
    <n v="12293"/>
    <n v="3000"/>
    <s v="ONLINE"/>
    <s v="HANUMANGARH"/>
    <s v="Analyst Cum Programmer DOIT&amp;amp;C HANUMANGARH"/>
    <s v="Office of Analyst cum programmer(Dy Director) DoIT&amp;C Hanumangarh"/>
    <x v="1"/>
    <s v="18"/>
    <s v="ok"/>
  </r>
  <r>
    <x v="2"/>
    <d v="2018-05-01T00:00:00"/>
    <n v="1"/>
    <d v="2018-05-01T00:00:00"/>
    <d v="2018-06-01T00:00:00"/>
    <n v="14665"/>
    <n v="3000"/>
    <s v="ONLINE"/>
    <s v="HANUMANGARH"/>
    <s v="Analyst Cum Programmer DOIT&amp;amp;C HANUMANGARH"/>
    <s v="Office of Analyst cum programmer(Dy Director) DoIT&amp;C Hanumangarh"/>
    <x v="2"/>
    <s v="18"/>
    <s v="ok"/>
  </r>
  <r>
    <x v="2"/>
    <d v="2018-06-01T00:00:00"/>
    <n v="1"/>
    <d v="2018-06-01T00:00:00"/>
    <d v="2018-07-02T00:00:00"/>
    <n v="20799"/>
    <n v="3000"/>
    <s v="ONLINE"/>
    <s v="HANUMANGARH"/>
    <s v="Analyst Cum Programmer DOIT&amp;amp;C HANUMANGARH"/>
    <s v="Office of Analyst cum programmer(Dy Director) DoIT&amp;C Hanumangarh"/>
    <x v="3"/>
    <s v="18"/>
    <s v="ok"/>
  </r>
  <r>
    <x v="2"/>
    <d v="2018-07-01T00:00:00"/>
    <n v="1"/>
    <d v="2018-07-01T00:00:00"/>
    <d v="2018-08-01T00:00:00"/>
    <n v="28948"/>
    <n v="3000"/>
    <s v="ONLINE"/>
    <s v="HANUMANGARH"/>
    <s v="Analyst Cum Programmer DOIT&amp;amp;C HANUMANGARH"/>
    <s v="Office of Analyst cum programmer(Dy Director) DoIT&amp;C Hanumangarh"/>
    <x v="4"/>
    <s v="18"/>
    <s v="ok"/>
  </r>
  <r>
    <x v="2"/>
    <d v="2018-08-01T00:00:00"/>
    <n v="1"/>
    <d v="2018-08-01T00:00:00"/>
    <d v="2018-09-01T00:00:00"/>
    <n v="38148"/>
    <n v="3000"/>
    <s v="ONLINE"/>
    <s v="HANUMANGARH"/>
    <s v="Analyst Cum Programmer DOIT&amp;amp;C HANUMANGARH"/>
    <s v="Office of Analyst cum programmer(Dy Director) DoIT&amp;C Hanumangarh"/>
    <x v="5"/>
    <s v="18"/>
    <s v="ok"/>
  </r>
  <r>
    <x v="2"/>
    <d v="2018-09-01T00:00:00"/>
    <n v="1"/>
    <d v="2018-09-01T00:00:00"/>
    <d v="2018-10-09T00:00:00"/>
    <n v="45759"/>
    <n v="3000"/>
    <s v="ONLINE"/>
    <s v="HANUMANGARH"/>
    <s v="Analyst Cum Programmer DOIT&amp;amp;C HANUMANGARH"/>
    <s v="Office of Analyst cum programmer(Dy Director) DoIT&amp;C Hanumangarh"/>
    <x v="6"/>
    <s v="18"/>
    <s v="ok"/>
  </r>
  <r>
    <x v="2"/>
    <d v="2018-10-01T00:00:00"/>
    <n v="1"/>
    <d v="2018-10-01T00:00:00"/>
    <d v="2018-11-08T00:00:00"/>
    <n v="64791"/>
    <n v="3000"/>
    <s v="ONLINE"/>
    <s v="HANUMANGARH"/>
    <s v="Analyst Cum Programmer DOIT&amp;amp;C HANUMANGARH"/>
    <s v="Office of Analyst cum programmer(Dy Director) DoIT&amp;C Hanumangarh"/>
    <x v="11"/>
    <s v="18"/>
    <s v="ok"/>
  </r>
  <r>
    <x v="2"/>
    <d v="2018-12-01T00:00:00"/>
    <n v="1"/>
    <d v="2018-11-01T00:00:00"/>
    <d v="2019-01-05T00:00:00"/>
    <n v="78389"/>
    <n v="3000"/>
    <s v="ONLINE"/>
    <s v="HANUMANGARH"/>
    <s v="Analyst Cum Programmer DOIT&amp;amp;C HANUMANGARH"/>
    <s v="Office of Analyst cum programmer(Dy Director) DoIT&amp;C Hanumangarh"/>
    <x v="8"/>
    <s v="19"/>
    <s v="ok"/>
  </r>
  <r>
    <x v="2"/>
    <d v="2019-01-01T00:00:00"/>
    <n v="1"/>
    <d v="2019-01-01T00:00:00"/>
    <d v="2019-02-07T00:00:00"/>
    <n v="84675"/>
    <n v="3000"/>
    <s v="ONLINE"/>
    <s v="HANUMANGARH"/>
    <s v="Analyst Cum Programmer DOIT&amp;amp;C HANUMANGARH"/>
    <s v="Office of Analyst cum programmer(Dy Director) DoIT&amp;C Hanumangarh"/>
    <x v="9"/>
    <s v="19"/>
    <s v="ok"/>
  </r>
  <r>
    <x v="2"/>
    <d v="2019-01-01T00:00:00"/>
    <n v="2"/>
    <d v="2018-12-01T00:00:00"/>
    <d v="2019-02-07T00:00:00"/>
    <n v="84676"/>
    <n v="3000"/>
    <s v="ONLINE"/>
    <s v="HANUMANGARH"/>
    <s v="Analyst Cum Programmer DOIT&amp;amp;C HANUMANGARH"/>
    <s v="Office of Analyst cum programmer(Dy Director) DoIT&amp;C Hanumangarh"/>
    <x v="9"/>
    <s v="19"/>
    <s v="ok"/>
  </r>
  <r>
    <x v="2"/>
    <d v="2019-02-01T00:00:00"/>
    <n v="1"/>
    <d v="2019-02-01T00:00:00"/>
    <d v="2019-03-02T00:00:00"/>
    <n v="89654"/>
    <n v="3000"/>
    <s v="ONLINE"/>
    <s v="HANUMANGARH"/>
    <s v="Analyst Cum Programmer DOIT&amp;amp;C HANUMANGARH"/>
    <s v="Office of Analyst cum programmer(Dy Director) DoIT&amp;C Hanumangarh"/>
    <x v="10"/>
    <s v="19"/>
    <s v="ok"/>
  </r>
  <r>
    <x v="3"/>
    <d v="2019-03-01T00:00:00"/>
    <n v="1"/>
    <d v="2019-03-01T00:00:00"/>
    <d v="2019-04-12T00:00:00"/>
    <n v="2067"/>
    <n v="3000"/>
    <s v="ONLINE"/>
    <s v="HANUMANGARH"/>
    <s v="Analyst Cum Programmer DOIT&amp;amp;C HANUMANGARH"/>
    <s v="Office of Analyst cum programmer(Dy Director) DoIT&amp;C Hanumangarh"/>
    <x v="0"/>
    <s v="19"/>
    <s v="ok"/>
  </r>
  <r>
    <x v="3"/>
    <d v="2019-04-01T00:00:00"/>
    <n v="1"/>
    <d v="2019-04-01T00:00:00"/>
    <d v="2019-05-01T00:00:00"/>
    <n v="7783"/>
    <n v="3000"/>
    <s v="ONLINE"/>
    <s v="HANUMANGARH"/>
    <s v="Analyst Cum Programmer DOIT&amp;amp;C HANUMANGARH"/>
    <s v="Office of Analyst cum programmer(Dy Director) DoIT&amp;C Hanumangarh"/>
    <x v="1"/>
    <s v="19"/>
    <s v="ok"/>
  </r>
  <r>
    <x v="3"/>
    <d v="2019-05-01T00:00:00"/>
    <n v="1"/>
    <d v="2019-05-01T00:00:00"/>
    <d v="2019-06-10T00:00:00"/>
    <n v="13083"/>
    <n v="3000"/>
    <s v="ONLINE"/>
    <s v="HANUMANGARH"/>
    <s v="Analyst Cum Programmer DOIT&amp;amp;C HANUMANGARH"/>
    <s v="Office of Analyst cum programmer(Dy Director) DoIT&amp;C Hanumangarh"/>
    <x v="2"/>
    <s v="19"/>
    <s v="ok"/>
  </r>
  <r>
    <x v="3"/>
    <d v="2019-06-01T00:00:00"/>
    <n v="1"/>
    <d v="2019-06-01T00:00:00"/>
    <d v="2019-07-02T00:00:00"/>
    <n v="17962"/>
    <n v="3000"/>
    <s v="ONLINE"/>
    <s v="HANUMANGARH"/>
    <s v="Analyst Cum Programmer DOIT&amp;amp;C HANUMANGARH"/>
    <s v="Office of Analyst cum programmer(Dy Director) DoIT&amp;C Hanumangarh"/>
    <x v="3"/>
    <s v="19"/>
    <s v="ok"/>
  </r>
  <r>
    <x v="3"/>
    <d v="2019-07-01T00:00:00"/>
    <n v="1"/>
    <d v="2019-07-01T00:00:00"/>
    <d v="2019-08-06T00:00:00"/>
    <n v="22832"/>
    <n v="3000"/>
    <s v="ONLINE"/>
    <s v="HANUMANGARH"/>
    <s v="Analyst Cum Programmer DOIT&amp;amp;C HANUMANGARH"/>
    <s v="Office of Analyst cum programmer(Dy Director) DoIT&amp;C Hanumangarh"/>
    <x v="4"/>
    <s v="19"/>
    <s v="ok"/>
  </r>
  <r>
    <x v="3"/>
    <d v="2019-08-01T00:00:00"/>
    <n v="1"/>
    <d v="2019-08-01T00:00:00"/>
    <d v="2019-09-02T00:00:00"/>
    <n v="28118"/>
    <n v="3000"/>
    <s v="ONLINE"/>
    <s v="HANUMANGARH"/>
    <s v="Analyst Cum Programmer DOIT&amp;amp;C HANUMANGARH"/>
    <s v="Office of Analyst cum programmer(Dy Director) DoIT&amp;C Hanumangarh"/>
    <x v="5"/>
    <s v="19"/>
    <s v="ok"/>
  </r>
  <r>
    <x v="3"/>
    <d v="2019-09-01T00:00:00"/>
    <n v="1"/>
    <d v="2019-09-01T00:00:00"/>
    <d v="2019-10-01T00:00:00"/>
    <n v="35390"/>
    <n v="3000"/>
    <s v="ONLINE"/>
    <s v="HANUMANGARH"/>
    <s v="Analyst Cum Programmer DOIT&amp;amp;C HANUMANGARH"/>
    <s v="Office of Analyst cum programmer(Dy Director) DoIT&amp;C Hanumangarh"/>
    <x v="6"/>
    <s v="19"/>
    <s v="ok"/>
  </r>
  <r>
    <x v="3"/>
    <d v="2019-10-01T00:00:00"/>
    <n v="1"/>
    <d v="2019-10-01T00:00:00"/>
    <d v="2019-11-01T00:00:00"/>
    <n v="41375"/>
    <n v="3000"/>
    <s v="ONLINE"/>
    <s v="HANUMANGARH"/>
    <s v="Analyst Cum Programmer DOIT&amp;amp;C HANUMANGARH"/>
    <s v="Office of Analyst cum programmer(Dy Director) DoIT&amp;C Hanumangarh"/>
    <x v="11"/>
    <s v="19"/>
    <s v="ok"/>
  </r>
  <r>
    <x v="3"/>
    <d v="2019-11-01T00:00:00"/>
    <n v="1"/>
    <d v="2019-11-01T00:00:00"/>
    <d v="2019-12-03T00:00:00"/>
    <n v="48035"/>
    <n v="3000"/>
    <s v="ONLINE"/>
    <s v="HANUMANGARH"/>
    <s v="Analyst Cum Programmer DOIT&amp;amp;C HANUMANGARH"/>
    <s v="Office of Analyst cum programmer(Dy Director) DoIT&amp;C Hanumangarh"/>
    <x v="7"/>
    <s v="19"/>
    <s v="ok"/>
  </r>
  <r>
    <x v="3"/>
    <d v="2019-12-01T00:00:00"/>
    <n v="1"/>
    <d v="2019-12-01T00:00:00"/>
    <d v="2020-01-03T00:00:00"/>
    <n v="53590"/>
    <n v="3000"/>
    <s v="ONLINE"/>
    <s v="HANUMANGARH"/>
    <s v="Analyst Cum Programmer DOIT&amp;amp;C HANUMANGARH"/>
    <s v="Office of Analyst cum programmer(Dy Director) DoIT&amp;C Hanumangarh"/>
    <x v="8"/>
    <s v="20"/>
    <s v="ok"/>
  </r>
  <r>
    <x v="3"/>
    <d v="2020-01-01T00:00:00"/>
    <n v="1"/>
    <d v="2020-01-01T00:00:00"/>
    <d v="2020-02-01T00:00:00"/>
    <n v="58674"/>
    <n v="3000"/>
    <s v="ONLINE"/>
    <s v="HANUMANGARH"/>
    <s v="Analyst Cum Programmer DOIT&amp;amp;C HANUMANGARH"/>
    <s v="Office of Analyst cum programmer(Dy Director) DoIT&amp;C Hanumangarh"/>
    <x v="9"/>
    <s v="20"/>
    <s v="ok"/>
  </r>
  <r>
    <x v="3"/>
    <d v="2020-02-01T00:00:00"/>
    <n v="1"/>
    <d v="2020-01-01T00:00:00"/>
    <d v="2020-03-04T00:00:00"/>
    <n v="65112"/>
    <n v="3000"/>
    <s v="ONLINE"/>
    <s v="HANUMANGARH"/>
    <s v="Analyst Cum Programmer DOIT&amp;amp;C HANUMANGARH"/>
    <s v="Office of Analyst cum programmer(Dy Director) DoIT&amp;C Hanumangarh"/>
    <x v="10"/>
    <s v="20"/>
    <s v="ok"/>
  </r>
  <r>
    <x v="4"/>
    <d v="2020-03-01T00:00:00"/>
    <m/>
    <m/>
    <m/>
    <m/>
    <m/>
    <m/>
    <m/>
    <m/>
    <m/>
    <x v="8"/>
    <s v="00"/>
    <s v="march ki deduction may-2020 me hui hai"/>
  </r>
  <r>
    <x v="4"/>
    <d v="2020-04-01T00:00:00"/>
    <n v="1"/>
    <d v="2020-04-01T00:00:00"/>
    <d v="2020-05-05T00:00:00"/>
    <n v="4971"/>
    <n v="5000"/>
    <s v="ONLINE"/>
    <s v="HANUMANGARH"/>
    <s v="Analyst Cum Programmer DOIT&amp;amp;C HANUMANGARH"/>
    <s v="Office of Analyst cum programmer(Dy Director) DoIT&amp;C Hanumangarh"/>
    <x v="1"/>
    <s v="20"/>
    <s v="ok"/>
  </r>
  <r>
    <x v="4"/>
    <d v="2020-05-01T00:00:00"/>
    <n v="1"/>
    <d v="2020-05-01T00:00:00"/>
    <d v="2020-06-01T00:00:00"/>
    <n v="10260"/>
    <n v="10000"/>
    <s v="ONLINE"/>
    <s v="HANUMANGARH"/>
    <s v="Analyst Cum Programmer DOIT&amp;amp;C HANUMANGARH"/>
    <s v="Office of Analyst cum programmer(Dy Director) DoIT&amp;C Hanumangarh"/>
    <x v="2"/>
    <s v="20"/>
    <s v="ok"/>
  </r>
  <r>
    <x v="4"/>
    <d v="2020-06-01T00:00:00"/>
    <n v="1"/>
    <d v="2020-06-01T00:00:00"/>
    <d v="2020-07-03T00:00:00"/>
    <n v="17622"/>
    <n v="5000"/>
    <s v="ONLINE"/>
    <s v="HANUMANGARH"/>
    <s v="Analyst Cum Programmer DOIT&amp;amp;C HANUMANGARH"/>
    <s v="Office of Analyst cum programmer(Dy Director) DoIT&amp;C Hanumangarh"/>
    <x v="3"/>
    <s v="20"/>
    <s v="ok"/>
  </r>
  <r>
    <x v="4"/>
    <d v="2020-07-01T00:00:00"/>
    <n v="1"/>
    <d v="2020-07-01T00:00:00"/>
    <d v="2020-08-05T00:00:00"/>
    <n v="23350"/>
    <n v="5000"/>
    <s v="ONLINE"/>
    <s v="HANUMANGARH"/>
    <s v="Analyst Cum Programmer DOIT&amp;amp;C HANUMANGARH"/>
    <s v="Office of Analyst cum programmer(Dy Director) DoIT&amp;C Hanumangarh"/>
    <x v="4"/>
    <s v="20"/>
    <s v="ok"/>
  </r>
  <r>
    <x v="4"/>
    <d v="2020-08-01T00:00:00"/>
    <n v="1"/>
    <d v="2020-08-01T00:00:00"/>
    <d v="2020-09-03T00:00:00"/>
    <n v="28462"/>
    <n v="5000"/>
    <s v="ONLINE"/>
    <s v="HANUMANGARH"/>
    <s v="Analyst Cum Programmer DOIT&amp;amp;C HANUMANGARH"/>
    <s v="Office of Analyst cum programmer(Dy Director) DoIT&amp;C Hanumangarh"/>
    <x v="5"/>
    <s v="20"/>
    <s v="ok"/>
  </r>
  <r>
    <x v="4"/>
    <d v="2020-09-01T00:00:00"/>
    <n v="1"/>
    <d v="2020-09-01T00:00:00"/>
    <d v="2020-10-05T00:00:00"/>
    <n v="33490"/>
    <n v="5000"/>
    <s v="ONLINE"/>
    <s v="HANUMANGARH"/>
    <s v="Analyst Cum Programmer DOIT&amp;amp;C HANUMANGARH"/>
    <s v="Office of Analyst cum programmer(Dy Director) DoIT&amp;C Hanumangarh"/>
    <x v="6"/>
    <s v="20"/>
    <s v="ok"/>
  </r>
  <r>
    <x v="4"/>
    <d v="2020-10-01T00:00:00"/>
    <n v="1"/>
    <d v="2020-10-01T00:00:00"/>
    <d v="2020-11-02T00:00:00"/>
    <n v="38388"/>
    <n v="5000"/>
    <s v="ONLINE"/>
    <s v="HANUMANGARH"/>
    <s v="Analyst Cum Programmer DOIT&amp;amp;C HANUMANGARH"/>
    <s v="Office of Analyst cum programmer(Dy Director) DoIT&amp;C Hanumangarh"/>
    <x v="11"/>
    <s v="20"/>
    <s v="ok"/>
  </r>
  <r>
    <x v="4"/>
    <d v="2020-11-01T00:00:00"/>
    <n v="1"/>
    <d v="2020-11-01T00:00:00"/>
    <d v="2020-12-04T00:00:00"/>
    <n v="45971"/>
    <n v="5000"/>
    <s v="ONLINE"/>
    <s v="HANUMANGARH"/>
    <s v="Analyst Cum Programmer DOIT&amp;amp;C HANUMANGARH"/>
    <s v="Office of Analyst cum programmer(Dy Director) DoIT&amp;C Hanumangarh"/>
    <x v="7"/>
    <s v="20"/>
    <s v="ok"/>
  </r>
  <r>
    <x v="4"/>
    <d v="2020-12-01T00:00:00"/>
    <n v="1"/>
    <d v="2020-12-01T00:00:00"/>
    <d v="2021-01-01T00:00:00"/>
    <n v="52244"/>
    <n v="5000"/>
    <s v="ONLINE"/>
    <s v="HANUMANGARH"/>
    <s v="Analyst Cum Programmer DOIT&amp;amp;C HANUMANGARH"/>
    <s v="Office of Analyst cum programmer(Dy Director) DoIT&amp;C Hanumangarh"/>
    <x v="8"/>
    <s v="21"/>
    <s v="ok"/>
  </r>
  <r>
    <x v="4"/>
    <d v="2021-01-01T00:00:00"/>
    <n v="1"/>
    <d v="2021-01-01T00:00:00"/>
    <d v="2021-02-04T00:00:00"/>
    <n v="58485"/>
    <n v="5000"/>
    <s v="ONLINE"/>
    <s v="HANUMANGARH"/>
    <s v="Analyst Cum Programmer DOIT&amp;amp;C HANUMANGARH"/>
    <s v="Office of Analyst cum programmer(Dy Director) DoIT&amp;C Hanumangarh"/>
    <x v="9"/>
    <s v="21"/>
    <s v="ok"/>
  </r>
  <r>
    <x v="4"/>
    <d v="2021-02-01T00:00:00"/>
    <n v="1"/>
    <d v="2021-02-01T00:00:00"/>
    <d v="2021-03-03T00:00:00"/>
    <n v="63803"/>
    <n v="5000"/>
    <s v="ONLINE"/>
    <s v="HANUMANGARH"/>
    <s v="Analyst Cum Programmer DOIT&amp;amp;C HANUMANGARH"/>
    <s v="Office of Analyst cum programmer(Dy Director) DoIT&amp;C Hanumangarh"/>
    <x v="10"/>
    <s v="21"/>
    <s v="ok"/>
  </r>
  <r>
    <x v="5"/>
    <d v="2021-03-01T00:00:00"/>
    <n v="1"/>
    <d v="2021-03-01T00:00:00"/>
    <d v="2021-04-08T00:00:00"/>
    <n v="1971"/>
    <n v="5000"/>
    <s v="ONLINE"/>
    <s v="HANUMANGARH"/>
    <s v="Analyst Cum Programmer DOIT&amp;amp;C HANUMANGARH"/>
    <s v="Office of Analyst cum programmer(Dy Director) DoIT&amp;C Hanumangarh"/>
    <x v="0"/>
    <s v="21"/>
    <s v="ok"/>
  </r>
  <r>
    <x v="5"/>
    <d v="2021-04-01T00:00:00"/>
    <n v="1"/>
    <d v="2021-04-01T00:00:00"/>
    <d v="2021-05-04T00:00:00"/>
    <n v="6836"/>
    <n v="5000"/>
    <s v="ONLINE"/>
    <s v="HANUMANGARH"/>
    <s v="Analyst Cum Programmer DOIT&amp;amp;C HANUMANGARH"/>
    <s v="Office of Analyst cum programmer(Dy Director) DoIT&amp;C Hanumangarh"/>
    <x v="1"/>
    <s v="21"/>
    <s v="ok"/>
  </r>
  <r>
    <x v="5"/>
    <d v="2021-05-01T00:00:00"/>
    <n v="1"/>
    <d v="2021-05-01T00:00:00"/>
    <d v="2021-06-07T00:00:00"/>
    <n v="12477"/>
    <n v="5000"/>
    <s v="ONLINE"/>
    <s v="HANUMANGARH"/>
    <s v="Analyst Cum Programmer DOIT&amp;amp;C HANUMANGARH"/>
    <s v="Office of Analyst cum programmer(Dy Director) DoIT&amp;C Hanumangarh"/>
    <x v="2"/>
    <s v="21"/>
    <s v="ok"/>
  </r>
  <r>
    <x v="5"/>
    <d v="2021-06-01T00:00:00"/>
    <n v="1"/>
    <d v="2021-06-01T00:00:00"/>
    <d v="2021-07-06T00:00:00"/>
    <n v="17505"/>
    <n v="5000"/>
    <s v="ONLINE"/>
    <s v="HANUMANGARH"/>
    <s v="Analyst Cum Programmer DOIT&amp;amp;C HANUMANGARH"/>
    <s v="Office of Analyst cum programmer(Dy Director) DoIT&amp;C Hanumangarh"/>
    <x v="3"/>
    <s v="21"/>
    <s v="ok"/>
  </r>
  <r>
    <x v="5"/>
    <d v="2021-07-01T00:00:00"/>
    <n v="1"/>
    <d v="2021-07-01T00:00:00"/>
    <d v="2021-08-03T00:00:00"/>
    <n v="22702"/>
    <n v="5000"/>
    <s v="ONLINE"/>
    <s v="HANUMANGARH"/>
    <s v="Analyst Cum Programmer DOIT&amp;amp;C HANUMANGARH"/>
    <s v="Office of Analyst cum programmer(Dy Director) DoIT&amp;C Hanumangarh"/>
    <x v="4"/>
    <s v="21"/>
    <s v="ok"/>
  </r>
  <r>
    <x v="5"/>
    <d v="2021-08-01T00:00:00"/>
    <n v="1"/>
    <d v="2021-08-01T00:00:00"/>
    <d v="2021-09-01T00:00:00"/>
    <n v="28815"/>
    <n v="5000"/>
    <s v="ONLINE"/>
    <s v="HANUMANGARH"/>
    <s v="Analyst Cum Programmer DOIT&amp;amp;C HANUMANGARH"/>
    <s v="Office of Analyst cum programmer(Dy Director) DoIT&amp;C Hanumangarh"/>
    <x v="5"/>
    <s v="21"/>
    <s v="ok"/>
  </r>
  <r>
    <x v="5"/>
    <d v="2021-09-01T00:00:00"/>
    <n v="1"/>
    <d v="2021-09-01T00:00:00"/>
    <d v="2021-10-11T00:00:00"/>
    <n v="36889"/>
    <n v="5000"/>
    <s v="ONLINE"/>
    <s v="HANUMANGARH"/>
    <s v="Analyst Cum Programmer DOIT&amp;amp;C HANUMANGARH"/>
    <s v="Office of Analyst cum programmer(Dy Director) DoIT&amp;C Hanumangarh"/>
    <x v="6"/>
    <s v="21"/>
    <s v="ok"/>
  </r>
  <r>
    <x v="5"/>
    <d v="2021-10-01T00:00:00"/>
    <n v="1"/>
    <d v="2021-10-01T00:00:00"/>
    <d v="2021-11-01T00:00:00"/>
    <n v="40146"/>
    <n v="5000"/>
    <s v="ONLINE"/>
    <s v="HANUMANGARH"/>
    <s v="Analyst Cum Programmer DOIT&amp;amp;C HANUMANGARH"/>
    <s v="Office of Analyst cum programmer(Dy Director) DoIT&amp;C Hanumangarh"/>
    <x v="11"/>
    <s v="21"/>
    <s v="ok"/>
  </r>
  <r>
    <x v="5"/>
    <d v="2021-11-01T00:00:00"/>
    <n v="1"/>
    <d v="2021-11-01T00:00:00"/>
    <d v="2021-12-01T00:00:00"/>
    <n v="48467"/>
    <n v="5000"/>
    <s v="ONLINE"/>
    <s v="HANUMANGARH"/>
    <s v="Analyst Cum Programmer DOIT&amp;amp;C HANUMANGARH"/>
    <s v="Office of Analyst cum programmer(Dy Director) DoIT&amp;C Hanumangarh"/>
    <x v="7"/>
    <s v="21"/>
    <s v="ok"/>
  </r>
  <r>
    <x v="5"/>
    <d v="2021-12-01T00:00:00"/>
    <n v="1"/>
    <d v="2021-12-01T00:00:00"/>
    <d v="2022-01-01T00:00:00"/>
    <n v="55697"/>
    <n v="5000"/>
    <s v="ONLINE"/>
    <s v="HANUMANGARH"/>
    <s v="Analyst Cum Programmer DOIT&amp;amp;C HANUMANGARH"/>
    <s v="Office of Analyst cum programmer(Dy Director) DoIT&amp;C Hanumangarh"/>
    <x v="8"/>
    <s v="22"/>
    <s v="ok"/>
  </r>
  <r>
    <x v="5"/>
    <d v="2022-01-01T00:00:00"/>
    <n v="1"/>
    <d v="2022-01-01T00:00:00"/>
    <d v="2022-02-01T00:00:00"/>
    <n v="63392"/>
    <n v="5000"/>
    <s v="ONLINE"/>
    <s v="HANUMANGARH"/>
    <s v="Analyst Cum Programmer DOIT&amp;amp;C HANUMANGARH"/>
    <s v="Office of Analyst cum programmer(Dy Director) DoIT&amp;C Hanumangarh"/>
    <x v="9"/>
    <s v="22"/>
    <s v="ok"/>
  </r>
  <r>
    <x v="5"/>
    <d v="2022-02-01T00:00:00"/>
    <n v="1"/>
    <d v="2022-02-01T00:00:00"/>
    <d v="2022-03-01T00:00:00"/>
    <n v="69267"/>
    <n v="5000"/>
    <s v="ONLINE"/>
    <s v="HANUMANGARH"/>
    <s v="Analyst Cum Programmer DOIT&amp;amp;C HANUMANGARH"/>
    <s v="Office of Analyst cum programmer(Dy Director) DoIT&amp;C Hanumangarh"/>
    <x v="10"/>
    <s v="22"/>
    <s v="ok"/>
  </r>
  <r>
    <x v="6"/>
    <d v="2022-03-01T00:00:00"/>
    <n v="1"/>
    <d v="2022-03-01T00:00:00"/>
    <d v="2022-04-02T00:00:00"/>
    <n v="1076"/>
    <n v="5000"/>
    <s v="ONLINE"/>
    <s v="HANUMANGARH"/>
    <s v="Analyst Cum Programmer DOIT&amp;amp;C HANUMANGARH"/>
    <s v="Office of Analyst cum programmer(Dy Director) DoIT&amp;C Hanumangarh"/>
    <x v="0"/>
    <s v="22"/>
    <s v="ok"/>
  </r>
  <r>
    <x v="6"/>
    <d v="2022-04-01T00:00:00"/>
    <n v="1"/>
    <d v="2022-04-01T00:00:00"/>
    <d v="2022-05-04T00:00:00"/>
    <n v="6842"/>
    <n v="5000"/>
    <s v="ONLINE"/>
    <s v="HANUMANGARH"/>
    <s v="Analyst Cum Programmer DOIT&amp;amp;C HANUMANGARH"/>
    <s v="Office of Analyst cum programmer(Dy Director) DoIT&amp;C Hanumangarh"/>
    <x v="1"/>
    <s v="22"/>
    <s v="ok"/>
  </r>
  <r>
    <x v="6"/>
    <d v="2022-05-01T00:00:00"/>
    <n v="1"/>
    <d v="2022-05-01T00:00:00"/>
    <d v="2022-06-01T00:00:00"/>
    <n v="12278"/>
    <n v="5000"/>
    <s v="ONLINE"/>
    <s v="HANUMANGARH"/>
    <s v="Analyst Cum Programmer DOIT&amp;amp;C HANUMANGARH"/>
    <s v="Office of Analyst cum programmer(Dy Director) DoIT&amp;C Hanumangarh"/>
    <x v="2"/>
    <s v="22"/>
    <s v="ok"/>
  </r>
  <r>
    <x v="6"/>
    <d v="2022-06-01T00:00:00"/>
    <n v="1"/>
    <d v="2022-06-01T00:00:00"/>
    <d v="2022-07-01T00:00:00"/>
    <n v="19496"/>
    <n v="5000"/>
    <s v="ONLINE"/>
    <s v="HANUMANGARH"/>
    <s v="Analyst Cum Programmer DOIT&amp;amp;C HANUMANGARH"/>
    <s v="Office of Analyst cum programmer(Dy Director) DoIT&amp;C Hanumangarh"/>
    <x v="3"/>
    <s v="22"/>
    <s v="ok"/>
  </r>
  <r>
    <x v="6"/>
    <d v="2022-07-01T00:00:00"/>
    <n v="1"/>
    <d v="2022-07-01T00:00:00"/>
    <d v="2022-08-01T00:00:00"/>
    <n v="25322"/>
    <n v="5000"/>
    <s v="ONLINE"/>
    <s v="HANUMANGARH"/>
    <s v="Analyst Cum Programmer DOIT&amp;amp;C HANUMANGARH"/>
    <s v="Office of Analyst cum programmer(Dy Director) DoIT&amp;C Hanumangarh"/>
    <x v="4"/>
    <s v="22"/>
    <s v="ok"/>
  </r>
  <r>
    <x v="6"/>
    <d v="2022-08-01T00:00:00"/>
    <n v="1"/>
    <d v="2022-08-01T00:00:00"/>
    <d v="2022-09-01T00:00:00"/>
    <n v="31626"/>
    <n v="5000"/>
    <s v="ONLINE"/>
    <s v="HANUMANGARH"/>
    <s v="Analyst Cum Programmer DOIT&amp;amp;C HANUMANGARH"/>
    <s v="Office of Analyst cum programmer(Dy Director) DoIT&amp;C Hanumangarh"/>
    <x v="5"/>
    <s v="22"/>
    <s v="ok"/>
  </r>
  <r>
    <x v="6"/>
    <d v="2022-09-01T00:00:00"/>
    <n v="1"/>
    <d v="2022-09-01T00:00:00"/>
    <d v="2022-10-01T00:00:00"/>
    <n v="38533"/>
    <n v="5000"/>
    <s v="ONLINE"/>
    <s v="HANUMANGARH"/>
    <s v="Analyst Cum Programmer DOIT&amp;amp;C HANUMANGARH"/>
    <s v="Office of Analyst cum programmer(Dy Director) DoIT&amp;C Hanumangarh"/>
    <x v="6"/>
    <s v="22"/>
    <s v="ok"/>
  </r>
  <r>
    <x v="6"/>
    <s v="0ct-22"/>
    <n v="1"/>
    <d v="2022-10-01T00:00:00"/>
    <d v="2022-11-01T00:00:00"/>
    <n v="47806"/>
    <n v="5000"/>
    <s v="ONLINE"/>
    <s v="HANUMANGARH"/>
    <s v="Analyst Cum Programmer DOIT&amp;amp;C HANUMANGARH"/>
    <s v="Office of Analyst cum programmer(Dy Director) DoIT&amp;C Hanumangarh"/>
    <x v="11"/>
    <s v="22"/>
    <s v="ok"/>
  </r>
  <r>
    <x v="6"/>
    <d v="2022-11-01T00:00:00"/>
    <n v="1"/>
    <d v="2022-11-01T00:00:00"/>
    <d v="2022-12-01T00:00:00"/>
    <n v="52784"/>
    <n v="5000"/>
    <s v="ONLINE"/>
    <s v="HANUMANGARH"/>
    <s v="Analyst Cum Programmer DOIT&amp;amp;C HANUMANGARH"/>
    <s v="Office of Analyst cum programmer(Dy Director) DoIT&amp;C Hanumangarh"/>
    <x v="7"/>
    <s v="22"/>
    <s v="ok"/>
  </r>
  <r>
    <x v="6"/>
    <d v="2022-12-01T00:00:00"/>
    <n v="1"/>
    <d v="2022-12-01T00:00:00"/>
    <d v="2023-01-02T00:00:00"/>
    <n v="60602"/>
    <n v="5000"/>
    <s v="ONLINE"/>
    <s v="HANUMANGARH"/>
    <s v="Analyst Cum Programmer DOIT&amp;amp;C HANUMANGARH"/>
    <s v="Office of Analyst cum programmer(Dy Director) DoIT&amp;C Hanumangarh"/>
    <x v="8"/>
    <s v="23"/>
    <s v="ok"/>
  </r>
  <r>
    <x v="6"/>
    <d v="2023-01-01T00:00:00"/>
    <n v="1"/>
    <d v="2023-01-01T00:00:00"/>
    <d v="2023-02-01T00:00:00"/>
    <n v="68683"/>
    <n v="5000"/>
    <s v="ONLINE"/>
    <s v="HANUMANGARH"/>
    <s v="Analyst Cum Programmer DOIT&amp;amp;C HANUMANGARH"/>
    <s v="Office of Analyst cum programmer(Dy Director) DoIT&amp;C Hanumangarh"/>
    <x v="9"/>
    <s v="23"/>
    <s v="ok"/>
  </r>
  <r>
    <x v="6"/>
    <d v="2023-02-01T00:00:00"/>
    <n v="1"/>
    <d v="2023-02-01T00:00:00"/>
    <d v="2023-03-01T00:00:00"/>
    <n v="77782"/>
    <n v="5000"/>
    <s v="ONLINE"/>
    <s v="HANUMANGARH"/>
    <s v="Analyst Cum Programmer DOIT&amp;amp;C HANUMANGARH"/>
    <s v="Office of Analyst cum programmer(Dy Director) DoIT&amp;C Hanumangarh"/>
    <x v="10"/>
    <s v="23"/>
    <s v="ok"/>
  </r>
  <r>
    <x v="7"/>
    <d v="2023-03-01T00:00:00"/>
    <n v="1"/>
    <d v="2023-03-01T00:00:00"/>
    <d v="2023-04-03T00:00:00"/>
    <n v="763"/>
    <n v="5000"/>
    <s v="ONLINE"/>
    <s v="HANUMANGARH"/>
    <s v="32598-Analyst Cum Programmer DOIT&amp;amp;C HANUMANGARH"/>
    <s v="32598-Office of Analyst cum programmer(Dy Director) DoIT&amp;C Hanumangarh"/>
    <x v="0"/>
    <s v="23"/>
    <s v="ok"/>
  </r>
  <r>
    <x v="7"/>
    <d v="2023-04-01T00:00:00"/>
    <n v="1"/>
    <d v="2023-04-01T00:00:00"/>
    <d v="2023-05-15T00:00:00"/>
    <n v="11389"/>
    <n v="5000"/>
    <s v="ONLINE"/>
    <s v="HANUMANGARH"/>
    <s v="32598-Analyst Cum Programmer DOIT&amp;amp;C HANUMANGARH"/>
    <s v="32598-Office of Analyst cum programmer(Dy Director) DoIT&amp;C Hanumangarh"/>
    <x v="1"/>
    <s v="23"/>
    <s v="ok"/>
  </r>
  <r>
    <x v="7"/>
    <d v="2023-05-01T00:00:00"/>
    <n v="1"/>
    <d v="2023-05-01T00:00:00"/>
    <d v="2023-06-01T00:00:00"/>
    <n v="15727"/>
    <n v="5000"/>
    <s v="ONLINE"/>
    <s v="HANUMANGARH"/>
    <s v="32598-Analyst Cum Programmer DOIT&amp;amp;C HANUMANGARH"/>
    <s v="32598-Office of Analyst cum programmer(Dy Director) DoIT&amp;C Hanumangarh"/>
    <x v="2"/>
    <s v="23"/>
    <s v="ok"/>
  </r>
  <r>
    <x v="7"/>
    <d v="2023-06-01T00:00:00"/>
    <n v="1"/>
    <d v="2023-06-01T00:00:00"/>
    <d v="2023-07-01T00:00:00"/>
    <n v="19972"/>
    <n v="5000"/>
    <s v="ONLINE"/>
    <s v="HANUMANGARH"/>
    <s v="32598-Analyst Cum Programmer DOIT&amp;amp;C HANUMANGARH"/>
    <s v="32598-Office of Analyst cum programmer(Dy Director) DoIT&amp;C Hanumangarh"/>
    <x v="3"/>
    <s v="23"/>
    <s v="ok"/>
  </r>
  <r>
    <x v="7"/>
    <d v="2023-07-01T00:00:00"/>
    <n v="1"/>
    <d v="2023-07-01T00:00:00"/>
    <d v="2023-08-07T00:00:00"/>
    <n v="30437"/>
    <n v="5000"/>
    <s v="ONLINE"/>
    <s v="HANUMANGARH"/>
    <s v="32598-Analyst Cum Programmer DOIT&amp;amp;C HANUMANGARH"/>
    <s v="32598-Office of Analyst cum programmer(Dy Director) DoIT&amp;C Hanumangarh"/>
    <x v="4"/>
    <s v="23"/>
    <s v="ok"/>
  </r>
  <r>
    <x v="7"/>
    <d v="2023-08-01T00:00:00"/>
    <n v="1"/>
    <d v="2023-08-01T00:00:00"/>
    <d v="2023-09-01T00:00:00"/>
    <n v="34957"/>
    <n v="5000"/>
    <s v="ONLINE"/>
    <s v="HANUMANGARH"/>
    <s v="32598-Analyst Cum Programmer DOIT&amp;amp;C HANUMANGARH"/>
    <s v="32598-Office of Analyst cum programmer(Dy Director) DoIT&amp;C Hanumangarh"/>
    <x v="5"/>
    <s v="23"/>
    <s v="ok"/>
  </r>
  <r>
    <x v="7"/>
    <d v="2023-09-01T00:00:00"/>
    <n v="1"/>
    <d v="2023-09-01T00:00:00"/>
    <d v="2023-10-03T00:00:00"/>
    <n v="40520"/>
    <n v="5000"/>
    <s v="ONLINE"/>
    <s v="HANUMANGARH"/>
    <s v="32598-Analyst Cum Programmer DOIT&amp;amp;C HANUMANGARH"/>
    <s v="32598-Office of Analyst cum programmer(Dy Director) DoIT&amp;C Hanumangarh"/>
    <x v="6"/>
    <s v="23"/>
    <s v="ok"/>
  </r>
  <r>
    <x v="7"/>
    <d v="2023-10-01T00:00:00"/>
    <n v="1"/>
    <d v="2023-10-01T00:00:00"/>
    <d v="2023-11-01T00:00:00"/>
    <n v="45911"/>
    <n v="5000"/>
    <s v="ONLINE"/>
    <s v="HANUMANGARH"/>
    <s v="32598-Analyst Cum Programmer DOIT&amp;amp;C HANUMANGARH"/>
    <s v="32598-Office of Analyst cum programmer(Dy Director) DoIT&amp;C Hanumangarh"/>
    <x v="11"/>
    <s v="23"/>
    <s v="ok"/>
  </r>
  <r>
    <x v="7"/>
    <d v="2023-11-01T00:00:00"/>
    <n v="1"/>
    <d v="2023-11-01T00:00:00"/>
    <d v="2023-12-01T00:00:00"/>
    <n v="54122"/>
    <n v="5000"/>
    <s v="ONLINE"/>
    <s v="HANUMANGARH"/>
    <s v="32598-Analyst Cum Programmer DOIT&amp;amp;C HANUMANGARH"/>
    <s v="32598-Office of Analyst cum programmer(Dy Director) DoIT&amp;C Hanumangarh"/>
    <x v="7"/>
    <s v="23"/>
    <s v="ok"/>
  </r>
  <r>
    <x v="7"/>
    <d v="2023-12-01T00:00:00"/>
    <n v="1"/>
    <d v="2023-12-01T00:00:00"/>
    <d v="2024-01-01T00:00:00"/>
    <n v="61348"/>
    <n v="5000"/>
    <s v="ONLINE"/>
    <s v="HANUMANGARH"/>
    <s v="32598-Analyst Cum Programmer DOIT&amp;amp;C HANUMANGARH"/>
    <s v="32598-Office of Analyst cum programmer(Dy Director) DoIT&amp;C Hanumangarh"/>
    <x v="8"/>
    <s v="24"/>
    <s v="ok"/>
  </r>
  <r>
    <x v="7"/>
    <d v="2024-01-01T00:00:00"/>
    <n v="1"/>
    <d v="2024-01-01T00:00:00"/>
    <d v="2024-02-01T00:00:00"/>
    <n v="70303"/>
    <n v="5000"/>
    <s v="ONLINE"/>
    <s v="HANUMANGARH"/>
    <s v="32598-Analyst Cum Programmer DOIT&amp;amp;C HANUMANGARH"/>
    <s v="32598-Office of Analyst cum programmer(Dy Director) DoIT&amp;C Hanumangarh"/>
    <x v="9"/>
    <s v="24"/>
    <s v="ok"/>
  </r>
  <r>
    <x v="7"/>
    <d v="2024-02-01T00:00:00"/>
    <n v="1"/>
    <d v="2024-02-01T00:00:00"/>
    <d v="2024-03-04T00:00:00"/>
    <n v="77719"/>
    <n v="5000"/>
    <s v="ONLINE"/>
    <s v="HANUMANGARH"/>
    <s v="32598-Analyst Cum Programmer DOIT&amp;amp;C HANUMANGARH"/>
    <s v="32598-Office of Analyst cum programmer(Dy Director) DoIT&amp;C Hanumangarh"/>
    <x v="10"/>
    <s v="24"/>
    <s v="ok"/>
  </r>
  <r>
    <x v="8"/>
    <d v="2024-03-01T00:00:00"/>
    <n v="1"/>
    <d v="2024-03-01T00:00:00"/>
    <d v="2024-04-02T00:00:00"/>
    <n v="859"/>
    <n v="5000"/>
    <s v="ONLINE"/>
    <s v="HANUMANGARH"/>
    <s v="32598-Analyst Cum Programmer DOIT&amp;amp;C HANUMANGARH"/>
    <s v="32598-Office of Analyst cum programmer(Dy Director) DoIT&amp;C Hanumangarh"/>
    <x v="0"/>
    <s v="24"/>
    <s v="ok"/>
  </r>
  <r>
    <x v="8"/>
    <d v="2024-04-01T00:00:00"/>
    <n v="1"/>
    <d v="2024-04-01T00:00:00"/>
    <d v="2024-05-07T00:00:00"/>
    <n v="8364"/>
    <n v="5000"/>
    <s v="ONLINE"/>
    <s v="HANUMANGARH"/>
    <s v="32598-Analyst Cum Programmer DOIT&amp;amp;C HANUMANGARH"/>
    <s v="32598-Office of Analyst cum programmer(Dy Director) DoIT&amp;C Hanumangarh"/>
    <x v="1"/>
    <s v="24"/>
    <s v="ok"/>
  </r>
  <r>
    <x v="8"/>
    <d v="2024-05-01T00:00:00"/>
    <n v="1"/>
    <d v="2024-05-01T00:00:00"/>
    <d v="2024-06-01T00:00:00"/>
    <n v="13029"/>
    <n v="5000"/>
    <s v="ONLINE"/>
    <s v="HANUMANGARH"/>
    <s v="32598-Analyst Cum Programmer DOIT&amp;amp;C HANUMANGARH"/>
    <s v="32598-Office of Analyst cum programmer(Dy Director) DoIT&amp;C Hanumangarh"/>
    <x v="2"/>
    <s v="24"/>
    <s v="ok"/>
  </r>
  <r>
    <x v="8"/>
    <d v="2024-06-01T00:00:00"/>
    <n v="1"/>
    <d v="2024-06-01T00:00:00"/>
    <d v="2024-07-01T00:00:00"/>
    <n v="19255"/>
    <n v="5000"/>
    <s v="ONLINE"/>
    <s v="HANUMANGARH"/>
    <s v="32598-Analyst Cum Programmer DOIT&amp;amp;C HANUMANGARH"/>
    <s v="32598-Office of Analyst cum programmer(Dy Director) DoIT&amp;C Hanumangarh"/>
    <x v="3"/>
    <s v="24"/>
    <s v="ok"/>
  </r>
  <r>
    <x v="8"/>
    <d v="2024-07-01T00:00:00"/>
    <n v="1"/>
    <d v="2024-07-01T00:00:00"/>
    <d v="2024-08-01T00:00:00"/>
    <n v="25295"/>
    <n v="5000"/>
    <s v="ONLINE"/>
    <s v="HANUMANGARH"/>
    <s v="32598-Analyst Cum Programmer DOIT&amp;amp;C HANUMANGARH"/>
    <s v="32598-Office of Analyst cum programmer(Dy Director) DoIT&amp;C Hanumangarh"/>
    <x v="4"/>
    <s v="24"/>
    <s v="ok"/>
  </r>
  <r>
    <x v="8"/>
    <d v="2024-08-01T00:00:00"/>
    <n v="1"/>
    <d v="2024-08-01T00:00:00"/>
    <d v="2024-09-02T00:00:00"/>
    <n v="31671"/>
    <n v="5000"/>
    <s v="ONLINE"/>
    <s v="HANUMANGARH"/>
    <s v="32598-Analyst Cum Programmer DOIT&amp;amp;C HANUMANGARH"/>
    <s v="32598-Office of Analyst cum programmer(Dy Director) DoIT&amp;C Hanumangarh"/>
    <x v="5"/>
    <s v="24"/>
    <s v="ok"/>
  </r>
  <r>
    <x v="8"/>
    <d v="2024-09-01T00:00:00"/>
    <n v="1"/>
    <d v="2024-09-01T00:00:00"/>
    <d v="2024-10-01T00:00:00"/>
    <n v="37968"/>
    <n v="5000"/>
    <s v="ONLINE"/>
    <s v="HANUMANGARH"/>
    <s v="32598-Analyst Cum Programmer DOIT&amp;amp;C HANUMANGARH"/>
    <s v="32598-Office of Analyst cum programmer(Dy Director) DoIT&amp;C Hanumangarh"/>
    <x v="6"/>
    <s v="24"/>
    <s v="ok"/>
  </r>
  <r>
    <x v="8"/>
    <d v="2024-09-01T00:00:00"/>
    <n v="2"/>
    <d v="2024-10-01T00:00:00"/>
    <d v="2024-10-30T00:00:00"/>
    <n v="49705"/>
    <n v="5000"/>
    <s v="ONLINE"/>
    <s v="HANUMANGARH"/>
    <s v="32598-Analyst Cum Programmer DOIT&amp;amp;C HANUMANGARH"/>
    <s v="32598-Office of Analyst cum programmer(Dy Director) DoIT&amp;C Hanumangarh"/>
    <x v="6"/>
    <s v="24"/>
    <s v="ok"/>
  </r>
  <r>
    <x v="8"/>
    <d v="2024-11-01T00:00:00"/>
    <n v="1"/>
    <d v="2024-11-01T00:00:00"/>
    <d v="2024-12-02T00:00:00"/>
    <n v="57448"/>
    <n v="5000"/>
    <s v="ONLINE"/>
    <s v="HANUMANGARH"/>
    <s v="32598-Analyst Cum Programmer DOIT&amp;amp;C HANUMANGARH"/>
    <s v="32598-Office of Analyst cum programmer(Dy Director) DoIT&amp;C Hanumangarh"/>
    <x v="7"/>
    <s v="24"/>
    <s v="ok"/>
  </r>
  <r>
    <x v="8"/>
    <d v="2024-12-01T00:00:00"/>
    <n v="1"/>
    <d v="2024-12-01T00:00:00"/>
    <d v="2025-01-01T00:00:00"/>
    <n v="63222"/>
    <n v="5000"/>
    <s v="ONLINE"/>
    <s v="HANUMANGARH"/>
    <s v="32598-Analyst Cum Programmer DOIT&amp;amp;C HANUMANGARH"/>
    <s v="32598-Office of Analyst cum programmer(Dy Director) DoIT&amp;C Hanumangarh"/>
    <x v="8"/>
    <s v="25"/>
    <s v="ok"/>
  </r>
  <r>
    <x v="8"/>
    <d v="2025-01-01T00:00:00"/>
    <n v="1"/>
    <d v="2025-01-01T00:00:00"/>
    <d v="2025-02-05T00:00:00"/>
    <n v="72172"/>
    <n v="5000"/>
    <s v="ONLINE"/>
    <s v="HANUMANGARH"/>
    <s v="32598-Analyst Cum Programmer DOIT&amp;amp;C HANUMANGARH"/>
    <s v="32598-Office of Analyst cum programmer(Dy Director) DoIT&amp;C Hanumangarh"/>
    <x v="9"/>
    <s v="25"/>
    <s v="ok"/>
  </r>
  <r>
    <x v="8"/>
    <d v="2025-02-01T00:00:00"/>
    <n v="1"/>
    <d v="2025-02-01T00:00:00"/>
    <d v="2025-03-01T00:00:00"/>
    <n v="77782"/>
    <n v="5000"/>
    <s v="ONLINE"/>
    <s v="HANUMANGARH"/>
    <s v="32598-Analyst Cum Programmer DOIT&amp;amp;C HANUMANGARH"/>
    <s v="32598-Office of Analyst cum programmer(Dy Director) DoIT&amp;C Hanumangarh"/>
    <x v="10"/>
    <s v="25"/>
    <s v="ok"/>
  </r>
  <r>
    <x v="9"/>
    <d v="2025-03-01T00:00:00"/>
    <n v="1"/>
    <d v="2025-03-01T00:00:00"/>
    <d v="2025-04-02T00:00:00"/>
    <n v="49331"/>
    <n v="5000"/>
    <s v="ONLINE"/>
    <s v="HANUMANGARH"/>
    <s v="32598-Analyst Cum Programmer DOIT&amp;amp;C HANUMANGARH"/>
    <s v="32598-Office of Analyst cum programmer(Dy Director) DoIT&amp;C Hanumangarh"/>
    <x v="0"/>
    <s v="25"/>
    <s v="ok"/>
  </r>
  <r>
    <x v="9"/>
    <d v="2025-04-01T00:00:00"/>
    <n v="1"/>
    <d v="2025-05-13T00:00:00"/>
    <d v="2025-05-13T00:00:00"/>
    <n v="621685"/>
    <n v="434500"/>
    <s v="LOAN"/>
    <s v="HANUMANGARH"/>
    <s v="32598-Analyst Cum Programmer DOIT&amp;amp;C HANUMANGARH"/>
    <s v="32598-Office of Analyst cum programmer(Dy Director) DoIT&amp;C Hanumangarh"/>
    <x v="1"/>
    <s v="25"/>
    <s v="ok"/>
  </r>
  <r>
    <x v="9"/>
    <d v="2025-04-01T00:00:00"/>
    <n v="2"/>
    <d v="2025-04-01T00:00:00"/>
    <d v="2025-05-01T00:00:00"/>
    <n v="432978"/>
    <n v="5000"/>
    <s v="ONLINE"/>
    <s v="HANUMANGARH"/>
    <s v="32598-Analyst Cum Programmer DOIT&amp;amp;C HANUMANGARH"/>
    <s v="32598-Office of Analyst cum programmer(Dy Director) DoIT&amp;C Hanumangarh"/>
    <x v="1"/>
    <s v="25"/>
    <s v="ok"/>
  </r>
  <r>
    <x v="9"/>
    <d v="2025-05-01T00:00:00"/>
    <n v="1"/>
    <d v="2025-05-01T00:00:00"/>
    <d v="2025-06-02T00:00:00"/>
    <n v="876297"/>
    <n v="5000"/>
    <s v="ONLINE"/>
    <s v="HANUMANGARH"/>
    <s v="32598-Analyst Cum Programmer DOIT&amp;amp;C HANUMANGARH"/>
    <s v="32598-Office of Analyst cum programmer(Dy Director) DoIT&amp;C Hanumangarh"/>
    <x v="2"/>
    <s v="25"/>
    <s v="ok"/>
  </r>
  <r>
    <x v="9"/>
    <d v="2025-06-01T00:00:00"/>
    <n v="1"/>
    <d v="2025-06-01T00:00:00"/>
    <d v="2025-07-01T00:00:00"/>
    <n v="1272439"/>
    <n v="12242"/>
    <s v="ONLINE"/>
    <s v="HANUMANGARH"/>
    <s v="32598-Analyst Cum Programmer DOIT&amp;amp;C HANUMANGARH"/>
    <s v="32598-Office of Analyst cum programmer(Dy Director) DoIT&amp;C Hanumangarh"/>
    <x v="3"/>
    <s v="25"/>
    <s v="ok"/>
  </r>
  <r>
    <x v="9"/>
    <d v="2025-07-01T00:00:00"/>
    <n v="1"/>
    <d v="2025-07-01T00:00:00"/>
    <d v="2025-08-01T00:00:00"/>
    <n v="1714317"/>
    <n v="12242"/>
    <s v="ONLINE"/>
    <s v="HANUMANGARH"/>
    <s v="32598-Analyst Cum Programmer DOIT&amp;amp;C HANUMANGARH"/>
    <s v="32598-Office of Analyst cum programmer(Dy Director) DoIT&amp;C Hanumangarh"/>
    <x v="4"/>
    <s v="25"/>
    <s v="ok"/>
  </r>
  <r>
    <x v="9"/>
    <d v="2025-08-01T00:00:00"/>
    <n v="1"/>
    <d v="2025-08-01T00:00:00"/>
    <d v="2025-09-03T00:00:00"/>
    <n v="2127637"/>
    <n v="12242"/>
    <s v="ONLINE"/>
    <s v="SECRETARIAT"/>
    <s v="ANALIST CUM PROGRAMMER DEPUTY DIRECTOR DDO DOITC"/>
    <s v="INFORMATION TECHNOLOGY AND COMMUNICATION DEPARTMENT"/>
    <x v="5"/>
    <s v="25"/>
    <s v="ok"/>
  </r>
  <r>
    <x v="9"/>
    <d v="2025-09-01T00:00:00"/>
    <n v="1"/>
    <d v="2025-09-01T00:00:00"/>
    <d v="2025-10-01T00:00:00"/>
    <n v="2401620"/>
    <n v="12242"/>
    <s v="ONLINE"/>
    <s v="SECRETARIAT"/>
    <s v="ANALIST CUM PROGRAMMER DEPUTY DIRECTOR DDO DOITC"/>
    <s v="INFORMATION TECHNOLOGY AND COMMUNICATION DEPARTMENT"/>
    <x v="6"/>
    <s v="25"/>
    <s v="ok"/>
  </r>
  <r>
    <x v="9"/>
    <d v="2025-10-01T00:00:00"/>
    <n v="1"/>
    <d v="2025-10-01T00:00:00"/>
    <d v="2025-11-01T00:00:00"/>
    <n v="3111361"/>
    <n v="12242"/>
    <s v="ONLINE"/>
    <s v="SECRETARIAT"/>
    <s v="ANALIST CUM PROGRAMMER DEPUTY DIRECTOR DDO DOITC"/>
    <s v="INFORMATION TECHNOLOGY AND COMMUNICATION DEPARTMENT"/>
    <x v="11"/>
    <s v="25"/>
    <s v="ok"/>
  </r>
  <r>
    <x v="9"/>
    <d v="2025-11-01T00:00:00"/>
    <n v="1"/>
    <d v="2025-11-01T00:00:00"/>
    <d v="2025-12-01T00:00:00"/>
    <n v="3572197"/>
    <n v="12242"/>
    <s v="ONLINE"/>
    <s v="SECRETARIAT"/>
    <s v="ANALIST CUM PROGRAMMER DEPUTY DIRECTOR DDO DOITC"/>
    <s v="INFORMATION TECHNOLOGY AND COMMUNICATION DEPARTMENT"/>
    <x v="7"/>
    <s v="25"/>
    <s v="ok"/>
  </r>
  <r>
    <x v="9"/>
    <d v="2025-12-01T00:00:00"/>
    <n v="1"/>
    <d v="2025-12-01T00:00:00"/>
    <d v="2026-01-01T00:00:00"/>
    <n v="3925524"/>
    <n v="12242"/>
    <s v="ONLINE"/>
    <s v="SECRETARIAT"/>
    <s v="ANALIST CUM PROGRAMMER DEPUTY DIRECTOR DDO DOITC"/>
    <s v="INFORMATION TECHNOLOGY AND COMMUNICATION DEPARTMENT"/>
    <x v="8"/>
    <s v="26"/>
    <s v="ok"/>
  </r>
  <r>
    <x v="9"/>
    <d v="2026-01-01T00:00:00"/>
    <n v="1"/>
    <d v="2026-01-01T00:00:00"/>
    <d v="2026-02-02T00:00:00"/>
    <n v="4385715"/>
    <n v="12242"/>
    <s v="ONLINE"/>
    <s v="SECRETARIAT"/>
    <s v="ANALIST CUM PROGRAMMER DEPUTY DIRECTOR DDO DOITC"/>
    <s v="INFORMATION TECHNOLOGY AND COMMUNICATION DEPARTMENT"/>
    <x v="9"/>
    <s v="26"/>
    <s v="ok"/>
  </r>
  <r>
    <x v="9"/>
    <d v="2026-02-01T00:00:00"/>
    <n v="1"/>
    <d v="2026-02-01T00:00:00"/>
    <d v="2026-03-02T00:00:00"/>
    <n v="4840915"/>
    <n v="12242"/>
    <s v="ONLINE"/>
    <s v="SECRETARIAT"/>
    <s v="ANALIST CUM PROGRAMMER DEPUTY DIRECTOR DDO DOITC"/>
    <s v="INFORMATION TECHNOLOGY AND COMMUNICATION DEPARTMENT"/>
    <x v="10"/>
    <s v="26"/>
    <s v="ok"/>
  </r>
  <r>
    <x v="10"/>
    <d v="2026-03-01T00:00:00"/>
    <m/>
    <m/>
    <m/>
    <m/>
    <m/>
    <m/>
    <m/>
    <m/>
    <m/>
    <x v="8"/>
    <s v="00"/>
    <m/>
  </r>
  <r>
    <x v="10"/>
    <d v="2026-04-01T00:00:00"/>
    <m/>
    <m/>
    <m/>
    <m/>
    <m/>
    <m/>
    <m/>
    <m/>
    <m/>
    <x v="8"/>
    <s v="00"/>
    <m/>
  </r>
  <r>
    <x v="10"/>
    <d v="2026-05-01T00:00:00"/>
    <m/>
    <m/>
    <m/>
    <m/>
    <m/>
    <m/>
    <m/>
    <m/>
    <m/>
    <x v="8"/>
    <s v="00"/>
    <m/>
  </r>
  <r>
    <x v="10"/>
    <d v="2026-06-01T00:00:00"/>
    <m/>
    <m/>
    <m/>
    <m/>
    <m/>
    <m/>
    <m/>
    <m/>
    <m/>
    <x v="8"/>
    <s v="00"/>
    <m/>
  </r>
  <r>
    <x v="10"/>
    <d v="2026-07-01T00:00:00"/>
    <m/>
    <m/>
    <m/>
    <m/>
    <m/>
    <m/>
    <m/>
    <m/>
    <m/>
    <x v="8"/>
    <s v="00"/>
    <m/>
  </r>
  <r>
    <x v="10"/>
    <d v="2026-08-01T00:00:00"/>
    <m/>
    <m/>
    <m/>
    <m/>
    <m/>
    <m/>
    <m/>
    <m/>
    <m/>
    <x v="8"/>
    <s v="00"/>
    <m/>
  </r>
  <r>
    <x v="10"/>
    <d v="2026-09-01T00:00:00"/>
    <m/>
    <m/>
    <m/>
    <m/>
    <m/>
    <m/>
    <m/>
    <m/>
    <m/>
    <x v="8"/>
    <s v="00"/>
    <m/>
  </r>
  <r>
    <x v="10"/>
    <d v="2026-10-01T00:00:00"/>
    <m/>
    <m/>
    <m/>
    <m/>
    <m/>
    <m/>
    <m/>
    <m/>
    <m/>
    <x v="8"/>
    <s v="00"/>
    <m/>
  </r>
  <r>
    <x v="10"/>
    <d v="2026-11-01T00:00:00"/>
    <m/>
    <m/>
    <m/>
    <m/>
    <m/>
    <m/>
    <m/>
    <m/>
    <m/>
    <x v="8"/>
    <s v="00"/>
    <m/>
  </r>
  <r>
    <x v="10"/>
    <d v="2026-12-01T00:00:00"/>
    <m/>
    <m/>
    <m/>
    <m/>
    <m/>
    <m/>
    <m/>
    <m/>
    <m/>
    <x v="8"/>
    <s v="00"/>
    <m/>
  </r>
  <r>
    <x v="10"/>
    <d v="2027-01-01T00:00:00"/>
    <m/>
    <m/>
    <m/>
    <m/>
    <m/>
    <m/>
    <m/>
    <m/>
    <m/>
    <x v="8"/>
    <s v="00"/>
    <m/>
  </r>
  <r>
    <x v="10"/>
    <d v="2027-02-01T00:00:00"/>
    <m/>
    <m/>
    <m/>
    <m/>
    <m/>
    <m/>
    <m/>
    <m/>
    <m/>
    <x v="8"/>
    <s v="00"/>
    <m/>
  </r>
  <r>
    <x v="10"/>
    <d v="2027-03-01T00:00:00"/>
    <m/>
    <m/>
    <m/>
    <m/>
    <m/>
    <m/>
    <m/>
    <m/>
    <m/>
    <x v="8"/>
    <s v="00"/>
    <m/>
  </r>
  <r>
    <x v="10"/>
    <d v="2027-04-01T00:00:00"/>
    <m/>
    <m/>
    <m/>
    <m/>
    <m/>
    <m/>
    <m/>
    <m/>
    <m/>
    <x v="8"/>
    <s v="00"/>
    <m/>
  </r>
  <r>
    <x v="10"/>
    <d v="2027-05-01T00:00:00"/>
    <m/>
    <m/>
    <m/>
    <m/>
    <m/>
    <m/>
    <m/>
    <m/>
    <m/>
    <x v="8"/>
    <s v="00"/>
    <m/>
  </r>
  <r>
    <x v="10"/>
    <d v="2027-06-01T00:00:00"/>
    <m/>
    <m/>
    <m/>
    <m/>
    <m/>
    <m/>
    <m/>
    <m/>
    <m/>
    <x v="8"/>
    <s v="00"/>
    <m/>
  </r>
  <r>
    <x v="10"/>
    <d v="2027-07-01T00:00:00"/>
    <m/>
    <m/>
    <m/>
    <m/>
    <m/>
    <m/>
    <m/>
    <m/>
    <m/>
    <x v="8"/>
    <s v="00"/>
    <m/>
  </r>
  <r>
    <x v="10"/>
    <d v="2027-08-01T00:00:00"/>
    <m/>
    <m/>
    <m/>
    <m/>
    <m/>
    <m/>
    <m/>
    <m/>
    <m/>
    <x v="8"/>
    <s v="00"/>
    <m/>
  </r>
  <r>
    <x v="10"/>
    <d v="2027-09-01T00:00:00"/>
    <m/>
    <m/>
    <m/>
    <m/>
    <m/>
    <m/>
    <m/>
    <m/>
    <m/>
    <x v="8"/>
    <s v="00"/>
    <m/>
  </r>
  <r>
    <x v="10"/>
    <d v="2027-10-01T00:00:00"/>
    <m/>
    <m/>
    <m/>
    <m/>
    <m/>
    <m/>
    <m/>
    <m/>
    <m/>
    <x v="8"/>
    <s v="00"/>
    <m/>
  </r>
  <r>
    <x v="10"/>
    <d v="2027-11-01T00:00:00"/>
    <m/>
    <m/>
    <m/>
    <m/>
    <m/>
    <m/>
    <m/>
    <m/>
    <m/>
    <x v="8"/>
    <s v="00"/>
    <m/>
  </r>
  <r>
    <x v="10"/>
    <d v="2027-12-01T00:00:00"/>
    <m/>
    <m/>
    <m/>
    <m/>
    <m/>
    <m/>
    <m/>
    <m/>
    <m/>
    <x v="8"/>
    <s v="00"/>
    <m/>
  </r>
  <r>
    <x v="10"/>
    <d v="2028-01-01T00:00:00"/>
    <m/>
    <m/>
    <m/>
    <m/>
    <m/>
    <m/>
    <m/>
    <m/>
    <m/>
    <x v="8"/>
    <s v="00"/>
    <m/>
  </r>
  <r>
    <x v="10"/>
    <d v="2028-02-01T00:00:00"/>
    <m/>
    <m/>
    <m/>
    <m/>
    <m/>
    <m/>
    <m/>
    <m/>
    <m/>
    <x v="8"/>
    <s v="00"/>
    <m/>
  </r>
  <r>
    <x v="10"/>
    <d v="2028-03-01T00:00:00"/>
    <m/>
    <m/>
    <m/>
    <m/>
    <m/>
    <m/>
    <m/>
    <m/>
    <m/>
    <x v="8"/>
    <s v="00"/>
    <m/>
  </r>
  <r>
    <x v="10"/>
    <d v="2028-04-01T00:00:00"/>
    <m/>
    <m/>
    <m/>
    <m/>
    <m/>
    <m/>
    <m/>
    <m/>
    <m/>
    <x v="8"/>
    <s v="00"/>
    <m/>
  </r>
  <r>
    <x v="10"/>
    <d v="2028-05-01T00:00:00"/>
    <m/>
    <m/>
    <m/>
    <m/>
    <m/>
    <m/>
    <m/>
    <m/>
    <m/>
    <x v="8"/>
    <s v="00"/>
    <m/>
  </r>
  <r>
    <x v="10"/>
    <d v="2028-06-01T00:00:00"/>
    <m/>
    <m/>
    <m/>
    <m/>
    <m/>
    <m/>
    <m/>
    <m/>
    <m/>
    <x v="8"/>
    <s v="00"/>
    <m/>
  </r>
  <r>
    <x v="10"/>
    <d v="2028-07-01T00:00:00"/>
    <m/>
    <m/>
    <m/>
    <m/>
    <m/>
    <m/>
    <m/>
    <m/>
    <m/>
    <x v="8"/>
    <s v="00"/>
    <m/>
  </r>
  <r>
    <x v="10"/>
    <d v="2028-08-01T00:00:00"/>
    <m/>
    <m/>
    <m/>
    <m/>
    <m/>
    <m/>
    <m/>
    <m/>
    <m/>
    <x v="8"/>
    <s v="00"/>
    <m/>
  </r>
  <r>
    <x v="10"/>
    <d v="2028-09-01T00:00:00"/>
    <m/>
    <m/>
    <m/>
    <m/>
    <m/>
    <m/>
    <m/>
    <m/>
    <m/>
    <x v="8"/>
    <s v="00"/>
    <m/>
  </r>
  <r>
    <x v="10"/>
    <d v="2028-10-01T00:00:00"/>
    <m/>
    <m/>
    <m/>
    <m/>
    <m/>
    <m/>
    <m/>
    <m/>
    <m/>
    <x v="8"/>
    <s v="00"/>
    <m/>
  </r>
  <r>
    <x v="10"/>
    <d v="2028-11-01T00:00:00"/>
    <m/>
    <m/>
    <m/>
    <m/>
    <m/>
    <m/>
    <m/>
    <m/>
    <m/>
    <x v="8"/>
    <s v="00"/>
    <m/>
  </r>
  <r>
    <x v="10"/>
    <d v="2028-12-01T00:00:00"/>
    <m/>
    <m/>
    <m/>
    <m/>
    <m/>
    <m/>
    <m/>
    <m/>
    <m/>
    <x v="8"/>
    <s v="00"/>
    <m/>
  </r>
  <r>
    <x v="10"/>
    <d v="2029-01-01T00:00:00"/>
    <m/>
    <m/>
    <m/>
    <m/>
    <m/>
    <m/>
    <m/>
    <m/>
    <m/>
    <x v="8"/>
    <s v="00"/>
    <m/>
  </r>
  <r>
    <x v="10"/>
    <d v="2029-02-01T00:00:00"/>
    <m/>
    <m/>
    <m/>
    <m/>
    <m/>
    <m/>
    <m/>
    <m/>
    <m/>
    <x v="8"/>
    <s v="00"/>
    <m/>
  </r>
  <r>
    <x v="10"/>
    <d v="2029-03-01T00:00:00"/>
    <m/>
    <m/>
    <m/>
    <m/>
    <m/>
    <m/>
    <m/>
    <m/>
    <m/>
    <x v="8"/>
    <s v="00"/>
    <m/>
  </r>
  <r>
    <x v="10"/>
    <d v="2029-04-01T00:00:00"/>
    <m/>
    <m/>
    <m/>
    <m/>
    <m/>
    <m/>
    <m/>
    <m/>
    <m/>
    <x v="8"/>
    <s v="00"/>
    <m/>
  </r>
  <r>
    <x v="10"/>
    <d v="2029-05-01T00:00:00"/>
    <m/>
    <m/>
    <m/>
    <m/>
    <m/>
    <m/>
    <m/>
    <m/>
    <m/>
    <x v="8"/>
    <s v="00"/>
    <m/>
  </r>
  <r>
    <x v="10"/>
    <d v="2029-06-01T00:00:00"/>
    <m/>
    <m/>
    <m/>
    <m/>
    <m/>
    <m/>
    <m/>
    <m/>
    <m/>
    <x v="8"/>
    <s v="00"/>
    <m/>
  </r>
  <r>
    <x v="10"/>
    <d v="2029-07-01T00:00:00"/>
    <m/>
    <m/>
    <m/>
    <m/>
    <m/>
    <m/>
    <m/>
    <m/>
    <m/>
    <x v="8"/>
    <s v="00"/>
    <m/>
  </r>
  <r>
    <x v="10"/>
    <d v="2029-08-01T00:00:00"/>
    <m/>
    <m/>
    <m/>
    <m/>
    <m/>
    <m/>
    <m/>
    <m/>
    <m/>
    <x v="8"/>
    <s v="00"/>
    <m/>
  </r>
  <r>
    <x v="10"/>
    <d v="2029-09-01T00:00:00"/>
    <m/>
    <m/>
    <m/>
    <m/>
    <m/>
    <m/>
    <m/>
    <m/>
    <m/>
    <x v="8"/>
    <s v="00"/>
    <m/>
  </r>
  <r>
    <x v="10"/>
    <d v="2029-10-01T00:00:00"/>
    <m/>
    <m/>
    <m/>
    <m/>
    <m/>
    <m/>
    <m/>
    <m/>
    <m/>
    <x v="8"/>
    <s v="00"/>
    <m/>
  </r>
  <r>
    <x v="10"/>
    <d v="2029-11-01T00:00:00"/>
    <m/>
    <m/>
    <m/>
    <m/>
    <m/>
    <m/>
    <m/>
    <m/>
    <m/>
    <x v="8"/>
    <s v="00"/>
    <m/>
  </r>
  <r>
    <x v="10"/>
    <d v="2029-12-01T00:00:00"/>
    <m/>
    <m/>
    <m/>
    <m/>
    <m/>
    <m/>
    <m/>
    <m/>
    <m/>
    <x v="8"/>
    <s v="00"/>
    <m/>
  </r>
  <r>
    <x v="10"/>
    <d v="2030-01-01T00:00:00"/>
    <m/>
    <m/>
    <m/>
    <m/>
    <m/>
    <m/>
    <m/>
    <m/>
    <m/>
    <x v="8"/>
    <s v="00"/>
    <m/>
  </r>
  <r>
    <x v="10"/>
    <d v="2030-02-01T00:00:00"/>
    <m/>
    <m/>
    <m/>
    <m/>
    <m/>
    <m/>
    <m/>
    <m/>
    <m/>
    <x v="8"/>
    <s v="00"/>
    <m/>
  </r>
  <r>
    <x v="10"/>
    <d v="2030-03-01T00:00:00"/>
    <m/>
    <m/>
    <m/>
    <m/>
    <m/>
    <m/>
    <m/>
    <m/>
    <m/>
    <x v="8"/>
    <s v="00"/>
    <m/>
  </r>
  <r>
    <x v="10"/>
    <d v="2030-04-01T00:00:00"/>
    <m/>
    <m/>
    <m/>
    <m/>
    <m/>
    <m/>
    <m/>
    <m/>
    <m/>
    <x v="8"/>
    <s v="00"/>
    <m/>
  </r>
  <r>
    <x v="10"/>
    <d v="2030-05-01T00:00:00"/>
    <m/>
    <m/>
    <m/>
    <m/>
    <m/>
    <m/>
    <m/>
    <m/>
    <m/>
    <x v="8"/>
    <s v="00"/>
    <m/>
  </r>
  <r>
    <x v="10"/>
    <d v="2030-06-01T00:00:00"/>
    <m/>
    <m/>
    <m/>
    <m/>
    <m/>
    <m/>
    <m/>
    <m/>
    <m/>
    <x v="8"/>
    <s v="00"/>
    <m/>
  </r>
  <r>
    <x v="10"/>
    <d v="2030-07-01T00:00:00"/>
    <m/>
    <m/>
    <m/>
    <m/>
    <m/>
    <m/>
    <m/>
    <m/>
    <m/>
    <x v="8"/>
    <s v="00"/>
    <m/>
  </r>
  <r>
    <x v="10"/>
    <d v="2030-08-01T00:00:00"/>
    <m/>
    <m/>
    <m/>
    <m/>
    <m/>
    <m/>
    <m/>
    <m/>
    <m/>
    <x v="8"/>
    <s v="00"/>
    <m/>
  </r>
  <r>
    <x v="10"/>
    <d v="2030-09-01T00:00:00"/>
    <m/>
    <m/>
    <m/>
    <m/>
    <m/>
    <m/>
    <m/>
    <m/>
    <m/>
    <x v="8"/>
    <s v="00"/>
    <m/>
  </r>
  <r>
    <x v="10"/>
    <d v="2030-10-01T00:00:00"/>
    <m/>
    <m/>
    <m/>
    <m/>
    <m/>
    <m/>
    <m/>
    <m/>
    <m/>
    <x v="8"/>
    <s v="00"/>
    <m/>
  </r>
  <r>
    <x v="10"/>
    <d v="2030-11-01T00:00:00"/>
    <m/>
    <m/>
    <m/>
    <m/>
    <m/>
    <m/>
    <m/>
    <m/>
    <m/>
    <x v="8"/>
    <s v="00"/>
    <m/>
  </r>
  <r>
    <x v="10"/>
    <d v="2030-12-01T00:00:00"/>
    <m/>
    <m/>
    <m/>
    <m/>
    <m/>
    <m/>
    <m/>
    <m/>
    <m/>
    <x v="8"/>
    <s v="00"/>
    <m/>
  </r>
  <r>
    <x v="10"/>
    <d v="2031-01-01T00:00:00"/>
    <m/>
    <m/>
    <m/>
    <m/>
    <m/>
    <m/>
    <m/>
    <m/>
    <m/>
    <x v="8"/>
    <s v="00"/>
    <m/>
  </r>
  <r>
    <x v="10"/>
    <d v="2031-02-01T00:00:00"/>
    <m/>
    <m/>
    <m/>
    <m/>
    <m/>
    <m/>
    <m/>
    <m/>
    <m/>
    <x v="8"/>
    <s v="00"/>
    <m/>
  </r>
  <r>
    <x v="10"/>
    <d v="2031-03-01T00:00:00"/>
    <m/>
    <m/>
    <m/>
    <m/>
    <m/>
    <m/>
    <m/>
    <m/>
    <m/>
    <x v="8"/>
    <s v="00"/>
    <m/>
  </r>
  <r>
    <x v="10"/>
    <d v="2031-04-01T00:00:00"/>
    <m/>
    <m/>
    <m/>
    <m/>
    <m/>
    <m/>
    <m/>
    <m/>
    <m/>
    <x v="8"/>
    <s v="00"/>
    <m/>
  </r>
  <r>
    <x v="10"/>
    <d v="2031-05-01T00:00:00"/>
    <m/>
    <m/>
    <m/>
    <m/>
    <m/>
    <m/>
    <m/>
    <m/>
    <m/>
    <x v="8"/>
    <s v="00"/>
    <m/>
  </r>
  <r>
    <x v="10"/>
    <d v="2031-06-01T00:00:00"/>
    <m/>
    <m/>
    <m/>
    <m/>
    <m/>
    <m/>
    <m/>
    <m/>
    <m/>
    <x v="8"/>
    <s v="00"/>
    <m/>
  </r>
  <r>
    <x v="10"/>
    <d v="2031-07-01T00:00:00"/>
    <m/>
    <m/>
    <m/>
    <m/>
    <m/>
    <m/>
    <m/>
    <m/>
    <m/>
    <x v="8"/>
    <s v="00"/>
    <m/>
  </r>
  <r>
    <x v="10"/>
    <d v="2031-08-01T00:00:00"/>
    <m/>
    <m/>
    <m/>
    <m/>
    <m/>
    <m/>
    <m/>
    <m/>
    <m/>
    <x v="8"/>
    <s v="00"/>
    <m/>
  </r>
  <r>
    <x v="10"/>
    <d v="2031-09-01T00:00:00"/>
    <m/>
    <m/>
    <m/>
    <m/>
    <m/>
    <m/>
    <m/>
    <m/>
    <m/>
    <x v="8"/>
    <s v="00"/>
    <m/>
  </r>
  <r>
    <x v="10"/>
    <d v="2031-10-01T00:00:00"/>
    <m/>
    <m/>
    <m/>
    <m/>
    <m/>
    <m/>
    <m/>
    <m/>
    <m/>
    <x v="8"/>
    <s v="00"/>
    <m/>
  </r>
  <r>
    <x v="10"/>
    <d v="2031-11-01T00:00:00"/>
    <m/>
    <m/>
    <m/>
    <m/>
    <m/>
    <m/>
    <m/>
    <m/>
    <m/>
    <x v="8"/>
    <s v="00"/>
    <m/>
  </r>
  <r>
    <x v="10"/>
    <d v="2031-12-01T00:00:00"/>
    <m/>
    <m/>
    <m/>
    <m/>
    <m/>
    <m/>
    <m/>
    <m/>
    <m/>
    <x v="8"/>
    <s v="00"/>
    <m/>
  </r>
  <r>
    <x v="10"/>
    <d v="2032-01-01T00:00:00"/>
    <m/>
    <m/>
    <m/>
    <m/>
    <m/>
    <m/>
    <m/>
    <m/>
    <m/>
    <x v="8"/>
    <s v="00"/>
    <m/>
  </r>
  <r>
    <x v="10"/>
    <d v="2032-02-01T00:00:00"/>
    <m/>
    <m/>
    <m/>
    <m/>
    <m/>
    <m/>
    <m/>
    <m/>
    <m/>
    <x v="8"/>
    <s v="00"/>
    <m/>
  </r>
  <r>
    <x v="10"/>
    <d v="2032-03-01T00:00:00"/>
    <m/>
    <m/>
    <m/>
    <m/>
    <m/>
    <m/>
    <m/>
    <m/>
    <m/>
    <x v="8"/>
    <s v="00"/>
    <m/>
  </r>
  <r>
    <x v="10"/>
    <d v="2032-04-01T00:00:00"/>
    <m/>
    <m/>
    <m/>
    <m/>
    <m/>
    <m/>
    <m/>
    <m/>
    <m/>
    <x v="8"/>
    <s v="00"/>
    <m/>
  </r>
  <r>
    <x v="10"/>
    <d v="2032-05-01T00:00:00"/>
    <m/>
    <m/>
    <m/>
    <m/>
    <m/>
    <m/>
    <m/>
    <m/>
    <m/>
    <x v="8"/>
    <s v="00"/>
    <m/>
  </r>
  <r>
    <x v="10"/>
    <d v="2032-06-01T00:00:00"/>
    <m/>
    <m/>
    <m/>
    <m/>
    <m/>
    <m/>
    <m/>
    <m/>
    <m/>
    <x v="8"/>
    <s v="00"/>
    <m/>
  </r>
  <r>
    <x v="10"/>
    <d v="2032-07-01T00:00:00"/>
    <m/>
    <m/>
    <m/>
    <m/>
    <m/>
    <m/>
    <m/>
    <m/>
    <m/>
    <x v="8"/>
    <s v="00"/>
    <m/>
  </r>
  <r>
    <x v="10"/>
    <d v="2032-08-01T00:00:00"/>
    <m/>
    <m/>
    <m/>
    <m/>
    <m/>
    <m/>
    <m/>
    <m/>
    <m/>
    <x v="8"/>
    <s v="00"/>
    <m/>
  </r>
  <r>
    <x v="10"/>
    <d v="2032-09-01T00:00:00"/>
    <m/>
    <m/>
    <m/>
    <m/>
    <m/>
    <m/>
    <m/>
    <m/>
    <m/>
    <x v="8"/>
    <s v="00"/>
    <m/>
  </r>
  <r>
    <x v="10"/>
    <d v="2032-10-01T00:00:00"/>
    <m/>
    <m/>
    <m/>
    <m/>
    <m/>
    <m/>
    <m/>
    <m/>
    <m/>
    <x v="8"/>
    <s v="00"/>
    <m/>
  </r>
  <r>
    <x v="10"/>
    <d v="2032-11-01T00:00:00"/>
    <m/>
    <m/>
    <m/>
    <m/>
    <m/>
    <m/>
    <m/>
    <m/>
    <m/>
    <x v="8"/>
    <s v="00"/>
    <m/>
  </r>
  <r>
    <x v="10"/>
    <d v="2032-12-01T00:00:00"/>
    <m/>
    <m/>
    <m/>
    <m/>
    <m/>
    <m/>
    <m/>
    <m/>
    <m/>
    <x v="8"/>
    <s v="00"/>
    <m/>
  </r>
  <r>
    <x v="10"/>
    <d v="2033-01-01T00:00:00"/>
    <m/>
    <m/>
    <m/>
    <m/>
    <m/>
    <m/>
    <m/>
    <m/>
    <m/>
    <x v="8"/>
    <s v="00"/>
    <m/>
  </r>
  <r>
    <x v="10"/>
    <d v="2033-02-01T00:00:00"/>
    <m/>
    <m/>
    <m/>
    <m/>
    <m/>
    <m/>
    <m/>
    <m/>
    <m/>
    <x v="8"/>
    <s v="00"/>
    <m/>
  </r>
  <r>
    <x v="10"/>
    <d v="2033-03-01T00:00:00"/>
    <m/>
    <m/>
    <m/>
    <m/>
    <m/>
    <m/>
    <m/>
    <m/>
    <m/>
    <x v="8"/>
    <s v="00"/>
    <m/>
  </r>
  <r>
    <x v="10"/>
    <d v="2033-04-01T00:00:00"/>
    <m/>
    <m/>
    <m/>
    <m/>
    <m/>
    <m/>
    <m/>
    <m/>
    <m/>
    <x v="8"/>
    <s v="00"/>
    <m/>
  </r>
  <r>
    <x v="10"/>
    <d v="2033-05-01T00:00:00"/>
    <m/>
    <m/>
    <m/>
    <m/>
    <m/>
    <m/>
    <m/>
    <m/>
    <m/>
    <x v="8"/>
    <s v="00"/>
    <m/>
  </r>
  <r>
    <x v="10"/>
    <d v="2033-06-01T00:00:00"/>
    <m/>
    <m/>
    <m/>
    <m/>
    <m/>
    <m/>
    <m/>
    <m/>
    <m/>
    <x v="8"/>
    <s v="00"/>
    <m/>
  </r>
  <r>
    <x v="10"/>
    <d v="2033-07-01T00:00:00"/>
    <m/>
    <m/>
    <m/>
    <m/>
    <m/>
    <m/>
    <m/>
    <m/>
    <m/>
    <x v="8"/>
    <s v="00"/>
    <m/>
  </r>
  <r>
    <x v="10"/>
    <d v="2033-08-01T00:00:00"/>
    <m/>
    <m/>
    <m/>
    <m/>
    <m/>
    <m/>
    <m/>
    <m/>
    <m/>
    <x v="8"/>
    <s v="00"/>
    <m/>
  </r>
  <r>
    <x v="10"/>
    <d v="2033-09-01T00:00:00"/>
    <m/>
    <m/>
    <m/>
    <m/>
    <m/>
    <m/>
    <m/>
    <m/>
    <m/>
    <x v="8"/>
    <s v="00"/>
    <m/>
  </r>
  <r>
    <x v="10"/>
    <d v="2033-10-01T00:00:00"/>
    <m/>
    <m/>
    <m/>
    <m/>
    <m/>
    <m/>
    <m/>
    <m/>
    <m/>
    <x v="8"/>
    <s v="00"/>
    <m/>
  </r>
  <r>
    <x v="10"/>
    <d v="2033-11-01T00:00:00"/>
    <m/>
    <m/>
    <m/>
    <m/>
    <m/>
    <m/>
    <m/>
    <m/>
    <m/>
    <x v="8"/>
    <s v="00"/>
    <m/>
  </r>
  <r>
    <x v="10"/>
    <d v="2033-12-01T00:00:00"/>
    <m/>
    <m/>
    <m/>
    <m/>
    <m/>
    <m/>
    <m/>
    <m/>
    <m/>
    <x v="8"/>
    <s v="00"/>
    <m/>
  </r>
  <r>
    <x v="10"/>
    <d v="2034-01-01T00:00:00"/>
    <m/>
    <m/>
    <m/>
    <m/>
    <m/>
    <m/>
    <m/>
    <m/>
    <m/>
    <x v="8"/>
    <s v="00"/>
    <m/>
  </r>
  <r>
    <x v="10"/>
    <d v="2034-02-01T00:00:00"/>
    <m/>
    <m/>
    <m/>
    <m/>
    <m/>
    <m/>
    <m/>
    <m/>
    <m/>
    <x v="8"/>
    <s v="00"/>
    <m/>
  </r>
  <r>
    <x v="10"/>
    <d v="2034-03-01T00:00:00"/>
    <m/>
    <m/>
    <m/>
    <m/>
    <m/>
    <m/>
    <m/>
    <m/>
    <m/>
    <x v="8"/>
    <s v="00"/>
    <m/>
  </r>
  <r>
    <x v="10"/>
    <d v="2034-04-01T00:00:00"/>
    <m/>
    <m/>
    <m/>
    <m/>
    <m/>
    <m/>
    <m/>
    <m/>
    <m/>
    <x v="8"/>
    <s v="00"/>
    <m/>
  </r>
  <r>
    <x v="10"/>
    <d v="2034-05-01T00:00:00"/>
    <m/>
    <m/>
    <m/>
    <m/>
    <m/>
    <m/>
    <m/>
    <m/>
    <m/>
    <x v="8"/>
    <s v="00"/>
    <m/>
  </r>
  <r>
    <x v="10"/>
    <d v="2034-06-01T00:00:00"/>
    <m/>
    <m/>
    <m/>
    <m/>
    <m/>
    <m/>
    <m/>
    <m/>
    <m/>
    <x v="8"/>
    <s v="00"/>
    <m/>
  </r>
  <r>
    <x v="10"/>
    <d v="2034-07-01T00:00:00"/>
    <m/>
    <m/>
    <m/>
    <m/>
    <m/>
    <m/>
    <m/>
    <m/>
    <m/>
    <x v="8"/>
    <s v="00"/>
    <m/>
  </r>
  <r>
    <x v="10"/>
    <d v="2034-08-01T00:00:00"/>
    <m/>
    <m/>
    <m/>
    <m/>
    <m/>
    <m/>
    <m/>
    <m/>
    <m/>
    <x v="8"/>
    <s v="00"/>
    <m/>
  </r>
  <r>
    <x v="10"/>
    <d v="2034-09-01T00:00:00"/>
    <m/>
    <m/>
    <m/>
    <m/>
    <m/>
    <m/>
    <m/>
    <m/>
    <m/>
    <x v="8"/>
    <s v="00"/>
    <m/>
  </r>
  <r>
    <x v="10"/>
    <d v="2034-10-01T00:00:00"/>
    <m/>
    <m/>
    <m/>
    <m/>
    <m/>
    <m/>
    <m/>
    <m/>
    <m/>
    <x v="8"/>
    <s v="00"/>
    <m/>
  </r>
  <r>
    <x v="10"/>
    <d v="2034-11-01T00:00:00"/>
    <m/>
    <m/>
    <m/>
    <m/>
    <m/>
    <m/>
    <m/>
    <m/>
    <m/>
    <x v="8"/>
    <s v="00"/>
    <m/>
  </r>
  <r>
    <x v="10"/>
    <d v="2034-12-01T00:00:00"/>
    <m/>
    <m/>
    <m/>
    <m/>
    <m/>
    <m/>
    <m/>
    <m/>
    <m/>
    <x v="8"/>
    <s v="00"/>
    <m/>
  </r>
  <r>
    <x v="10"/>
    <d v="2035-01-01T00:00:00"/>
    <m/>
    <m/>
    <m/>
    <m/>
    <m/>
    <m/>
    <m/>
    <m/>
    <m/>
    <x v="8"/>
    <s v="00"/>
    <m/>
  </r>
  <r>
    <x v="10"/>
    <d v="2035-02-01T00:00:00"/>
    <m/>
    <m/>
    <m/>
    <m/>
    <m/>
    <m/>
    <m/>
    <m/>
    <m/>
    <x v="8"/>
    <s v="00"/>
    <m/>
  </r>
  <r>
    <x v="10"/>
    <d v="2035-03-01T00:00:00"/>
    <m/>
    <m/>
    <m/>
    <m/>
    <m/>
    <m/>
    <m/>
    <m/>
    <m/>
    <x v="8"/>
    <s v="00"/>
    <m/>
  </r>
  <r>
    <x v="10"/>
    <d v="2035-04-01T00:00:00"/>
    <m/>
    <m/>
    <m/>
    <m/>
    <m/>
    <m/>
    <m/>
    <m/>
    <m/>
    <x v="8"/>
    <s v="00"/>
    <m/>
  </r>
  <r>
    <x v="10"/>
    <d v="2035-05-01T00:00:00"/>
    <m/>
    <m/>
    <m/>
    <m/>
    <m/>
    <m/>
    <m/>
    <m/>
    <m/>
    <x v="8"/>
    <s v="00"/>
    <m/>
  </r>
  <r>
    <x v="10"/>
    <d v="2035-06-01T00:00:00"/>
    <m/>
    <m/>
    <m/>
    <m/>
    <m/>
    <m/>
    <m/>
    <m/>
    <m/>
    <x v="8"/>
    <s v="00"/>
    <m/>
  </r>
  <r>
    <x v="10"/>
    <d v="2035-07-01T00:00:00"/>
    <m/>
    <m/>
    <m/>
    <m/>
    <m/>
    <m/>
    <m/>
    <m/>
    <m/>
    <x v="8"/>
    <s v="00"/>
    <m/>
  </r>
  <r>
    <x v="10"/>
    <d v="2035-08-01T00:00:00"/>
    <m/>
    <m/>
    <m/>
    <m/>
    <m/>
    <m/>
    <m/>
    <m/>
    <m/>
    <x v="8"/>
    <s v="00"/>
    <m/>
  </r>
  <r>
    <x v="10"/>
    <d v="2035-09-01T00:00:00"/>
    <m/>
    <m/>
    <m/>
    <m/>
    <m/>
    <m/>
    <m/>
    <m/>
    <m/>
    <x v="8"/>
    <s v="00"/>
    <m/>
  </r>
  <r>
    <x v="10"/>
    <d v="2035-10-01T00:00:00"/>
    <m/>
    <m/>
    <m/>
    <m/>
    <m/>
    <m/>
    <m/>
    <m/>
    <m/>
    <x v="8"/>
    <s v="00"/>
    <m/>
  </r>
  <r>
    <x v="10"/>
    <d v="2035-11-01T00:00:00"/>
    <m/>
    <m/>
    <m/>
    <m/>
    <m/>
    <m/>
    <m/>
    <m/>
    <m/>
    <x v="8"/>
    <s v="00"/>
    <m/>
  </r>
  <r>
    <x v="10"/>
    <d v="2035-12-01T00:00:00"/>
    <m/>
    <m/>
    <m/>
    <m/>
    <m/>
    <m/>
    <m/>
    <m/>
    <m/>
    <x v="8"/>
    <s v="00"/>
    <m/>
  </r>
  <r>
    <x v="10"/>
    <d v="2036-01-01T00:00:00"/>
    <m/>
    <m/>
    <m/>
    <m/>
    <m/>
    <m/>
    <m/>
    <m/>
    <m/>
    <x v="8"/>
    <s v="00"/>
    <m/>
  </r>
  <r>
    <x v="10"/>
    <d v="2036-02-01T00:00:00"/>
    <m/>
    <m/>
    <m/>
    <m/>
    <m/>
    <m/>
    <m/>
    <m/>
    <m/>
    <x v="8"/>
    <s v="00"/>
    <m/>
  </r>
  <r>
    <x v="10"/>
    <d v="2036-03-01T00:00:00"/>
    <m/>
    <m/>
    <m/>
    <m/>
    <m/>
    <m/>
    <m/>
    <m/>
    <m/>
    <x v="8"/>
    <s v="00"/>
    <m/>
  </r>
  <r>
    <x v="10"/>
    <d v="2036-04-01T00:00:00"/>
    <m/>
    <m/>
    <m/>
    <m/>
    <m/>
    <m/>
    <m/>
    <m/>
    <m/>
    <x v="8"/>
    <s v="00"/>
    <m/>
  </r>
  <r>
    <x v="10"/>
    <d v="2036-05-01T00:00:00"/>
    <m/>
    <m/>
    <m/>
    <m/>
    <m/>
    <m/>
    <m/>
    <m/>
    <m/>
    <x v="8"/>
    <s v="00"/>
    <m/>
  </r>
  <r>
    <x v="10"/>
    <d v="2036-06-01T00:00:00"/>
    <m/>
    <m/>
    <m/>
    <m/>
    <m/>
    <m/>
    <m/>
    <m/>
    <m/>
    <x v="8"/>
    <s v="00"/>
    <m/>
  </r>
  <r>
    <x v="10"/>
    <d v="2036-07-01T00:00:00"/>
    <m/>
    <m/>
    <m/>
    <m/>
    <m/>
    <m/>
    <m/>
    <m/>
    <m/>
    <x v="8"/>
    <s v="00"/>
    <m/>
  </r>
  <r>
    <x v="10"/>
    <d v="2036-08-01T00:00:00"/>
    <m/>
    <m/>
    <m/>
    <m/>
    <m/>
    <m/>
    <m/>
    <m/>
    <m/>
    <x v="8"/>
    <s v="00"/>
    <m/>
  </r>
  <r>
    <x v="10"/>
    <d v="2036-09-01T00:00:00"/>
    <m/>
    <m/>
    <m/>
    <m/>
    <m/>
    <m/>
    <m/>
    <m/>
    <m/>
    <x v="8"/>
    <s v="00"/>
    <m/>
  </r>
  <r>
    <x v="10"/>
    <d v="2036-10-01T00:00:00"/>
    <m/>
    <m/>
    <m/>
    <m/>
    <m/>
    <m/>
    <m/>
    <m/>
    <m/>
    <x v="8"/>
    <s v="00"/>
    <m/>
  </r>
  <r>
    <x v="10"/>
    <d v="2036-11-01T00:00:00"/>
    <m/>
    <m/>
    <m/>
    <m/>
    <m/>
    <m/>
    <m/>
    <m/>
    <m/>
    <x v="8"/>
    <s v="00"/>
    <m/>
  </r>
  <r>
    <x v="10"/>
    <d v="2036-12-01T00:00:00"/>
    <m/>
    <m/>
    <m/>
    <m/>
    <m/>
    <m/>
    <m/>
    <m/>
    <m/>
    <x v="8"/>
    <s v="00"/>
    <m/>
  </r>
  <r>
    <x v="10"/>
    <d v="2037-01-01T00:00:00"/>
    <m/>
    <m/>
    <m/>
    <m/>
    <m/>
    <m/>
    <m/>
    <m/>
    <m/>
    <x v="8"/>
    <s v="00"/>
    <m/>
  </r>
  <r>
    <x v="10"/>
    <d v="2037-02-01T00:00:00"/>
    <m/>
    <m/>
    <m/>
    <m/>
    <m/>
    <m/>
    <m/>
    <m/>
    <m/>
    <x v="8"/>
    <s v="00"/>
    <m/>
  </r>
  <r>
    <x v="10"/>
    <d v="2037-03-01T00:00:00"/>
    <m/>
    <m/>
    <m/>
    <m/>
    <m/>
    <m/>
    <m/>
    <m/>
    <m/>
    <x v="8"/>
    <s v="00"/>
    <m/>
  </r>
  <r>
    <x v="10"/>
    <d v="2037-04-01T00:00:00"/>
    <m/>
    <m/>
    <m/>
    <m/>
    <m/>
    <m/>
    <m/>
    <m/>
    <m/>
    <x v="8"/>
    <s v="00"/>
    <m/>
  </r>
  <r>
    <x v="10"/>
    <d v="2037-05-01T00:00:00"/>
    <m/>
    <m/>
    <m/>
    <m/>
    <m/>
    <m/>
    <m/>
    <m/>
    <m/>
    <x v="8"/>
    <s v="00"/>
    <m/>
  </r>
  <r>
    <x v="10"/>
    <d v="2037-06-01T00:00:00"/>
    <m/>
    <m/>
    <m/>
    <m/>
    <m/>
    <m/>
    <m/>
    <m/>
    <m/>
    <x v="8"/>
    <s v="00"/>
    <m/>
  </r>
  <r>
    <x v="10"/>
    <d v="2037-07-01T00:00:00"/>
    <m/>
    <m/>
    <m/>
    <m/>
    <m/>
    <m/>
    <m/>
    <m/>
    <m/>
    <x v="8"/>
    <s v="00"/>
    <m/>
  </r>
  <r>
    <x v="10"/>
    <d v="2037-08-01T00:00:00"/>
    <m/>
    <m/>
    <m/>
    <m/>
    <m/>
    <m/>
    <m/>
    <m/>
    <m/>
    <x v="8"/>
    <s v="00"/>
    <m/>
  </r>
  <r>
    <x v="10"/>
    <d v="2037-09-01T00:00:00"/>
    <m/>
    <m/>
    <m/>
    <m/>
    <m/>
    <m/>
    <m/>
    <m/>
    <m/>
    <x v="8"/>
    <s v="00"/>
    <m/>
  </r>
  <r>
    <x v="10"/>
    <d v="2037-10-01T00:00:00"/>
    <m/>
    <m/>
    <m/>
    <m/>
    <m/>
    <m/>
    <m/>
    <m/>
    <m/>
    <x v="8"/>
    <s v="00"/>
    <m/>
  </r>
  <r>
    <x v="10"/>
    <d v="2037-11-01T00:00:00"/>
    <m/>
    <m/>
    <m/>
    <m/>
    <m/>
    <m/>
    <m/>
    <m/>
    <m/>
    <x v="8"/>
    <s v="00"/>
    <m/>
  </r>
  <r>
    <x v="10"/>
    <d v="2037-12-01T00:00:00"/>
    <m/>
    <m/>
    <m/>
    <m/>
    <m/>
    <m/>
    <m/>
    <m/>
    <m/>
    <x v="8"/>
    <s v="00"/>
    <m/>
  </r>
  <r>
    <x v="10"/>
    <d v="2038-01-01T00:00:00"/>
    <m/>
    <m/>
    <m/>
    <m/>
    <m/>
    <m/>
    <m/>
    <m/>
    <m/>
    <x v="8"/>
    <s v="00"/>
    <m/>
  </r>
  <r>
    <x v="10"/>
    <d v="2038-02-01T00:00:00"/>
    <m/>
    <m/>
    <m/>
    <m/>
    <m/>
    <m/>
    <m/>
    <m/>
    <m/>
    <x v="8"/>
    <s v="00"/>
    <m/>
  </r>
  <r>
    <x v="10"/>
    <d v="2038-03-01T00:00:00"/>
    <m/>
    <m/>
    <m/>
    <m/>
    <m/>
    <m/>
    <m/>
    <m/>
    <m/>
    <x v="8"/>
    <s v="00"/>
    <m/>
  </r>
  <r>
    <x v="10"/>
    <d v="2038-04-01T00:00:00"/>
    <m/>
    <m/>
    <m/>
    <m/>
    <m/>
    <m/>
    <m/>
    <m/>
    <m/>
    <x v="8"/>
    <s v="00"/>
    <m/>
  </r>
  <r>
    <x v="10"/>
    <d v="2038-05-01T00:00:00"/>
    <m/>
    <m/>
    <m/>
    <m/>
    <m/>
    <m/>
    <m/>
    <m/>
    <m/>
    <x v="8"/>
    <s v="00"/>
    <m/>
  </r>
  <r>
    <x v="10"/>
    <d v="2038-06-01T00:00:00"/>
    <m/>
    <m/>
    <m/>
    <m/>
    <m/>
    <m/>
    <m/>
    <m/>
    <m/>
    <x v="8"/>
    <s v="00"/>
    <m/>
  </r>
  <r>
    <x v="10"/>
    <d v="2038-07-01T00:00:00"/>
    <m/>
    <m/>
    <m/>
    <m/>
    <m/>
    <m/>
    <m/>
    <m/>
    <m/>
    <x v="8"/>
    <s v="00"/>
    <m/>
  </r>
  <r>
    <x v="10"/>
    <d v="2038-08-01T00:00:00"/>
    <m/>
    <m/>
    <m/>
    <m/>
    <m/>
    <m/>
    <m/>
    <m/>
    <m/>
    <x v="8"/>
    <s v="00"/>
    <m/>
  </r>
  <r>
    <x v="10"/>
    <d v="2038-09-01T00:00:00"/>
    <m/>
    <m/>
    <m/>
    <m/>
    <m/>
    <m/>
    <m/>
    <m/>
    <m/>
    <x v="8"/>
    <s v="00"/>
    <m/>
  </r>
  <r>
    <x v="10"/>
    <d v="2038-10-01T00:00:00"/>
    <m/>
    <m/>
    <m/>
    <m/>
    <m/>
    <m/>
    <m/>
    <m/>
    <m/>
    <x v="8"/>
    <s v="00"/>
    <m/>
  </r>
  <r>
    <x v="10"/>
    <d v="2038-11-01T00:00:00"/>
    <m/>
    <m/>
    <m/>
    <m/>
    <m/>
    <m/>
    <m/>
    <m/>
    <m/>
    <x v="8"/>
    <s v="00"/>
    <m/>
  </r>
  <r>
    <x v="10"/>
    <d v="2038-12-01T00:00:00"/>
    <m/>
    <m/>
    <m/>
    <m/>
    <m/>
    <m/>
    <m/>
    <m/>
    <m/>
    <x v="8"/>
    <s v="00"/>
    <m/>
  </r>
  <r>
    <x v="10"/>
    <d v="2039-01-01T00:00:00"/>
    <m/>
    <m/>
    <m/>
    <m/>
    <m/>
    <m/>
    <m/>
    <m/>
    <m/>
    <x v="8"/>
    <s v="00"/>
    <m/>
  </r>
  <r>
    <x v="10"/>
    <d v="2039-02-01T00:00:00"/>
    <m/>
    <m/>
    <m/>
    <m/>
    <m/>
    <m/>
    <m/>
    <m/>
    <m/>
    <x v="8"/>
    <s v="00"/>
    <m/>
  </r>
  <r>
    <x v="10"/>
    <d v="2039-03-01T00:00:00"/>
    <m/>
    <m/>
    <m/>
    <m/>
    <m/>
    <m/>
    <m/>
    <m/>
    <m/>
    <x v="8"/>
    <s v="00"/>
    <m/>
  </r>
  <r>
    <x v="10"/>
    <d v="2039-04-01T00:00:00"/>
    <m/>
    <m/>
    <m/>
    <m/>
    <m/>
    <m/>
    <m/>
    <m/>
    <m/>
    <x v="8"/>
    <s v="00"/>
    <m/>
  </r>
  <r>
    <x v="10"/>
    <d v="2039-05-01T00:00:00"/>
    <m/>
    <m/>
    <m/>
    <m/>
    <m/>
    <m/>
    <m/>
    <m/>
    <m/>
    <x v="8"/>
    <s v="00"/>
    <m/>
  </r>
  <r>
    <x v="10"/>
    <d v="2039-06-01T00:00:00"/>
    <m/>
    <m/>
    <m/>
    <m/>
    <m/>
    <m/>
    <m/>
    <m/>
    <m/>
    <x v="8"/>
    <s v="00"/>
    <m/>
  </r>
  <r>
    <x v="10"/>
    <d v="2039-07-01T00:00:00"/>
    <m/>
    <m/>
    <m/>
    <m/>
    <m/>
    <m/>
    <m/>
    <m/>
    <m/>
    <x v="8"/>
    <s v="00"/>
    <m/>
  </r>
  <r>
    <x v="10"/>
    <d v="2039-08-01T00:00:00"/>
    <m/>
    <m/>
    <m/>
    <m/>
    <m/>
    <m/>
    <m/>
    <m/>
    <m/>
    <x v="8"/>
    <s v="00"/>
    <m/>
  </r>
  <r>
    <x v="10"/>
    <d v="2039-09-01T00:00:00"/>
    <m/>
    <m/>
    <m/>
    <m/>
    <m/>
    <m/>
    <m/>
    <m/>
    <m/>
    <x v="8"/>
    <s v="00"/>
    <m/>
  </r>
  <r>
    <x v="10"/>
    <d v="2039-10-01T00:00:00"/>
    <m/>
    <m/>
    <m/>
    <m/>
    <m/>
    <m/>
    <m/>
    <m/>
    <m/>
    <x v="8"/>
    <s v="00"/>
    <m/>
  </r>
  <r>
    <x v="10"/>
    <d v="2039-11-01T00:00:00"/>
    <m/>
    <m/>
    <m/>
    <m/>
    <m/>
    <m/>
    <m/>
    <m/>
    <m/>
    <x v="8"/>
    <s v="00"/>
    <m/>
  </r>
  <r>
    <x v="10"/>
    <d v="2039-12-01T00:00:00"/>
    <m/>
    <m/>
    <m/>
    <m/>
    <m/>
    <m/>
    <m/>
    <m/>
    <m/>
    <x v="8"/>
    <s v="00"/>
    <m/>
  </r>
  <r>
    <x v="10"/>
    <d v="2040-01-01T00:00:00"/>
    <m/>
    <m/>
    <m/>
    <m/>
    <m/>
    <m/>
    <m/>
    <m/>
    <m/>
    <x v="8"/>
    <s v="00"/>
    <m/>
  </r>
  <r>
    <x v="10"/>
    <d v="2040-02-01T00:00:00"/>
    <m/>
    <m/>
    <m/>
    <m/>
    <m/>
    <m/>
    <m/>
    <m/>
    <m/>
    <x v="8"/>
    <s v="00"/>
    <m/>
  </r>
  <r>
    <x v="10"/>
    <d v="2040-03-01T00:00:00"/>
    <m/>
    <m/>
    <m/>
    <m/>
    <m/>
    <m/>
    <m/>
    <m/>
    <m/>
    <x v="8"/>
    <s v="00"/>
    <m/>
  </r>
  <r>
    <x v="10"/>
    <d v="2040-04-01T00:00:00"/>
    <m/>
    <m/>
    <m/>
    <m/>
    <m/>
    <m/>
    <m/>
    <m/>
    <m/>
    <x v="8"/>
    <s v="00"/>
    <m/>
  </r>
  <r>
    <x v="10"/>
    <d v="2040-05-01T00:00:00"/>
    <m/>
    <m/>
    <m/>
    <m/>
    <m/>
    <m/>
    <m/>
    <m/>
    <m/>
    <x v="8"/>
    <s v="00"/>
    <m/>
  </r>
  <r>
    <x v="10"/>
    <d v="2040-06-01T00:00:00"/>
    <m/>
    <m/>
    <m/>
    <m/>
    <m/>
    <m/>
    <m/>
    <m/>
    <m/>
    <x v="8"/>
    <s v="00"/>
    <m/>
  </r>
  <r>
    <x v="10"/>
    <d v="2040-07-01T00:00:00"/>
    <m/>
    <m/>
    <m/>
    <m/>
    <m/>
    <m/>
    <m/>
    <m/>
    <m/>
    <x v="8"/>
    <s v="00"/>
    <m/>
  </r>
  <r>
    <x v="10"/>
    <d v="2040-08-01T00:00:00"/>
    <m/>
    <m/>
    <m/>
    <m/>
    <m/>
    <m/>
    <m/>
    <m/>
    <m/>
    <x v="8"/>
    <s v="00"/>
    <m/>
  </r>
  <r>
    <x v="10"/>
    <d v="2040-09-01T00:00:00"/>
    <m/>
    <m/>
    <m/>
    <m/>
    <m/>
    <m/>
    <m/>
    <m/>
    <m/>
    <x v="8"/>
    <s v="00"/>
    <m/>
  </r>
  <r>
    <x v="10"/>
    <d v="2040-10-01T00:00:00"/>
    <m/>
    <m/>
    <m/>
    <m/>
    <m/>
    <m/>
    <m/>
    <m/>
    <m/>
    <x v="8"/>
    <s v="00"/>
    <m/>
  </r>
  <r>
    <x v="10"/>
    <d v="2040-11-01T00:00:00"/>
    <m/>
    <m/>
    <m/>
    <m/>
    <m/>
    <m/>
    <m/>
    <m/>
    <m/>
    <x v="8"/>
    <s v="00"/>
    <m/>
  </r>
  <r>
    <x v="10"/>
    <d v="2040-12-01T00:00:00"/>
    <m/>
    <m/>
    <m/>
    <m/>
    <m/>
    <m/>
    <m/>
    <m/>
    <m/>
    <x v="8"/>
    <s v="00"/>
    <m/>
  </r>
  <r>
    <x v="10"/>
    <d v="2041-01-01T00:00:00"/>
    <m/>
    <m/>
    <m/>
    <m/>
    <m/>
    <m/>
    <m/>
    <m/>
    <m/>
    <x v="8"/>
    <s v="00"/>
    <m/>
  </r>
  <r>
    <x v="10"/>
    <d v="2041-02-01T00:00:00"/>
    <m/>
    <m/>
    <m/>
    <m/>
    <m/>
    <m/>
    <m/>
    <m/>
    <m/>
    <x v="8"/>
    <s v="00"/>
    <m/>
  </r>
  <r>
    <x v="10"/>
    <d v="2041-03-01T00:00:00"/>
    <m/>
    <m/>
    <m/>
    <m/>
    <m/>
    <m/>
    <m/>
    <m/>
    <m/>
    <x v="8"/>
    <s v="00"/>
    <m/>
  </r>
  <r>
    <x v="10"/>
    <d v="2041-04-01T00:00:00"/>
    <m/>
    <m/>
    <m/>
    <m/>
    <m/>
    <m/>
    <m/>
    <m/>
    <m/>
    <x v="8"/>
    <s v="00"/>
    <m/>
  </r>
  <r>
    <x v="10"/>
    <d v="2041-05-01T00:00:00"/>
    <m/>
    <m/>
    <m/>
    <m/>
    <m/>
    <m/>
    <m/>
    <m/>
    <m/>
    <x v="8"/>
    <s v="00"/>
    <m/>
  </r>
  <r>
    <x v="10"/>
    <d v="2041-06-01T00:00:00"/>
    <m/>
    <m/>
    <m/>
    <m/>
    <m/>
    <m/>
    <m/>
    <m/>
    <m/>
    <x v="8"/>
    <s v="00"/>
    <m/>
  </r>
  <r>
    <x v="10"/>
    <d v="2041-07-01T00:00:00"/>
    <m/>
    <m/>
    <m/>
    <m/>
    <m/>
    <m/>
    <m/>
    <m/>
    <m/>
    <x v="8"/>
    <s v="00"/>
    <m/>
  </r>
  <r>
    <x v="10"/>
    <d v="2041-08-01T00:00:00"/>
    <m/>
    <m/>
    <m/>
    <m/>
    <m/>
    <m/>
    <m/>
    <m/>
    <m/>
    <x v="8"/>
    <s v="00"/>
    <m/>
  </r>
  <r>
    <x v="10"/>
    <d v="2041-09-01T00:00:00"/>
    <m/>
    <m/>
    <m/>
    <m/>
    <m/>
    <m/>
    <m/>
    <m/>
    <m/>
    <x v="8"/>
    <s v="00"/>
    <m/>
  </r>
  <r>
    <x v="10"/>
    <d v="2041-10-01T00:00:00"/>
    <m/>
    <m/>
    <m/>
    <m/>
    <m/>
    <m/>
    <m/>
    <m/>
    <m/>
    <x v="8"/>
    <s v="00"/>
    <m/>
  </r>
  <r>
    <x v="10"/>
    <d v="2041-11-01T00:00:00"/>
    <m/>
    <m/>
    <m/>
    <m/>
    <m/>
    <m/>
    <m/>
    <m/>
    <m/>
    <x v="8"/>
    <s v="00"/>
    <m/>
  </r>
  <r>
    <x v="10"/>
    <d v="2041-12-01T00:00:00"/>
    <m/>
    <m/>
    <m/>
    <m/>
    <m/>
    <m/>
    <m/>
    <m/>
    <m/>
    <x v="8"/>
    <s v="00"/>
    <m/>
  </r>
  <r>
    <x v="10"/>
    <d v="2042-01-01T00:00:00"/>
    <m/>
    <m/>
    <m/>
    <m/>
    <m/>
    <m/>
    <m/>
    <m/>
    <m/>
    <x v="8"/>
    <s v="00"/>
    <m/>
  </r>
  <r>
    <x v="10"/>
    <d v="2042-02-01T00:00:00"/>
    <m/>
    <m/>
    <m/>
    <m/>
    <m/>
    <m/>
    <m/>
    <m/>
    <m/>
    <x v="8"/>
    <s v="00"/>
    <m/>
  </r>
  <r>
    <x v="10"/>
    <d v="2042-03-01T00:00:00"/>
    <m/>
    <m/>
    <m/>
    <m/>
    <m/>
    <m/>
    <m/>
    <m/>
    <m/>
    <x v="8"/>
    <s v="00"/>
    <m/>
  </r>
  <r>
    <x v="10"/>
    <d v="2042-04-01T00:00:00"/>
    <m/>
    <m/>
    <m/>
    <m/>
    <m/>
    <m/>
    <m/>
    <m/>
    <m/>
    <x v="8"/>
    <s v="00"/>
    <m/>
  </r>
  <r>
    <x v="10"/>
    <d v="2042-05-01T00:00:00"/>
    <m/>
    <m/>
    <m/>
    <m/>
    <m/>
    <m/>
    <m/>
    <m/>
    <m/>
    <x v="8"/>
    <s v="00"/>
    <m/>
  </r>
  <r>
    <x v="10"/>
    <d v="2042-06-01T00:00:00"/>
    <m/>
    <m/>
    <m/>
    <m/>
    <m/>
    <m/>
    <m/>
    <m/>
    <m/>
    <x v="8"/>
    <s v="00"/>
    <m/>
  </r>
  <r>
    <x v="10"/>
    <d v="2042-07-01T00:00:00"/>
    <m/>
    <m/>
    <m/>
    <m/>
    <m/>
    <m/>
    <m/>
    <m/>
    <m/>
    <x v="8"/>
    <s v="00"/>
    <m/>
  </r>
  <r>
    <x v="10"/>
    <d v="2042-08-01T00:00:00"/>
    <m/>
    <m/>
    <m/>
    <m/>
    <m/>
    <m/>
    <m/>
    <m/>
    <m/>
    <x v="8"/>
    <s v="00"/>
    <m/>
  </r>
  <r>
    <x v="10"/>
    <d v="2042-09-01T00:00:00"/>
    <m/>
    <m/>
    <m/>
    <m/>
    <m/>
    <m/>
    <m/>
    <m/>
    <m/>
    <x v="8"/>
    <s v="00"/>
    <m/>
  </r>
  <r>
    <x v="10"/>
    <d v="2042-10-01T00:00:00"/>
    <m/>
    <m/>
    <m/>
    <m/>
    <m/>
    <m/>
    <m/>
    <m/>
    <m/>
    <x v="8"/>
    <s v="00"/>
    <m/>
  </r>
  <r>
    <x v="10"/>
    <d v="2042-11-01T00:00:00"/>
    <m/>
    <m/>
    <m/>
    <m/>
    <m/>
    <m/>
    <m/>
    <m/>
    <m/>
    <x v="8"/>
    <s v="00"/>
    <m/>
  </r>
  <r>
    <x v="10"/>
    <d v="2042-12-01T00:00:00"/>
    <m/>
    <m/>
    <m/>
    <m/>
    <m/>
    <m/>
    <m/>
    <m/>
    <m/>
    <x v="8"/>
    <s v="00"/>
    <m/>
  </r>
  <r>
    <x v="10"/>
    <d v="2043-01-01T00:00:00"/>
    <m/>
    <m/>
    <m/>
    <m/>
    <m/>
    <m/>
    <m/>
    <m/>
    <m/>
    <x v="8"/>
    <s v="00"/>
    <m/>
  </r>
  <r>
    <x v="10"/>
    <d v="2043-02-01T00:00:00"/>
    <m/>
    <m/>
    <m/>
    <m/>
    <m/>
    <m/>
    <m/>
    <m/>
    <m/>
    <x v="8"/>
    <s v="00"/>
    <m/>
  </r>
  <r>
    <x v="10"/>
    <d v="2043-03-01T00:00:00"/>
    <m/>
    <m/>
    <m/>
    <m/>
    <m/>
    <m/>
    <m/>
    <m/>
    <m/>
    <x v="8"/>
    <s v="00"/>
    <m/>
  </r>
  <r>
    <x v="10"/>
    <d v="2043-04-01T00:00:00"/>
    <m/>
    <m/>
    <m/>
    <m/>
    <m/>
    <m/>
    <m/>
    <m/>
    <m/>
    <x v="8"/>
    <s v="00"/>
    <m/>
  </r>
  <r>
    <x v="10"/>
    <d v="2043-05-01T00:00:00"/>
    <m/>
    <m/>
    <m/>
    <m/>
    <m/>
    <m/>
    <m/>
    <m/>
    <m/>
    <x v="8"/>
    <s v="00"/>
    <m/>
  </r>
  <r>
    <x v="10"/>
    <d v="2043-06-01T00:00:00"/>
    <m/>
    <m/>
    <m/>
    <m/>
    <m/>
    <m/>
    <m/>
    <m/>
    <m/>
    <x v="8"/>
    <s v="00"/>
    <m/>
  </r>
  <r>
    <x v="10"/>
    <d v="2043-07-01T00:00:00"/>
    <m/>
    <m/>
    <m/>
    <m/>
    <m/>
    <m/>
    <m/>
    <m/>
    <m/>
    <x v="8"/>
    <s v="00"/>
    <m/>
  </r>
  <r>
    <x v="10"/>
    <d v="2043-08-01T00:00:00"/>
    <m/>
    <m/>
    <m/>
    <m/>
    <m/>
    <m/>
    <m/>
    <m/>
    <m/>
    <x v="8"/>
    <s v="00"/>
    <m/>
  </r>
  <r>
    <x v="10"/>
    <d v="2043-09-01T00:00:00"/>
    <m/>
    <m/>
    <m/>
    <m/>
    <m/>
    <m/>
    <m/>
    <m/>
    <m/>
    <x v="8"/>
    <s v="00"/>
    <m/>
  </r>
  <r>
    <x v="10"/>
    <d v="2043-10-01T00:00:00"/>
    <m/>
    <m/>
    <m/>
    <m/>
    <m/>
    <m/>
    <m/>
    <m/>
    <m/>
    <x v="8"/>
    <s v="00"/>
    <m/>
  </r>
  <r>
    <x v="10"/>
    <d v="2043-11-01T00:00:00"/>
    <m/>
    <m/>
    <m/>
    <m/>
    <m/>
    <m/>
    <m/>
    <m/>
    <m/>
    <x v="8"/>
    <s v="00"/>
    <m/>
  </r>
  <r>
    <x v="10"/>
    <d v="2043-12-01T00:00:00"/>
    <m/>
    <m/>
    <m/>
    <m/>
    <m/>
    <m/>
    <m/>
    <m/>
    <m/>
    <x v="8"/>
    <s v="00"/>
    <m/>
  </r>
  <r>
    <x v="10"/>
    <d v="2044-01-01T00:00:00"/>
    <m/>
    <m/>
    <m/>
    <m/>
    <m/>
    <m/>
    <m/>
    <m/>
    <m/>
    <x v="8"/>
    <s v="00"/>
    <m/>
  </r>
  <r>
    <x v="10"/>
    <d v="2044-02-01T00:00:00"/>
    <m/>
    <m/>
    <m/>
    <m/>
    <m/>
    <m/>
    <m/>
    <m/>
    <m/>
    <x v="8"/>
    <s v="00"/>
    <m/>
  </r>
  <r>
    <x v="10"/>
    <d v="2044-03-01T00:00:00"/>
    <m/>
    <m/>
    <m/>
    <m/>
    <m/>
    <m/>
    <m/>
    <m/>
    <m/>
    <x v="8"/>
    <s v="00"/>
    <m/>
  </r>
  <r>
    <x v="10"/>
    <d v="2044-04-01T00:00:00"/>
    <m/>
    <m/>
    <m/>
    <m/>
    <m/>
    <m/>
    <m/>
    <m/>
    <m/>
    <x v="8"/>
    <s v="00"/>
    <m/>
  </r>
  <r>
    <x v="10"/>
    <d v="2044-05-01T00:00:00"/>
    <m/>
    <m/>
    <m/>
    <m/>
    <m/>
    <m/>
    <m/>
    <m/>
    <m/>
    <x v="8"/>
    <s v="00"/>
    <m/>
  </r>
  <r>
    <x v="10"/>
    <d v="2044-06-01T00:00:00"/>
    <m/>
    <m/>
    <m/>
    <m/>
    <m/>
    <m/>
    <m/>
    <m/>
    <m/>
    <x v="8"/>
    <s v="00"/>
    <m/>
  </r>
  <r>
    <x v="10"/>
    <d v="2044-07-01T00:00:00"/>
    <m/>
    <m/>
    <m/>
    <m/>
    <m/>
    <m/>
    <m/>
    <m/>
    <m/>
    <x v="8"/>
    <s v="00"/>
    <m/>
  </r>
  <r>
    <x v="10"/>
    <d v="2044-08-01T00:00:00"/>
    <m/>
    <m/>
    <m/>
    <m/>
    <m/>
    <m/>
    <m/>
    <m/>
    <m/>
    <x v="8"/>
    <s v="00"/>
    <m/>
  </r>
  <r>
    <x v="10"/>
    <d v="2044-09-01T00:00:00"/>
    <m/>
    <m/>
    <m/>
    <m/>
    <m/>
    <m/>
    <m/>
    <m/>
    <m/>
    <x v="8"/>
    <s v="00"/>
    <m/>
  </r>
  <r>
    <x v="10"/>
    <d v="2044-10-01T00:00:00"/>
    <m/>
    <m/>
    <m/>
    <m/>
    <m/>
    <m/>
    <m/>
    <m/>
    <m/>
    <x v="8"/>
    <s v="00"/>
    <m/>
  </r>
  <r>
    <x v="10"/>
    <d v="2044-11-01T00:00:00"/>
    <m/>
    <m/>
    <m/>
    <m/>
    <m/>
    <m/>
    <m/>
    <m/>
    <m/>
    <x v="8"/>
    <s v="00"/>
    <m/>
  </r>
  <r>
    <x v="10"/>
    <d v="2044-12-01T00:00:00"/>
    <m/>
    <m/>
    <m/>
    <m/>
    <m/>
    <m/>
    <m/>
    <m/>
    <m/>
    <x v="8"/>
    <s v="00"/>
    <m/>
  </r>
  <r>
    <x v="10"/>
    <d v="2045-01-01T00:00:00"/>
    <m/>
    <m/>
    <m/>
    <m/>
    <m/>
    <m/>
    <m/>
    <m/>
    <m/>
    <x v="8"/>
    <s v="00"/>
    <m/>
  </r>
  <r>
    <x v="10"/>
    <d v="2045-02-01T00:00:00"/>
    <m/>
    <m/>
    <m/>
    <m/>
    <m/>
    <m/>
    <m/>
    <m/>
    <m/>
    <x v="8"/>
    <s v="00"/>
    <m/>
  </r>
  <r>
    <x v="10"/>
    <d v="2045-03-01T00:00:00"/>
    <m/>
    <m/>
    <m/>
    <m/>
    <m/>
    <m/>
    <m/>
    <m/>
    <m/>
    <x v="8"/>
    <s v="00"/>
    <m/>
  </r>
  <r>
    <x v="10"/>
    <d v="2045-04-01T00:00:00"/>
    <m/>
    <m/>
    <m/>
    <m/>
    <m/>
    <m/>
    <m/>
    <m/>
    <m/>
    <x v="8"/>
    <s v="00"/>
    <m/>
  </r>
  <r>
    <x v="10"/>
    <d v="2045-05-01T00:00:00"/>
    <m/>
    <m/>
    <m/>
    <m/>
    <m/>
    <m/>
    <m/>
    <m/>
    <m/>
    <x v="8"/>
    <s v="00"/>
    <m/>
  </r>
  <r>
    <x v="10"/>
    <d v="2045-06-01T00:00:00"/>
    <m/>
    <m/>
    <m/>
    <m/>
    <m/>
    <m/>
    <m/>
    <m/>
    <m/>
    <x v="8"/>
    <s v="00"/>
    <m/>
  </r>
  <r>
    <x v="10"/>
    <d v="2045-07-01T00:00:00"/>
    <m/>
    <m/>
    <m/>
    <m/>
    <m/>
    <m/>
    <m/>
    <m/>
    <m/>
    <x v="8"/>
    <s v="00"/>
    <m/>
  </r>
  <r>
    <x v="10"/>
    <d v="2045-08-01T00:00:00"/>
    <m/>
    <m/>
    <m/>
    <m/>
    <m/>
    <m/>
    <m/>
    <m/>
    <m/>
    <x v="8"/>
    <s v="00"/>
    <m/>
  </r>
  <r>
    <x v="10"/>
    <d v="2045-09-01T00:00:00"/>
    <m/>
    <m/>
    <m/>
    <m/>
    <m/>
    <m/>
    <m/>
    <m/>
    <m/>
    <x v="8"/>
    <s v="00"/>
    <m/>
  </r>
  <r>
    <x v="10"/>
    <d v="2045-10-01T00:00:00"/>
    <m/>
    <m/>
    <m/>
    <m/>
    <m/>
    <m/>
    <m/>
    <m/>
    <m/>
    <x v="8"/>
    <s v="00"/>
    <m/>
  </r>
  <r>
    <x v="10"/>
    <d v="2045-11-01T00:00:00"/>
    <m/>
    <m/>
    <m/>
    <m/>
    <m/>
    <m/>
    <m/>
    <m/>
    <m/>
    <x v="8"/>
    <s v="00"/>
    <m/>
  </r>
  <r>
    <x v="10"/>
    <d v="2045-12-01T00:00:00"/>
    <m/>
    <m/>
    <m/>
    <m/>
    <m/>
    <m/>
    <m/>
    <m/>
    <m/>
    <x v="8"/>
    <s v="00"/>
    <m/>
  </r>
  <r>
    <x v="10"/>
    <d v="2046-01-01T00:00:00"/>
    <m/>
    <m/>
    <m/>
    <m/>
    <m/>
    <m/>
    <m/>
    <m/>
    <m/>
    <x v="8"/>
    <s v="00"/>
    <m/>
  </r>
  <r>
    <x v="10"/>
    <d v="2046-02-01T00:00:00"/>
    <m/>
    <m/>
    <m/>
    <m/>
    <m/>
    <m/>
    <m/>
    <m/>
    <m/>
    <x v="8"/>
    <s v="00"/>
    <m/>
  </r>
  <r>
    <x v="10"/>
    <d v="2046-03-01T00:00:00"/>
    <m/>
    <m/>
    <m/>
    <m/>
    <m/>
    <m/>
    <m/>
    <m/>
    <m/>
    <x v="8"/>
    <s v="00"/>
    <m/>
  </r>
  <r>
    <x v="10"/>
    <d v="2046-04-01T00:00:00"/>
    <m/>
    <m/>
    <m/>
    <m/>
    <m/>
    <m/>
    <m/>
    <m/>
    <m/>
    <x v="8"/>
    <s v="00"/>
    <m/>
  </r>
  <r>
    <x v="10"/>
    <d v="2046-05-01T00:00:00"/>
    <m/>
    <m/>
    <m/>
    <m/>
    <m/>
    <m/>
    <m/>
    <m/>
    <m/>
    <x v="8"/>
    <s v="00"/>
    <m/>
  </r>
  <r>
    <x v="10"/>
    <d v="2046-06-01T00:00:00"/>
    <m/>
    <m/>
    <m/>
    <m/>
    <m/>
    <m/>
    <m/>
    <m/>
    <m/>
    <x v="8"/>
    <s v="00"/>
    <m/>
  </r>
  <r>
    <x v="10"/>
    <d v="2046-07-01T00:00:00"/>
    <m/>
    <m/>
    <m/>
    <m/>
    <m/>
    <m/>
    <m/>
    <m/>
    <m/>
    <x v="8"/>
    <s v="00"/>
    <m/>
  </r>
  <r>
    <x v="10"/>
    <d v="2046-08-01T00:00:00"/>
    <m/>
    <m/>
    <m/>
    <m/>
    <m/>
    <m/>
    <m/>
    <m/>
    <m/>
    <x v="8"/>
    <s v="00"/>
    <m/>
  </r>
  <r>
    <x v="10"/>
    <d v="2046-09-01T00:00:00"/>
    <m/>
    <m/>
    <m/>
    <m/>
    <m/>
    <m/>
    <m/>
    <m/>
    <m/>
    <x v="8"/>
    <s v="00"/>
    <m/>
  </r>
  <r>
    <x v="10"/>
    <d v="2046-10-01T00:00:00"/>
    <m/>
    <m/>
    <m/>
    <m/>
    <m/>
    <m/>
    <m/>
    <m/>
    <m/>
    <x v="8"/>
    <s v="00"/>
    <m/>
  </r>
  <r>
    <x v="10"/>
    <d v="2046-11-01T00:00:00"/>
    <m/>
    <m/>
    <m/>
    <m/>
    <m/>
    <m/>
    <m/>
    <m/>
    <m/>
    <x v="8"/>
    <s v="00"/>
    <m/>
  </r>
  <r>
    <x v="10"/>
    <d v="2046-12-01T00:00:00"/>
    <m/>
    <m/>
    <m/>
    <m/>
    <m/>
    <m/>
    <m/>
    <m/>
    <m/>
    <x v="8"/>
    <s v="00"/>
    <m/>
  </r>
  <r>
    <x v="10"/>
    <d v="2047-01-01T00:00:00"/>
    <m/>
    <m/>
    <m/>
    <m/>
    <m/>
    <m/>
    <m/>
    <m/>
    <m/>
    <x v="8"/>
    <s v="00"/>
    <m/>
  </r>
  <r>
    <x v="10"/>
    <d v="2047-02-01T00:00:00"/>
    <m/>
    <m/>
    <m/>
    <m/>
    <m/>
    <m/>
    <m/>
    <m/>
    <m/>
    <x v="8"/>
    <s v="00"/>
    <m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">
  <r>
    <x v="0"/>
    <d v="2016-09-01T00:00:00"/>
    <n v="201610"/>
    <s v="ONLINE"/>
    <n v="2200"/>
    <n v="0"/>
    <n v="0"/>
    <n v="0"/>
    <n v="0"/>
    <n v="0"/>
    <n v="0"/>
    <n v="2200"/>
    <n v="0"/>
    <n v="0"/>
    <n v="0"/>
    <s v="OK"/>
    <n v="0"/>
    <s v="Oct-16"/>
    <x v="0"/>
    <s v="16"/>
    <n v="2200"/>
  </r>
  <r>
    <x v="0"/>
    <d v="2016-03-01T00:00:00"/>
    <n v="201604"/>
    <s v="DED"/>
    <n v="1100"/>
    <n v="0"/>
    <n v="0"/>
    <n v="0"/>
    <n v="0"/>
    <n v="0"/>
    <n v="0"/>
    <n v="1100"/>
    <n v="0"/>
    <n v="0"/>
    <n v="0"/>
    <s v="OK"/>
    <n v="0"/>
    <s v="Apr-16"/>
    <x v="1"/>
    <s v="16"/>
    <n v="1100"/>
  </r>
  <r>
    <x v="0"/>
    <d v="2016-04-01T00:00:00"/>
    <n v="201605"/>
    <s v="DED"/>
    <n v="1100"/>
    <n v="0"/>
    <n v="0"/>
    <n v="0"/>
    <n v="0"/>
    <n v="0"/>
    <n v="0"/>
    <n v="1100"/>
    <n v="0"/>
    <n v="0"/>
    <n v="0"/>
    <s v="OK"/>
    <n v="0"/>
    <s v="May-16"/>
    <x v="2"/>
    <s v="16"/>
    <n v="1100"/>
  </r>
  <r>
    <x v="0"/>
    <d v="2016-05-01T00:00:00"/>
    <n v="201606"/>
    <s v="DED"/>
    <n v="1100"/>
    <n v="0"/>
    <n v="0"/>
    <n v="0"/>
    <n v="0"/>
    <n v="0"/>
    <n v="0"/>
    <n v="1100"/>
    <n v="0"/>
    <n v="0"/>
    <n v="0"/>
    <s v="OK"/>
    <n v="0"/>
    <s v="Jun-16"/>
    <x v="3"/>
    <s v="16"/>
    <n v="1100"/>
  </r>
  <r>
    <x v="0"/>
    <d v="2016-06-01T00:00:00"/>
    <n v="201607"/>
    <s v="DED"/>
    <n v="1100"/>
    <n v="0"/>
    <n v="0"/>
    <n v="0"/>
    <n v="0"/>
    <n v="0"/>
    <n v="0"/>
    <n v="1100"/>
    <n v="0"/>
    <n v="0"/>
    <n v="0"/>
    <s v="OK"/>
    <n v="0"/>
    <s v="Jul-16"/>
    <x v="4"/>
    <s v="16"/>
    <n v="1100"/>
  </r>
  <r>
    <x v="0"/>
    <d v="2016-07-01T00:00:00"/>
    <n v="201608"/>
    <s v="DED"/>
    <n v="1100"/>
    <n v="0"/>
    <n v="0"/>
    <n v="0"/>
    <n v="0"/>
    <n v="0"/>
    <n v="0"/>
    <n v="1100"/>
    <n v="0"/>
    <n v="0"/>
    <n v="0"/>
    <s v="OK"/>
    <n v="0"/>
    <s v="Aug-16"/>
    <x v="5"/>
    <s v="16"/>
    <n v="1100"/>
  </r>
  <r>
    <x v="0"/>
    <d v="2016-08-01T00:00:00"/>
    <n v="201609"/>
    <s v="DED"/>
    <n v="1100"/>
    <n v="0"/>
    <n v="0"/>
    <n v="0"/>
    <n v="0"/>
    <n v="0"/>
    <n v="0"/>
    <n v="1100"/>
    <n v="0"/>
    <n v="0"/>
    <n v="0"/>
    <s v="OK"/>
    <n v="0"/>
    <s v="Sep-16"/>
    <x v="6"/>
    <s v="16"/>
    <n v="1100"/>
  </r>
  <r>
    <x v="0"/>
    <d v="2016-10-01T00:00:00"/>
    <m/>
    <s v="ONLINE"/>
    <n v="0"/>
    <n v="0"/>
    <n v="0"/>
    <n v="0"/>
    <n v="0"/>
    <n v="0"/>
    <n v="0"/>
    <n v="0"/>
    <n v="0"/>
    <n v="0"/>
    <n v="0"/>
    <s v="OK"/>
    <n v="0"/>
    <s v=""/>
    <x v="7"/>
    <s v=""/>
    <n v="0"/>
  </r>
  <r>
    <x v="0"/>
    <d v="2016-11-01T00:00:00"/>
    <n v="201612"/>
    <s v="DED"/>
    <n v="1100"/>
    <n v="0"/>
    <n v="0"/>
    <n v="0"/>
    <n v="0"/>
    <n v="0"/>
    <n v="0"/>
    <n v="1100"/>
    <n v="0"/>
    <n v="0"/>
    <n v="0"/>
    <s v="OK"/>
    <n v="0"/>
    <s v="Dec-16"/>
    <x v="8"/>
    <s v="16"/>
    <n v="1100"/>
  </r>
  <r>
    <x v="0"/>
    <d v="2016-12-01T00:00:00"/>
    <n v="201701"/>
    <s v="DED"/>
    <n v="1100"/>
    <n v="0"/>
    <n v="0"/>
    <n v="0"/>
    <n v="0"/>
    <n v="0"/>
    <n v="0"/>
    <n v="1100"/>
    <n v="0"/>
    <n v="0"/>
    <n v="0"/>
    <s v="OK"/>
    <n v="0"/>
    <s v="Jan-17"/>
    <x v="9"/>
    <s v="17"/>
    <n v="1100"/>
  </r>
  <r>
    <x v="0"/>
    <d v="2017-01-01T00:00:00"/>
    <n v="201702"/>
    <s v="DED"/>
    <n v="1100"/>
    <n v="0"/>
    <n v="0"/>
    <n v="0"/>
    <n v="0"/>
    <n v="0"/>
    <n v="0"/>
    <n v="1100"/>
    <n v="0"/>
    <n v="0"/>
    <n v="0"/>
    <s v="OK"/>
    <n v="0"/>
    <s v="Feb-17"/>
    <x v="10"/>
    <s v="17"/>
    <n v="1100"/>
  </r>
  <r>
    <x v="0"/>
    <d v="2017-02-01T00:00:00"/>
    <n v="201703"/>
    <s v="DED"/>
    <n v="1100"/>
    <n v="0"/>
    <n v="0"/>
    <n v="0"/>
    <n v="0"/>
    <n v="0"/>
    <n v="0"/>
    <n v="1100"/>
    <n v="0"/>
    <n v="0"/>
    <n v="0"/>
    <s v="OK"/>
    <n v="0"/>
    <s v="Mar-17"/>
    <x v="11"/>
    <s v="17"/>
    <n v="1100"/>
  </r>
  <r>
    <x v="1"/>
    <d v="2017-03-01T00:00:00"/>
    <n v="201704"/>
    <s v="DED"/>
    <n v="2650"/>
    <n v="0"/>
    <n v="0"/>
    <n v="0"/>
    <n v="0"/>
    <n v="0"/>
    <n v="0"/>
    <n v="2650"/>
    <n v="0"/>
    <n v="0"/>
    <n v="0"/>
    <s v="OK"/>
    <n v="0"/>
    <s v="Apr-17"/>
    <x v="1"/>
    <s v="17"/>
    <n v="2650"/>
  </r>
  <r>
    <x v="1"/>
    <d v="2017-04-01T00:00:00"/>
    <n v="201705"/>
    <s v="DED"/>
    <n v="2650"/>
    <n v="0"/>
    <n v="0"/>
    <n v="0"/>
    <n v="0"/>
    <n v="0"/>
    <n v="0"/>
    <n v="2650"/>
    <n v="0"/>
    <n v="0"/>
    <n v="0"/>
    <s v="OK"/>
    <n v="0"/>
    <s v="May-17"/>
    <x v="2"/>
    <s v="17"/>
    <n v="2650"/>
  </r>
  <r>
    <x v="1"/>
    <d v="2017-05-01T00:00:00"/>
    <n v="201706"/>
    <s v="DED"/>
    <n v="2650"/>
    <n v="0"/>
    <n v="0"/>
    <n v="0"/>
    <n v="0"/>
    <n v="0"/>
    <n v="0"/>
    <n v="2650"/>
    <n v="0"/>
    <n v="0"/>
    <n v="0"/>
    <s v="OK"/>
    <n v="0"/>
    <s v="Jun-17"/>
    <x v="3"/>
    <s v="17"/>
    <n v="2650"/>
  </r>
  <r>
    <x v="1"/>
    <d v="2017-06-01T00:00:00"/>
    <n v="201707"/>
    <s v="DED"/>
    <n v="2650"/>
    <n v="0"/>
    <n v="0"/>
    <n v="0"/>
    <n v="0"/>
    <n v="0"/>
    <n v="0"/>
    <n v="2650"/>
    <n v="0"/>
    <n v="0"/>
    <n v="0"/>
    <s v="OK"/>
    <n v="0"/>
    <s v="Jul-17"/>
    <x v="4"/>
    <s v="17"/>
    <n v="2650"/>
  </r>
  <r>
    <x v="1"/>
    <d v="2017-07-01T00:00:00"/>
    <n v="201708"/>
    <s v="DED"/>
    <n v="2650"/>
    <n v="0"/>
    <n v="0"/>
    <n v="0"/>
    <n v="0"/>
    <n v="0"/>
    <n v="0"/>
    <n v="2650"/>
    <n v="0"/>
    <n v="0"/>
    <n v="0"/>
    <s v="OK"/>
    <n v="0"/>
    <s v="Aug-17"/>
    <x v="5"/>
    <s v="17"/>
    <n v="2650"/>
  </r>
  <r>
    <x v="1"/>
    <d v="2017-08-01T00:00:00"/>
    <n v="201709"/>
    <s v="DED"/>
    <n v="2650"/>
    <n v="0"/>
    <n v="0"/>
    <n v="0"/>
    <n v="0"/>
    <n v="0"/>
    <n v="0"/>
    <n v="2650"/>
    <n v="0"/>
    <n v="0"/>
    <n v="0"/>
    <s v="OK"/>
    <n v="0"/>
    <s v="Sep-17"/>
    <x v="6"/>
    <s v="17"/>
    <n v="2650"/>
  </r>
  <r>
    <x v="1"/>
    <d v="2017-09-01T00:00:00"/>
    <n v="201710"/>
    <s v="DED"/>
    <n v="2650"/>
    <n v="0"/>
    <n v="0"/>
    <n v="0"/>
    <n v="0"/>
    <n v="0"/>
    <n v="0"/>
    <n v="2650"/>
    <n v="0"/>
    <n v="0"/>
    <n v="0"/>
    <s v="OK"/>
    <n v="0"/>
    <s v="Oct-17"/>
    <x v="0"/>
    <s v="17"/>
    <n v="2650"/>
  </r>
  <r>
    <x v="1"/>
    <d v="2017-10-01T00:00:00"/>
    <n v="201711"/>
    <s v="DED"/>
    <n v="2650"/>
    <n v="0"/>
    <n v="0"/>
    <n v="0"/>
    <n v="0"/>
    <n v="0"/>
    <n v="0"/>
    <n v="2650"/>
    <n v="0"/>
    <n v="0"/>
    <n v="0"/>
    <s v="OK"/>
    <n v="0"/>
    <s v="Nov-17"/>
    <x v="12"/>
    <s v="17"/>
    <n v="2650"/>
  </r>
  <r>
    <x v="1"/>
    <d v="2017-11-01T00:00:00"/>
    <n v="201712"/>
    <s v="DED"/>
    <n v="2650"/>
    <n v="0"/>
    <n v="0"/>
    <n v="0"/>
    <n v="0"/>
    <n v="0"/>
    <n v="0"/>
    <n v="2650"/>
    <n v="0"/>
    <n v="0"/>
    <n v="0"/>
    <s v="OK"/>
    <n v="0"/>
    <s v="Dec-17"/>
    <x v="8"/>
    <s v="17"/>
    <n v="2650"/>
  </r>
  <r>
    <x v="1"/>
    <d v="2017-12-01T00:00:00"/>
    <n v="201801"/>
    <s v="DED"/>
    <n v="2650"/>
    <n v="0"/>
    <n v="0"/>
    <n v="0"/>
    <n v="0"/>
    <n v="0"/>
    <n v="0"/>
    <n v="2650"/>
    <n v="0"/>
    <n v="0"/>
    <n v="0"/>
    <s v="OK"/>
    <n v="0"/>
    <s v="Jan-18"/>
    <x v="9"/>
    <s v="18"/>
    <n v="2650"/>
  </r>
  <r>
    <x v="1"/>
    <d v="2018-01-01T00:00:00"/>
    <n v="201802"/>
    <s v="DED"/>
    <n v="2650"/>
    <n v="0"/>
    <n v="0"/>
    <n v="0"/>
    <n v="0"/>
    <n v="0"/>
    <n v="0"/>
    <n v="2650"/>
    <n v="0"/>
    <n v="0"/>
    <n v="0"/>
    <s v="OK"/>
    <n v="0"/>
    <s v="Feb-18"/>
    <x v="10"/>
    <s v="18"/>
    <n v="2650"/>
  </r>
  <r>
    <x v="1"/>
    <d v="2018-02-01T00:00:00"/>
    <n v="201803"/>
    <s v="DED"/>
    <n v="2650"/>
    <n v="0"/>
    <n v="0"/>
    <n v="0"/>
    <n v="0"/>
    <n v="0"/>
    <n v="0"/>
    <n v="2650"/>
    <n v="0"/>
    <n v="0"/>
    <n v="0"/>
    <s v="OK"/>
    <n v="0"/>
    <s v="Mar-18"/>
    <x v="11"/>
    <s v="18"/>
    <n v="2650"/>
  </r>
  <r>
    <x v="2"/>
    <d v="2018-03-01T00:00:00"/>
    <n v="201804"/>
    <s v="DED"/>
    <n v="3000"/>
    <n v="0"/>
    <n v="0"/>
    <n v="0"/>
    <n v="0"/>
    <n v="0"/>
    <n v="0"/>
    <n v="3000"/>
    <n v="0"/>
    <n v="0"/>
    <n v="0"/>
    <s v="OK"/>
    <n v="0"/>
    <s v="Apr-18"/>
    <x v="1"/>
    <s v="18"/>
    <n v="3000"/>
  </r>
  <r>
    <x v="2"/>
    <d v="2018-04-01T00:00:00"/>
    <n v="201805"/>
    <s v="DED"/>
    <n v="3000"/>
    <n v="0"/>
    <n v="0"/>
    <n v="0"/>
    <n v="0"/>
    <n v="0"/>
    <n v="0"/>
    <n v="3000"/>
    <n v="0"/>
    <n v="0"/>
    <n v="0"/>
    <s v="OK"/>
    <n v="0"/>
    <s v="May-18"/>
    <x v="2"/>
    <s v="18"/>
    <n v="3000"/>
  </r>
  <r>
    <x v="2"/>
    <d v="2018-05-01T00:00:00"/>
    <n v="201806"/>
    <s v="DED"/>
    <n v="3000"/>
    <n v="0"/>
    <n v="0"/>
    <n v="0"/>
    <n v="0"/>
    <n v="0"/>
    <n v="0"/>
    <n v="3000"/>
    <n v="0"/>
    <n v="0"/>
    <n v="0"/>
    <s v="OK"/>
    <n v="0"/>
    <s v="Jun-18"/>
    <x v="3"/>
    <s v="18"/>
    <n v="3000"/>
  </r>
  <r>
    <x v="2"/>
    <d v="2018-06-01T00:00:00"/>
    <n v="201807"/>
    <s v="DED"/>
    <n v="3000"/>
    <n v="0"/>
    <n v="0"/>
    <n v="0"/>
    <n v="0"/>
    <n v="0"/>
    <n v="0"/>
    <n v="3000"/>
    <n v="0"/>
    <n v="0"/>
    <n v="0"/>
    <s v="OK"/>
    <n v="0"/>
    <s v="Jul-18"/>
    <x v="4"/>
    <s v="18"/>
    <n v="3000"/>
  </r>
  <r>
    <x v="2"/>
    <d v="2018-07-01T00:00:00"/>
    <n v="201808"/>
    <s v="DED"/>
    <n v="3000"/>
    <n v="0"/>
    <n v="0"/>
    <n v="0"/>
    <n v="0"/>
    <n v="0"/>
    <n v="0"/>
    <n v="3000"/>
    <n v="0"/>
    <n v="0"/>
    <n v="0"/>
    <s v="OK"/>
    <n v="0"/>
    <s v="Aug-18"/>
    <x v="5"/>
    <s v="18"/>
    <n v="3000"/>
  </r>
  <r>
    <x v="2"/>
    <d v="2018-08-01T00:00:00"/>
    <n v="201809"/>
    <s v="DED"/>
    <n v="3000"/>
    <n v="0"/>
    <n v="0"/>
    <n v="0"/>
    <n v="0"/>
    <n v="0"/>
    <n v="0"/>
    <n v="3000"/>
    <n v="0"/>
    <n v="0"/>
    <n v="0"/>
    <s v="OK"/>
    <n v="0"/>
    <s v="Sep-18"/>
    <x v="6"/>
    <s v="18"/>
    <n v="3000"/>
  </r>
  <r>
    <x v="2"/>
    <d v="2018-09-01T00:00:00"/>
    <n v="201810"/>
    <s v="DED"/>
    <n v="3000"/>
    <n v="0"/>
    <n v="0"/>
    <n v="0"/>
    <n v="0"/>
    <n v="0"/>
    <n v="0"/>
    <n v="3000"/>
    <n v="0"/>
    <n v="0"/>
    <n v="0"/>
    <s v="OK"/>
    <n v="0"/>
    <s v="Oct-18"/>
    <x v="0"/>
    <s v="18"/>
    <n v="3000"/>
  </r>
  <r>
    <x v="2"/>
    <d v="2018-10-01T00:00:00"/>
    <n v="201811"/>
    <s v="DED"/>
    <n v="3000"/>
    <n v="0"/>
    <n v="0"/>
    <n v="0"/>
    <n v="0"/>
    <n v="0"/>
    <n v="0"/>
    <n v="3000"/>
    <n v="0"/>
    <n v="0"/>
    <n v="0"/>
    <s v="OK"/>
    <n v="0"/>
    <s v="Nov-18"/>
    <x v="12"/>
    <s v="18"/>
    <n v="3000"/>
  </r>
  <r>
    <x v="2"/>
    <d v="2018-11-01T00:00:00"/>
    <m/>
    <s v="ONLINE"/>
    <n v="0"/>
    <n v="0"/>
    <n v="0"/>
    <n v="0"/>
    <n v="0"/>
    <n v="0"/>
    <n v="0"/>
    <n v="0"/>
    <n v="0"/>
    <n v="0"/>
    <n v="0"/>
    <s v="OK"/>
    <n v="0"/>
    <s v=""/>
    <x v="7"/>
    <s v=""/>
    <n v="0"/>
  </r>
  <r>
    <x v="2"/>
    <d v="2018-12-01T00:00:00"/>
    <n v="201901"/>
    <s v="DED"/>
    <n v="3000"/>
    <n v="0"/>
    <n v="0"/>
    <n v="0"/>
    <n v="0"/>
    <n v="0"/>
    <n v="0"/>
    <n v="3000"/>
    <n v="0"/>
    <n v="0"/>
    <n v="0"/>
    <s v="OK"/>
    <n v="0"/>
    <s v="Jan-19"/>
    <x v="9"/>
    <s v="19"/>
    <n v="3000"/>
  </r>
  <r>
    <x v="2"/>
    <d v="2019-01-01T00:00:00"/>
    <n v="201902"/>
    <s v="DED"/>
    <n v="6000"/>
    <n v="0"/>
    <n v="0"/>
    <n v="0"/>
    <n v="0"/>
    <n v="0"/>
    <n v="0"/>
    <n v="6000"/>
    <n v="0"/>
    <n v="0"/>
    <n v="0"/>
    <s v="OK"/>
    <n v="0"/>
    <s v="Feb-19"/>
    <x v="10"/>
    <s v="19"/>
    <n v="6000"/>
  </r>
  <r>
    <x v="2"/>
    <d v="2019-02-01T00:00:00"/>
    <n v="201903"/>
    <s v="DED"/>
    <n v="3000"/>
    <n v="0"/>
    <n v="0"/>
    <n v="0"/>
    <n v="0"/>
    <n v="0"/>
    <n v="0"/>
    <n v="3000"/>
    <n v="0"/>
    <n v="0"/>
    <n v="0"/>
    <s v="OK"/>
    <n v="0"/>
    <s v="Mar-19"/>
    <x v="11"/>
    <s v="19"/>
    <n v="3000"/>
  </r>
  <r>
    <x v="3"/>
    <d v="2019-03-01T00:00:00"/>
    <n v="201904"/>
    <s v="DED"/>
    <n v="3000"/>
    <n v="0"/>
    <n v="0"/>
    <n v="0"/>
    <n v="0"/>
    <n v="0"/>
    <n v="0"/>
    <n v="3000"/>
    <n v="0"/>
    <n v="0"/>
    <n v="0"/>
    <s v="OK"/>
    <n v="0"/>
    <s v="Apr-19"/>
    <x v="1"/>
    <s v="19"/>
    <n v="3000"/>
  </r>
  <r>
    <x v="3"/>
    <d v="2019-04-01T00:00:00"/>
    <n v="201905"/>
    <s v="DED"/>
    <n v="3000"/>
    <n v="0"/>
    <n v="0"/>
    <n v="0"/>
    <n v="0"/>
    <n v="0"/>
    <n v="0"/>
    <n v="3000"/>
    <n v="0"/>
    <n v="0"/>
    <n v="0"/>
    <s v="OK"/>
    <n v="0"/>
    <s v="May-19"/>
    <x v="2"/>
    <s v="19"/>
    <n v="3000"/>
  </r>
  <r>
    <x v="3"/>
    <d v="2019-05-01T00:00:00"/>
    <n v="201906"/>
    <s v="DED"/>
    <n v="3000"/>
    <n v="0"/>
    <n v="0"/>
    <n v="0"/>
    <n v="0"/>
    <n v="0"/>
    <n v="0"/>
    <n v="3000"/>
    <n v="0"/>
    <n v="0"/>
    <n v="0"/>
    <s v="OK"/>
    <n v="0"/>
    <s v="Jun-19"/>
    <x v="3"/>
    <s v="19"/>
    <n v="3000"/>
  </r>
  <r>
    <x v="3"/>
    <d v="2019-06-01T00:00:00"/>
    <n v="201907"/>
    <s v="DED"/>
    <n v="3000"/>
    <n v="0"/>
    <n v="0"/>
    <n v="0"/>
    <n v="0"/>
    <n v="0"/>
    <n v="0"/>
    <n v="3000"/>
    <n v="0"/>
    <n v="0"/>
    <n v="0"/>
    <s v="OK"/>
    <n v="0"/>
    <s v="Jul-19"/>
    <x v="4"/>
    <s v="19"/>
    <n v="3000"/>
  </r>
  <r>
    <x v="3"/>
    <d v="2019-07-01T00:00:00"/>
    <n v="201908"/>
    <s v="DED"/>
    <n v="3000"/>
    <n v="0"/>
    <n v="0"/>
    <n v="0"/>
    <n v="0"/>
    <n v="0"/>
    <n v="0"/>
    <n v="3000"/>
    <n v="0"/>
    <n v="0"/>
    <n v="0"/>
    <s v="OK"/>
    <n v="0"/>
    <s v="Aug-19"/>
    <x v="5"/>
    <s v="19"/>
    <n v="3000"/>
  </r>
  <r>
    <x v="3"/>
    <d v="2019-08-01T00:00:00"/>
    <n v="201909"/>
    <s v="DED"/>
    <n v="3000"/>
    <n v="0"/>
    <n v="0"/>
    <n v="0"/>
    <n v="0"/>
    <n v="0"/>
    <n v="0"/>
    <n v="3000"/>
    <n v="0"/>
    <n v="0"/>
    <n v="0"/>
    <s v="OK"/>
    <n v="0"/>
    <s v="Sep-19"/>
    <x v="6"/>
    <s v="19"/>
    <n v="3000"/>
  </r>
  <r>
    <x v="3"/>
    <d v="2019-09-01T00:00:00"/>
    <n v="201910"/>
    <s v="DED"/>
    <n v="3000"/>
    <n v="0"/>
    <n v="0"/>
    <n v="0"/>
    <n v="0"/>
    <n v="0"/>
    <n v="0"/>
    <n v="3000"/>
    <n v="0"/>
    <n v="0"/>
    <n v="0"/>
    <s v="OK"/>
    <n v="0"/>
    <s v="Oct-19"/>
    <x v="0"/>
    <s v="19"/>
    <n v="3000"/>
  </r>
  <r>
    <x v="3"/>
    <d v="2019-10-01T00:00:00"/>
    <n v="201911"/>
    <s v="DED"/>
    <n v="3000"/>
    <n v="0"/>
    <n v="0"/>
    <n v="0"/>
    <n v="0"/>
    <n v="0"/>
    <n v="0"/>
    <n v="3000"/>
    <n v="0"/>
    <n v="0"/>
    <n v="0"/>
    <s v="OK"/>
    <n v="0"/>
    <s v="Nov-19"/>
    <x v="12"/>
    <s v="19"/>
    <n v="3000"/>
  </r>
  <r>
    <x v="3"/>
    <d v="2019-11-01T00:00:00"/>
    <n v="201912"/>
    <s v="DED"/>
    <n v="3000"/>
    <n v="0"/>
    <n v="0"/>
    <n v="0"/>
    <n v="0"/>
    <n v="0"/>
    <n v="0"/>
    <n v="3000"/>
    <n v="0"/>
    <n v="0"/>
    <n v="0"/>
    <s v="OK"/>
    <n v="0"/>
    <s v="Dec-19"/>
    <x v="8"/>
    <s v="19"/>
    <n v="3000"/>
  </r>
  <r>
    <x v="3"/>
    <d v="2019-12-01T00:00:00"/>
    <n v="202001"/>
    <s v="DED"/>
    <n v="3000"/>
    <n v="0"/>
    <n v="0"/>
    <n v="0"/>
    <n v="0"/>
    <n v="0"/>
    <n v="0"/>
    <n v="3000"/>
    <n v="0"/>
    <n v="0"/>
    <n v="0"/>
    <s v="OK"/>
    <n v="0"/>
    <s v="Jan-20"/>
    <x v="9"/>
    <s v="20"/>
    <n v="3000"/>
  </r>
  <r>
    <x v="3"/>
    <d v="2020-01-01T00:00:00"/>
    <n v="202002"/>
    <s v="DED"/>
    <n v="3000"/>
    <n v="0"/>
    <n v="0"/>
    <n v="0"/>
    <n v="0"/>
    <n v="0"/>
    <n v="0"/>
    <n v="3000"/>
    <n v="0"/>
    <n v="0"/>
    <n v="0"/>
    <s v="OK"/>
    <n v="0"/>
    <s v="Feb-20"/>
    <x v="10"/>
    <s v="20"/>
    <n v="3000"/>
  </r>
  <r>
    <x v="3"/>
    <d v="2020-02-01T00:00:00"/>
    <n v="202003"/>
    <s v="DED"/>
    <n v="3000"/>
    <n v="0"/>
    <n v="0"/>
    <n v="0"/>
    <n v="0"/>
    <n v="0"/>
    <n v="0"/>
    <n v="3000"/>
    <n v="0"/>
    <n v="0"/>
    <n v="0"/>
    <s v="OK"/>
    <n v="0"/>
    <s v="Mar-20"/>
    <x v="11"/>
    <s v="20"/>
    <n v="3000"/>
  </r>
  <r>
    <x v="4"/>
    <d v="2020-03-01T00:00:00"/>
    <n v="202004"/>
    <s v="ONLINE"/>
    <n v="0"/>
    <n v="0"/>
    <n v="0"/>
    <n v="0"/>
    <n v="0"/>
    <n v="0"/>
    <n v="0"/>
    <n v="0"/>
    <n v="0"/>
    <n v="0"/>
    <n v="0"/>
    <s v="OK"/>
    <n v="0"/>
    <s v="Apr-20"/>
    <x v="1"/>
    <s v="20"/>
    <n v="0"/>
  </r>
  <r>
    <x v="4"/>
    <d v="2020-04-01T00:00:00"/>
    <n v="202005"/>
    <s v="DED"/>
    <n v="5000"/>
    <n v="0"/>
    <n v="0"/>
    <n v="0"/>
    <n v="0"/>
    <n v="0"/>
    <n v="0"/>
    <n v="5000"/>
    <n v="0"/>
    <n v="0"/>
    <n v="0"/>
    <s v="OK"/>
    <n v="0"/>
    <s v="May-20"/>
    <x v="2"/>
    <s v="20"/>
    <n v="5000"/>
  </r>
  <r>
    <x v="4"/>
    <d v="2020-05-01T00:00:00"/>
    <n v="202006"/>
    <s v="DED"/>
    <n v="5000"/>
    <n v="0"/>
    <n v="5000"/>
    <n v="0"/>
    <n v="0"/>
    <n v="0"/>
    <n v="0"/>
    <n v="10000"/>
    <n v="0"/>
    <n v="0"/>
    <n v="0"/>
    <s v="OK"/>
    <n v="0"/>
    <s v="Jun-20"/>
    <x v="3"/>
    <s v="20"/>
    <n v="10000"/>
  </r>
  <r>
    <x v="4"/>
    <d v="2020-06-01T00:00:00"/>
    <n v="202007"/>
    <s v="DED"/>
    <n v="5000"/>
    <n v="0"/>
    <n v="0"/>
    <n v="0"/>
    <n v="0"/>
    <n v="0"/>
    <n v="0"/>
    <n v="5000"/>
    <n v="0"/>
    <n v="0"/>
    <n v="0"/>
    <s v="OK"/>
    <n v="0"/>
    <s v="Jul-20"/>
    <x v="4"/>
    <s v="20"/>
    <n v="5000"/>
  </r>
  <r>
    <x v="4"/>
    <d v="2020-07-01T00:00:00"/>
    <n v="202008"/>
    <s v="DED"/>
    <n v="5000"/>
    <n v="0"/>
    <n v="0"/>
    <n v="0"/>
    <n v="0"/>
    <n v="0"/>
    <n v="0"/>
    <n v="5000"/>
    <n v="0"/>
    <n v="0"/>
    <n v="0"/>
    <s v="OK"/>
    <n v="0"/>
    <s v="Aug-20"/>
    <x v="5"/>
    <s v="20"/>
    <n v="5000"/>
  </r>
  <r>
    <x v="4"/>
    <d v="2020-08-01T00:00:00"/>
    <n v="202009"/>
    <s v="DED"/>
    <n v="5000"/>
    <n v="0"/>
    <n v="0"/>
    <n v="0"/>
    <n v="0"/>
    <n v="0"/>
    <n v="0"/>
    <n v="5000"/>
    <n v="0"/>
    <n v="0"/>
    <n v="0"/>
    <s v="OK"/>
    <n v="0"/>
    <s v="Sep-20"/>
    <x v="6"/>
    <s v="20"/>
    <n v="5000"/>
  </r>
  <r>
    <x v="4"/>
    <d v="2020-09-01T00:00:00"/>
    <n v="202010"/>
    <s v="DED"/>
    <n v="5000"/>
    <n v="0"/>
    <n v="0"/>
    <n v="0"/>
    <n v="0"/>
    <n v="0"/>
    <n v="0"/>
    <n v="5000"/>
    <n v="0"/>
    <n v="0"/>
    <n v="0"/>
    <s v="OK"/>
    <n v="0"/>
    <s v="Oct-20"/>
    <x v="0"/>
    <s v="20"/>
    <n v="5000"/>
  </r>
  <r>
    <x v="4"/>
    <d v="2020-10-01T00:00:00"/>
    <n v="202011"/>
    <s v="DED"/>
    <n v="5000"/>
    <n v="0"/>
    <n v="0"/>
    <n v="0"/>
    <n v="0"/>
    <n v="0"/>
    <n v="0"/>
    <n v="5000"/>
    <n v="0"/>
    <n v="0"/>
    <n v="0"/>
    <s v="OK"/>
    <n v="0"/>
    <s v="Nov-20"/>
    <x v="12"/>
    <s v="20"/>
    <n v="5000"/>
  </r>
  <r>
    <x v="4"/>
    <d v="2020-11-01T00:00:00"/>
    <n v="202012"/>
    <s v="DED"/>
    <n v="5000"/>
    <n v="0"/>
    <n v="0"/>
    <n v="0"/>
    <n v="0"/>
    <n v="0"/>
    <n v="0"/>
    <n v="5000"/>
    <n v="0"/>
    <n v="0"/>
    <n v="0"/>
    <s v="OK"/>
    <n v="0"/>
    <s v="Dec-20"/>
    <x v="8"/>
    <s v="20"/>
    <n v="5000"/>
  </r>
  <r>
    <x v="4"/>
    <d v="2020-12-01T00:00:00"/>
    <n v="202101"/>
    <s v="DED"/>
    <n v="5000"/>
    <n v="0"/>
    <n v="0"/>
    <n v="0"/>
    <n v="0"/>
    <n v="0"/>
    <n v="0"/>
    <n v="5000"/>
    <n v="0"/>
    <n v="0"/>
    <n v="0"/>
    <s v="OK"/>
    <n v="0"/>
    <s v="Jan-21"/>
    <x v="9"/>
    <s v="21"/>
    <n v="5000"/>
  </r>
  <r>
    <x v="4"/>
    <d v="2021-01-01T00:00:00"/>
    <n v="202102"/>
    <s v="DED"/>
    <n v="5000"/>
    <n v="0"/>
    <n v="0"/>
    <n v="0"/>
    <n v="0"/>
    <n v="0"/>
    <n v="0"/>
    <n v="5000"/>
    <n v="0"/>
    <n v="0"/>
    <n v="0"/>
    <s v="OK"/>
    <n v="0"/>
    <s v="Feb-21"/>
    <x v="10"/>
    <s v="21"/>
    <n v="5000"/>
  </r>
  <r>
    <x v="4"/>
    <d v="2021-02-01T00:00:00"/>
    <n v="202103"/>
    <s v="DED"/>
    <n v="5000"/>
    <n v="0"/>
    <n v="0"/>
    <n v="0"/>
    <n v="0"/>
    <n v="0"/>
    <n v="0"/>
    <n v="5000"/>
    <n v="0"/>
    <n v="0"/>
    <n v="0"/>
    <s v="OK"/>
    <n v="0"/>
    <s v="Mar-21"/>
    <x v="11"/>
    <s v="21"/>
    <n v="5000"/>
  </r>
  <r>
    <x v="5"/>
    <d v="2021-03-01T00:00:00"/>
    <n v="202104"/>
    <s v="DED"/>
    <n v="5000"/>
    <n v="0"/>
    <n v="0"/>
    <n v="0"/>
    <n v="0"/>
    <n v="0"/>
    <n v="0"/>
    <n v="5000"/>
    <n v="0"/>
    <n v="0"/>
    <n v="0"/>
    <s v="OK"/>
    <n v="0"/>
    <s v="Apr-21"/>
    <x v="1"/>
    <s v="21"/>
    <n v="5000"/>
  </r>
  <r>
    <x v="5"/>
    <d v="2021-04-01T00:00:00"/>
    <n v="202105"/>
    <s v="DED"/>
    <n v="5000"/>
    <n v="0"/>
    <n v="0"/>
    <n v="0"/>
    <n v="0"/>
    <n v="0"/>
    <n v="0"/>
    <n v="5000"/>
    <n v="0"/>
    <n v="0"/>
    <n v="0"/>
    <s v="OK"/>
    <n v="0"/>
    <s v="May-21"/>
    <x v="2"/>
    <s v="21"/>
    <n v="5000"/>
  </r>
  <r>
    <x v="5"/>
    <d v="2021-05-01T00:00:00"/>
    <n v="202106"/>
    <s v="DED"/>
    <n v="5000"/>
    <n v="0"/>
    <n v="0"/>
    <n v="0"/>
    <n v="0"/>
    <n v="0"/>
    <n v="0"/>
    <n v="5000"/>
    <n v="0"/>
    <n v="0"/>
    <n v="0"/>
    <s v="OK"/>
    <n v="0"/>
    <s v="Jun-21"/>
    <x v="3"/>
    <s v="21"/>
    <n v="5000"/>
  </r>
  <r>
    <x v="5"/>
    <d v="2021-06-01T00:00:00"/>
    <n v="202107"/>
    <s v="DED"/>
    <n v="5000"/>
    <n v="0"/>
    <n v="0"/>
    <n v="0"/>
    <n v="0"/>
    <n v="0"/>
    <n v="0"/>
    <n v="5000"/>
    <n v="0"/>
    <n v="0"/>
    <n v="0"/>
    <s v="OK"/>
    <n v="0"/>
    <s v="Jul-21"/>
    <x v="4"/>
    <s v="21"/>
    <n v="5000"/>
  </r>
  <r>
    <x v="5"/>
    <d v="2021-07-01T00:00:00"/>
    <n v="202108"/>
    <s v="DED"/>
    <n v="5000"/>
    <n v="0"/>
    <n v="0"/>
    <n v="0"/>
    <n v="0"/>
    <n v="0"/>
    <n v="0"/>
    <n v="5000"/>
    <n v="0"/>
    <n v="0"/>
    <n v="0"/>
    <s v="OK"/>
    <n v="0"/>
    <s v="Aug-21"/>
    <x v="5"/>
    <s v="21"/>
    <n v="5000"/>
  </r>
  <r>
    <x v="5"/>
    <d v="2021-08-01T00:00:00"/>
    <n v="202109"/>
    <s v="DED"/>
    <n v="5000"/>
    <n v="0"/>
    <n v="0"/>
    <n v="0"/>
    <n v="0"/>
    <n v="0"/>
    <n v="0"/>
    <n v="5000"/>
    <n v="0"/>
    <n v="0"/>
    <n v="0"/>
    <s v="OK"/>
    <n v="0"/>
    <s v="Sep-21"/>
    <x v="6"/>
    <s v="21"/>
    <n v="5000"/>
  </r>
  <r>
    <x v="5"/>
    <d v="2021-09-01T00:00:00"/>
    <n v="202110"/>
    <s v="DED"/>
    <n v="5000"/>
    <n v="0"/>
    <n v="0"/>
    <n v="0"/>
    <n v="0"/>
    <n v="0"/>
    <n v="0"/>
    <n v="5000"/>
    <n v="0"/>
    <n v="0"/>
    <n v="0"/>
    <s v="OK"/>
    <n v="0"/>
    <s v="Oct-21"/>
    <x v="0"/>
    <s v="21"/>
    <n v="5000"/>
  </r>
  <r>
    <x v="5"/>
    <d v="2021-10-01T00:00:00"/>
    <n v="202111"/>
    <s v="DED"/>
    <n v="5000"/>
    <n v="0"/>
    <n v="0"/>
    <n v="0"/>
    <n v="0"/>
    <n v="0"/>
    <n v="0"/>
    <n v="5000"/>
    <n v="0"/>
    <n v="0"/>
    <n v="0"/>
    <s v="OK"/>
    <n v="0"/>
    <s v="Nov-21"/>
    <x v="12"/>
    <s v="21"/>
    <n v="5000"/>
  </r>
  <r>
    <x v="5"/>
    <d v="2021-11-01T00:00:00"/>
    <n v="202112"/>
    <s v="DED"/>
    <n v="5000"/>
    <n v="0"/>
    <n v="0"/>
    <n v="0"/>
    <n v="0"/>
    <n v="0"/>
    <n v="0"/>
    <n v="5000"/>
    <n v="0"/>
    <n v="0"/>
    <n v="0"/>
    <s v="OK"/>
    <n v="0"/>
    <s v="Dec-21"/>
    <x v="8"/>
    <s v="21"/>
    <n v="5000"/>
  </r>
  <r>
    <x v="5"/>
    <d v="2021-12-01T00:00:00"/>
    <n v="202201"/>
    <s v="DED"/>
    <n v="5000"/>
    <n v="0"/>
    <n v="0"/>
    <n v="0"/>
    <n v="0"/>
    <n v="0"/>
    <n v="0"/>
    <n v="5000"/>
    <n v="0"/>
    <n v="0"/>
    <n v="0"/>
    <s v="OK"/>
    <n v="0"/>
    <s v="Jan-22"/>
    <x v="9"/>
    <s v="22"/>
    <n v="5000"/>
  </r>
  <r>
    <x v="5"/>
    <d v="2022-01-01T00:00:00"/>
    <n v="202202"/>
    <s v="DED"/>
    <n v="5000"/>
    <n v="0"/>
    <n v="0"/>
    <n v="0"/>
    <n v="0"/>
    <n v="0"/>
    <n v="0"/>
    <n v="5000"/>
    <n v="0"/>
    <n v="0"/>
    <n v="0"/>
    <s v="OK"/>
    <n v="0"/>
    <s v="Feb-22"/>
    <x v="10"/>
    <s v="22"/>
    <n v="5000"/>
  </r>
  <r>
    <x v="5"/>
    <d v="2022-02-01T00:00:00"/>
    <n v="202203"/>
    <s v="DED"/>
    <n v="5000"/>
    <n v="0"/>
    <n v="0"/>
    <n v="0"/>
    <n v="0"/>
    <n v="0"/>
    <n v="0"/>
    <n v="5000"/>
    <n v="0"/>
    <n v="0"/>
    <n v="0"/>
    <s v="OK"/>
    <n v="0"/>
    <s v="Mar-22"/>
    <x v="11"/>
    <s v="22"/>
    <n v="5000"/>
  </r>
  <r>
    <x v="6"/>
    <d v="2022-03-01T00:00:00"/>
    <n v="202204"/>
    <s v="DED"/>
    <n v="5000"/>
    <n v="0"/>
    <n v="0"/>
    <n v="0"/>
    <n v="0"/>
    <n v="0"/>
    <n v="0"/>
    <n v="5000"/>
    <n v="0"/>
    <n v="0"/>
    <n v="0"/>
    <s v="OK"/>
    <n v="0"/>
    <s v="Apr-22"/>
    <x v="1"/>
    <s v="22"/>
    <n v="5000"/>
  </r>
  <r>
    <x v="6"/>
    <d v="2022-04-01T00:00:00"/>
    <n v="202205"/>
    <s v="DED"/>
    <n v="5000"/>
    <n v="0"/>
    <n v="0"/>
    <n v="0"/>
    <n v="0"/>
    <n v="0"/>
    <n v="0"/>
    <n v="5000"/>
    <n v="0"/>
    <n v="0"/>
    <n v="0"/>
    <s v="OK"/>
    <n v="0"/>
    <s v="May-22"/>
    <x v="2"/>
    <s v="22"/>
    <n v="5000"/>
  </r>
  <r>
    <x v="6"/>
    <d v="2022-05-01T00:00:00"/>
    <n v="202206"/>
    <s v="DED"/>
    <n v="5000"/>
    <n v="0"/>
    <n v="0"/>
    <n v="0"/>
    <n v="0"/>
    <n v="0"/>
    <n v="0"/>
    <n v="5000"/>
    <n v="0"/>
    <n v="0"/>
    <n v="0"/>
    <s v="OK"/>
    <n v="0"/>
    <s v="Jun-22"/>
    <x v="3"/>
    <s v="22"/>
    <n v="5000"/>
  </r>
  <r>
    <x v="6"/>
    <d v="2022-06-01T00:00:00"/>
    <n v="202207"/>
    <s v="DED"/>
    <n v="5000"/>
    <n v="0"/>
    <n v="0"/>
    <n v="0"/>
    <n v="0"/>
    <n v="0"/>
    <n v="0"/>
    <n v="5000"/>
    <n v="0"/>
    <n v="0"/>
    <n v="0"/>
    <s v="OK"/>
    <n v="0"/>
    <s v="Jul-22"/>
    <x v="4"/>
    <s v="22"/>
    <n v="5000"/>
  </r>
  <r>
    <x v="6"/>
    <d v="2022-07-01T00:00:00"/>
    <n v="202208"/>
    <s v="DED"/>
    <n v="5000"/>
    <n v="0"/>
    <n v="0"/>
    <n v="0"/>
    <n v="0"/>
    <n v="0"/>
    <n v="0"/>
    <n v="5000"/>
    <n v="0"/>
    <n v="0"/>
    <n v="0"/>
    <s v="OK"/>
    <n v="0"/>
    <s v="Aug-22"/>
    <x v="5"/>
    <s v="22"/>
    <n v="5000"/>
  </r>
  <r>
    <x v="6"/>
    <d v="2022-08-01T00:00:00"/>
    <n v="202209"/>
    <s v="DED"/>
    <n v="5000"/>
    <n v="0"/>
    <n v="0"/>
    <n v="0"/>
    <n v="0"/>
    <n v="0"/>
    <n v="0"/>
    <n v="5000"/>
    <n v="0"/>
    <n v="0"/>
    <n v="0"/>
    <s v="OK"/>
    <n v="0"/>
    <s v="Sep-22"/>
    <x v="6"/>
    <s v="22"/>
    <n v="5000"/>
  </r>
  <r>
    <x v="6"/>
    <d v="2022-09-01T00:00:00"/>
    <n v="202210"/>
    <s v="DED"/>
    <n v="5000"/>
    <n v="0"/>
    <n v="0"/>
    <n v="0"/>
    <n v="0"/>
    <n v="0"/>
    <n v="0"/>
    <n v="5000"/>
    <n v="0"/>
    <n v="0"/>
    <n v="0"/>
    <s v="OK"/>
    <n v="0"/>
    <s v="Oct-22"/>
    <x v="0"/>
    <s v="22"/>
    <n v="5000"/>
  </r>
  <r>
    <x v="6"/>
    <d v="2022-10-01T00:00:00"/>
    <n v="202211"/>
    <s v="DED"/>
    <n v="5000"/>
    <n v="0"/>
    <n v="0"/>
    <n v="0"/>
    <n v="0"/>
    <n v="0"/>
    <n v="0"/>
    <n v="5000"/>
    <n v="0"/>
    <n v="0"/>
    <n v="0"/>
    <s v="OK"/>
    <n v="0"/>
    <s v="Nov-22"/>
    <x v="12"/>
    <s v="22"/>
    <n v="5000"/>
  </r>
  <r>
    <x v="6"/>
    <d v="2022-11-01T00:00:00"/>
    <n v="202212"/>
    <s v="DED"/>
    <n v="5000"/>
    <n v="0"/>
    <n v="0"/>
    <n v="0"/>
    <n v="0"/>
    <n v="0"/>
    <n v="0"/>
    <n v="5000"/>
    <n v="0"/>
    <n v="0"/>
    <n v="0"/>
    <s v="OK"/>
    <n v="0"/>
    <s v="Dec-22"/>
    <x v="8"/>
    <s v="22"/>
    <n v="5000"/>
  </r>
  <r>
    <x v="6"/>
    <d v="2022-12-01T00:00:00"/>
    <n v="202301"/>
    <s v="DED"/>
    <n v="5000"/>
    <n v="0"/>
    <n v="0"/>
    <n v="0"/>
    <n v="0"/>
    <n v="0"/>
    <n v="0"/>
    <n v="5000"/>
    <n v="0"/>
    <n v="0"/>
    <n v="0"/>
    <s v="OK"/>
    <n v="0"/>
    <s v="Jan-23"/>
    <x v="9"/>
    <s v="23"/>
    <n v="5000"/>
  </r>
  <r>
    <x v="6"/>
    <d v="2023-01-01T00:00:00"/>
    <n v="202302"/>
    <s v="DED"/>
    <n v="5000"/>
    <n v="0"/>
    <n v="0"/>
    <n v="0"/>
    <n v="0"/>
    <n v="0"/>
    <n v="0"/>
    <n v="5000"/>
    <n v="0"/>
    <n v="0"/>
    <n v="0"/>
    <s v="OK"/>
    <n v="0"/>
    <s v="Feb-23"/>
    <x v="10"/>
    <s v="23"/>
    <n v="5000"/>
  </r>
  <r>
    <x v="6"/>
    <d v="2023-02-01T00:00:00"/>
    <n v="202303"/>
    <s v="DED"/>
    <n v="5000"/>
    <n v="0"/>
    <n v="0"/>
    <n v="0"/>
    <n v="0"/>
    <n v="0"/>
    <n v="0"/>
    <n v="5000"/>
    <n v="0"/>
    <n v="0"/>
    <n v="0"/>
    <s v="OK"/>
    <n v="0"/>
    <s v="Mar-23"/>
    <x v="11"/>
    <s v="23"/>
    <n v="5000"/>
  </r>
  <r>
    <x v="7"/>
    <d v="2023-03-01T00:00:00"/>
    <n v="202304"/>
    <s v="DED"/>
    <n v="5000"/>
    <n v="0"/>
    <n v="0"/>
    <n v="0"/>
    <n v="0"/>
    <n v="0"/>
    <n v="0"/>
    <n v="5000"/>
    <n v="0"/>
    <n v="0"/>
    <n v="0"/>
    <s v="OK"/>
    <n v="0"/>
    <s v="Apr-23"/>
    <x v="1"/>
    <s v="23"/>
    <n v="5000"/>
  </r>
  <r>
    <x v="7"/>
    <d v="2023-04-01T00:00:00"/>
    <n v="202305"/>
    <s v="DED"/>
    <n v="5000"/>
    <n v="0"/>
    <n v="0"/>
    <n v="0"/>
    <n v="0"/>
    <n v="0"/>
    <n v="0"/>
    <n v="5000"/>
    <n v="0"/>
    <n v="0"/>
    <n v="0"/>
    <s v="OK"/>
    <n v="0"/>
    <s v="May-23"/>
    <x v="2"/>
    <s v="23"/>
    <n v="5000"/>
  </r>
  <r>
    <x v="7"/>
    <d v="2023-05-01T00:00:00"/>
    <n v="202306"/>
    <s v="DED"/>
    <n v="5000"/>
    <n v="0"/>
    <n v="0"/>
    <n v="0"/>
    <n v="0"/>
    <n v="0"/>
    <n v="0"/>
    <n v="5000"/>
    <n v="0"/>
    <n v="0"/>
    <n v="0"/>
    <s v="OK"/>
    <n v="0"/>
    <s v="Jun-23"/>
    <x v="3"/>
    <s v="23"/>
    <n v="5000"/>
  </r>
  <r>
    <x v="7"/>
    <d v="2023-06-01T00:00:00"/>
    <n v="202307"/>
    <s v="DED"/>
    <n v="5000"/>
    <n v="0"/>
    <n v="0"/>
    <n v="0"/>
    <n v="0"/>
    <n v="0"/>
    <n v="0"/>
    <n v="5000"/>
    <n v="0"/>
    <n v="0"/>
    <n v="0"/>
    <s v="OK"/>
    <n v="0"/>
    <s v="Jul-23"/>
    <x v="4"/>
    <s v="23"/>
    <n v="5000"/>
  </r>
  <r>
    <x v="7"/>
    <d v="2023-07-01T00:00:00"/>
    <n v="202308"/>
    <s v="DED"/>
    <n v="5000"/>
    <n v="0"/>
    <n v="0"/>
    <n v="0"/>
    <n v="0"/>
    <n v="0"/>
    <n v="0"/>
    <n v="5000"/>
    <n v="0"/>
    <n v="0"/>
    <n v="0"/>
    <s v="OK"/>
    <n v="0"/>
    <s v="Aug-23"/>
    <x v="5"/>
    <s v="23"/>
    <n v="5000"/>
  </r>
  <r>
    <x v="7"/>
    <d v="2023-08-01T00:00:00"/>
    <n v="202309"/>
    <s v="DED"/>
    <n v="5000"/>
    <n v="0"/>
    <n v="0"/>
    <n v="0"/>
    <n v="0"/>
    <n v="0"/>
    <n v="0"/>
    <n v="5000"/>
    <n v="0"/>
    <n v="0"/>
    <n v="0"/>
    <s v="OK"/>
    <n v="0"/>
    <s v="Sep-23"/>
    <x v="6"/>
    <s v="23"/>
    <n v="5000"/>
  </r>
  <r>
    <x v="7"/>
    <d v="2023-09-01T00:00:00"/>
    <n v="202310"/>
    <s v="DED"/>
    <n v="5000"/>
    <n v="0"/>
    <n v="0"/>
    <n v="0"/>
    <n v="0"/>
    <n v="0"/>
    <n v="0"/>
    <n v="5000"/>
    <n v="0"/>
    <n v="0"/>
    <n v="0"/>
    <s v="OK"/>
    <n v="0"/>
    <s v="Oct-23"/>
    <x v="0"/>
    <s v="23"/>
    <n v="5000"/>
  </r>
  <r>
    <x v="7"/>
    <d v="2023-10-01T00:00:00"/>
    <n v="202311"/>
    <s v="DED"/>
    <n v="5000"/>
    <n v="0"/>
    <n v="0"/>
    <n v="0"/>
    <n v="0"/>
    <n v="0"/>
    <n v="0"/>
    <n v="5000"/>
    <n v="0"/>
    <n v="0"/>
    <n v="0"/>
    <s v="OK"/>
    <n v="0"/>
    <s v="Nov-23"/>
    <x v="12"/>
    <s v="23"/>
    <n v="5000"/>
  </r>
  <r>
    <x v="7"/>
    <d v="2023-11-01T00:00:00"/>
    <n v="202312"/>
    <s v="DED"/>
    <n v="5000"/>
    <n v="0"/>
    <n v="0"/>
    <n v="0"/>
    <n v="0"/>
    <n v="0"/>
    <n v="0"/>
    <n v="5000"/>
    <n v="0"/>
    <n v="0"/>
    <n v="0"/>
    <s v="OK"/>
    <n v="0"/>
    <s v="Dec-23"/>
    <x v="8"/>
    <s v="23"/>
    <n v="5000"/>
  </r>
  <r>
    <x v="7"/>
    <d v="2023-12-01T00:00:00"/>
    <n v="202401"/>
    <s v="DED"/>
    <n v="5000"/>
    <n v="0"/>
    <n v="0"/>
    <n v="0"/>
    <n v="0"/>
    <n v="0"/>
    <n v="0"/>
    <n v="5000"/>
    <n v="0"/>
    <n v="0"/>
    <n v="0"/>
    <s v="OK"/>
    <n v="0"/>
    <s v="Jan-24"/>
    <x v="9"/>
    <s v="24"/>
    <n v="5000"/>
  </r>
  <r>
    <x v="7"/>
    <d v="2024-01-01T00:00:00"/>
    <n v="202402"/>
    <s v="DED"/>
    <n v="5000"/>
    <n v="0"/>
    <n v="0"/>
    <n v="0"/>
    <n v="0"/>
    <n v="0"/>
    <n v="0"/>
    <n v="5000"/>
    <n v="0"/>
    <n v="0"/>
    <n v="0"/>
    <s v="OK"/>
    <n v="0"/>
    <s v="Feb-24"/>
    <x v="10"/>
    <s v="24"/>
    <n v="5000"/>
  </r>
  <r>
    <x v="7"/>
    <d v="2024-02-01T00:00:00"/>
    <n v="202403"/>
    <s v="DED"/>
    <n v="5000"/>
    <n v="0"/>
    <n v="0"/>
    <n v="0"/>
    <n v="0"/>
    <n v="0"/>
    <n v="0"/>
    <n v="5000"/>
    <n v="0"/>
    <n v="0"/>
    <n v="0"/>
    <s v="OK"/>
    <n v="0"/>
    <s v="Mar-24"/>
    <x v="11"/>
    <s v="24"/>
    <n v="5000"/>
  </r>
  <r>
    <x v="8"/>
    <d v="2024-03-01T00:00:00"/>
    <n v="202404"/>
    <s v="DED"/>
    <n v="5000"/>
    <n v="0"/>
    <n v="0"/>
    <n v="0"/>
    <n v="0"/>
    <n v="0"/>
    <n v="0"/>
    <n v="5000"/>
    <n v="0"/>
    <n v="0"/>
    <n v="0"/>
    <s v="OK"/>
    <n v="0"/>
    <s v="Apr-24"/>
    <x v="1"/>
    <s v="24"/>
    <n v="5000"/>
  </r>
  <r>
    <x v="8"/>
    <d v="2024-04-01T00:00:00"/>
    <n v="202405"/>
    <s v="DED"/>
    <n v="5000"/>
    <n v="0"/>
    <n v="0"/>
    <n v="0"/>
    <n v="0"/>
    <n v="0"/>
    <n v="0"/>
    <n v="5000"/>
    <n v="0"/>
    <n v="0"/>
    <n v="0"/>
    <s v="OK"/>
    <n v="0"/>
    <s v="May-24"/>
    <x v="2"/>
    <s v="24"/>
    <n v="5000"/>
  </r>
  <r>
    <x v="8"/>
    <d v="2024-05-01T00:00:00"/>
    <n v="202406"/>
    <s v="DED"/>
    <n v="5000"/>
    <n v="0"/>
    <n v="0"/>
    <n v="0"/>
    <n v="0"/>
    <n v="0"/>
    <n v="0"/>
    <n v="5000"/>
    <n v="0"/>
    <n v="0"/>
    <n v="0"/>
    <s v="OK"/>
    <n v="0"/>
    <s v="Jun-24"/>
    <x v="3"/>
    <s v="24"/>
    <n v="5000"/>
  </r>
  <r>
    <x v="8"/>
    <d v="2024-06-01T00:00:00"/>
    <n v="202407"/>
    <s v="DED"/>
    <n v="5000"/>
    <n v="0"/>
    <n v="0"/>
    <n v="0"/>
    <n v="0"/>
    <n v="0"/>
    <n v="0"/>
    <n v="5000"/>
    <n v="0"/>
    <n v="0"/>
    <n v="0"/>
    <s v="OK"/>
    <n v="0"/>
    <s v="Jul-24"/>
    <x v="4"/>
    <s v="24"/>
    <n v="5000"/>
  </r>
  <r>
    <x v="8"/>
    <d v="2024-07-01T00:00:00"/>
    <n v="202408"/>
    <s v="DED"/>
    <n v="5000"/>
    <n v="0"/>
    <n v="0"/>
    <n v="0"/>
    <n v="0"/>
    <n v="0"/>
    <n v="0"/>
    <n v="5000"/>
    <n v="0"/>
    <n v="0"/>
    <n v="0"/>
    <s v="OK"/>
    <n v="0"/>
    <s v="Aug-24"/>
    <x v="5"/>
    <s v="24"/>
    <n v="5000"/>
  </r>
  <r>
    <x v="8"/>
    <d v="2024-08-01T00:00:00"/>
    <n v="202409"/>
    <s v="DED"/>
    <n v="5000"/>
    <n v="0"/>
    <n v="0"/>
    <n v="0"/>
    <n v="0"/>
    <n v="0"/>
    <n v="0"/>
    <n v="5000"/>
    <n v="0"/>
    <n v="0"/>
    <n v="0"/>
    <s v="OK"/>
    <n v="0"/>
    <s v="Sep-24"/>
    <x v="6"/>
    <s v="24"/>
    <n v="5000"/>
  </r>
  <r>
    <x v="8"/>
    <d v="2024-09-01T00:00:00"/>
    <n v="202410"/>
    <s v="DED"/>
    <n v="10000"/>
    <n v="0"/>
    <n v="0"/>
    <n v="0"/>
    <n v="0"/>
    <n v="0"/>
    <n v="0"/>
    <n v="10000"/>
    <n v="0"/>
    <n v="0"/>
    <n v="0"/>
    <s v="OK"/>
    <n v="0"/>
    <s v="Oct-24"/>
    <x v="0"/>
    <s v="24"/>
    <n v="10000"/>
  </r>
  <r>
    <x v="8"/>
    <d v="2024-10-01T00:00:00"/>
    <m/>
    <s v="ONLINE"/>
    <n v="0"/>
    <n v="0"/>
    <n v="0"/>
    <n v="0"/>
    <n v="0"/>
    <n v="0"/>
    <n v="0"/>
    <n v="0"/>
    <n v="0"/>
    <n v="0"/>
    <n v="0"/>
    <s v="OK"/>
    <n v="0"/>
    <s v=""/>
    <x v="7"/>
    <s v=""/>
    <n v="0"/>
  </r>
  <r>
    <x v="8"/>
    <d v="2024-11-01T00:00:00"/>
    <n v="202412"/>
    <s v="DED"/>
    <n v="5000"/>
    <n v="0"/>
    <n v="0"/>
    <n v="0"/>
    <n v="0"/>
    <n v="0"/>
    <n v="0"/>
    <n v="5000"/>
    <n v="0"/>
    <n v="0"/>
    <n v="0"/>
    <s v="OK"/>
    <n v="0"/>
    <s v="Dec-24"/>
    <x v="8"/>
    <s v="24"/>
    <n v="5000"/>
  </r>
  <r>
    <x v="8"/>
    <d v="2024-12-01T00:00:00"/>
    <n v="202501"/>
    <s v="DED"/>
    <n v="5000"/>
    <n v="0"/>
    <n v="0"/>
    <n v="0"/>
    <n v="0"/>
    <n v="0"/>
    <n v="0"/>
    <n v="5000"/>
    <n v="0"/>
    <n v="0"/>
    <n v="0"/>
    <s v="OK"/>
    <n v="0"/>
    <s v="Jan-25"/>
    <x v="9"/>
    <s v="25"/>
    <n v="5000"/>
  </r>
  <r>
    <x v="8"/>
    <d v="2025-01-01T00:00:00"/>
    <n v="202502"/>
    <s v="DED"/>
    <n v="5000"/>
    <n v="0"/>
    <n v="0"/>
    <n v="0"/>
    <n v="0"/>
    <n v="0"/>
    <n v="0"/>
    <n v="5000"/>
    <n v="0"/>
    <n v="0"/>
    <n v="0"/>
    <s v="OK"/>
    <n v="0"/>
    <s v="Feb-25"/>
    <x v="10"/>
    <s v="25"/>
    <n v="5000"/>
  </r>
  <r>
    <x v="8"/>
    <d v="2025-02-01T00:00:00"/>
    <n v="202503"/>
    <s v="DED"/>
    <n v="5000"/>
    <n v="0"/>
    <n v="0"/>
    <n v="0"/>
    <n v="0"/>
    <n v="0"/>
    <n v="0"/>
    <n v="5000"/>
    <n v="0"/>
    <n v="0"/>
    <n v="0"/>
    <s v="OK"/>
    <n v="0"/>
    <s v="Mar-25"/>
    <x v="11"/>
    <s v="25"/>
    <n v="5000"/>
  </r>
  <r>
    <x v="9"/>
    <d v="2025-03-01T00:00:00"/>
    <n v="202504"/>
    <s v="DED"/>
    <n v="5000"/>
    <n v="0"/>
    <n v="0"/>
    <n v="0"/>
    <n v="0"/>
    <n v="0"/>
    <n v="0"/>
    <n v="5000"/>
    <n v="0"/>
    <n v="0"/>
    <n v="0"/>
    <s v="OK"/>
    <n v="0"/>
    <s v="Apr-25"/>
    <x v="1"/>
    <s v="25"/>
    <n v="5000"/>
  </r>
  <r>
    <x v="9"/>
    <d v="2025-04-01T00:00:00"/>
    <n v="202505"/>
    <s v="ONLINE"/>
    <n v="0"/>
    <n v="0"/>
    <n v="0"/>
    <n v="0"/>
    <n v="0"/>
    <n v="0"/>
    <n v="0"/>
    <n v="0"/>
    <n v="434500"/>
    <n v="0"/>
    <n v="0"/>
    <m/>
    <n v="1"/>
    <s v="May-25"/>
    <x v="2"/>
    <s v="25"/>
    <n v="434500"/>
  </r>
  <r>
    <x v="9"/>
    <d v="2025-04-01T00:00:00"/>
    <n v="202505"/>
    <s v="DED"/>
    <n v="5000"/>
    <n v="0"/>
    <n v="0"/>
    <n v="0"/>
    <n v="0"/>
    <n v="0"/>
    <n v="0"/>
    <n v="5000"/>
    <n v="0"/>
    <n v="0"/>
    <n v="0"/>
    <s v="OK"/>
    <n v="0"/>
    <s v="May-25"/>
    <x v="2"/>
    <s v="25"/>
    <n v="5000"/>
  </r>
  <r>
    <x v="9"/>
    <d v="2025-05-01T00:00:00"/>
    <n v="202506"/>
    <s v="DED"/>
    <n v="5000"/>
    <n v="0"/>
    <n v="0"/>
    <n v="0"/>
    <n v="0"/>
    <n v="0"/>
    <n v="0"/>
    <n v="5000"/>
    <n v="0"/>
    <n v="0"/>
    <n v="0"/>
    <s v="OK"/>
    <n v="0"/>
    <s v="Jun-25"/>
    <x v="3"/>
    <s v="25"/>
    <n v="5000"/>
  </r>
  <r>
    <x v="9"/>
    <d v="2025-06-01T00:00:00"/>
    <n v="202507"/>
    <s v="DED"/>
    <n v="5000"/>
    <n v="0"/>
    <n v="0"/>
    <n v="7242"/>
    <n v="0"/>
    <n v="0"/>
    <n v="0"/>
    <n v="12242"/>
    <n v="0"/>
    <n v="0"/>
    <n v="0"/>
    <s v="OK"/>
    <n v="0"/>
    <s v="Jul-25"/>
    <x v="4"/>
    <s v="25"/>
    <n v="12242"/>
  </r>
  <r>
    <x v="9"/>
    <d v="2025-07-01T00:00:00"/>
    <n v="202508"/>
    <s v="DED"/>
    <n v="5000"/>
    <n v="0"/>
    <n v="0"/>
    <n v="7242"/>
    <n v="0"/>
    <n v="0"/>
    <n v="0"/>
    <n v="12242"/>
    <n v="0"/>
    <n v="0"/>
    <n v="0"/>
    <s v="OK"/>
    <n v="0"/>
    <s v="Aug-25"/>
    <x v="5"/>
    <s v="25"/>
    <n v="12242"/>
  </r>
  <r>
    <x v="9"/>
    <d v="2025-08-01T00:00:00"/>
    <n v="202509"/>
    <s v="DED"/>
    <n v="5000"/>
    <n v="0"/>
    <n v="0"/>
    <n v="7242"/>
    <n v="0"/>
    <n v="0"/>
    <n v="0"/>
    <n v="12242"/>
    <n v="0"/>
    <n v="0"/>
    <n v="0"/>
    <s v="OK"/>
    <n v="0"/>
    <s v="Sep-25"/>
    <x v="6"/>
    <s v="25"/>
    <n v="12242"/>
  </r>
  <r>
    <x v="9"/>
    <d v="2025-09-01T00:00:00"/>
    <n v="202510"/>
    <s v="DED"/>
    <n v="5000"/>
    <n v="0"/>
    <n v="0"/>
    <n v="7242"/>
    <n v="0"/>
    <n v="0"/>
    <n v="0"/>
    <n v="12242"/>
    <n v="0"/>
    <n v="0"/>
    <n v="0"/>
    <s v="OK"/>
    <n v="0"/>
    <s v="Oct-25"/>
    <x v="0"/>
    <s v="25"/>
    <n v="12242"/>
  </r>
  <r>
    <x v="9"/>
    <d v="2025-10-01T00:00:00"/>
    <n v="202511"/>
    <s v="DED"/>
    <n v="5000"/>
    <n v="0"/>
    <n v="0"/>
    <n v="7242"/>
    <n v="0"/>
    <n v="0"/>
    <n v="0"/>
    <n v="12242"/>
    <n v="0"/>
    <n v="0"/>
    <n v="0"/>
    <s v="OK"/>
    <n v="0"/>
    <s v="Nov-25"/>
    <x v="12"/>
    <s v="25"/>
    <n v="12242"/>
  </r>
  <r>
    <x v="9"/>
    <d v="2025-11-01T00:00:00"/>
    <n v="202512"/>
    <s v="DED"/>
    <n v="5000"/>
    <n v="0"/>
    <n v="0"/>
    <n v="7242"/>
    <n v="0"/>
    <n v="0"/>
    <n v="0"/>
    <n v="12242"/>
    <n v="0"/>
    <n v="0"/>
    <n v="0"/>
    <s v="OK"/>
    <n v="0"/>
    <s v="Dec-25"/>
    <x v="8"/>
    <s v="25"/>
    <n v="12242"/>
  </r>
  <r>
    <x v="9"/>
    <d v="2025-12-01T00:00:00"/>
    <n v="202601"/>
    <s v="DED"/>
    <n v="5000"/>
    <n v="0"/>
    <n v="0"/>
    <n v="7242"/>
    <n v="0"/>
    <n v="0"/>
    <n v="0"/>
    <n v="12242"/>
    <n v="0"/>
    <n v="0"/>
    <n v="0"/>
    <s v="OK"/>
    <n v="0"/>
    <s v="Jan-26"/>
    <x v="9"/>
    <s v="26"/>
    <n v="12242"/>
  </r>
  <r>
    <x v="9"/>
    <d v="2026-01-01T00:00:00"/>
    <n v="202602"/>
    <s v="DED"/>
    <n v="5000"/>
    <n v="0"/>
    <n v="0"/>
    <n v="7242"/>
    <n v="0"/>
    <n v="0"/>
    <n v="0"/>
    <n v="12242"/>
    <n v="0"/>
    <n v="0"/>
    <n v="0"/>
    <s v="OK"/>
    <n v="0"/>
    <s v="Feb-26"/>
    <x v="10"/>
    <s v="26"/>
    <n v="12242"/>
  </r>
  <r>
    <x v="9"/>
    <d v="2026-02-01T00:00:00"/>
    <n v="202603"/>
    <s v="DED"/>
    <n v="5000"/>
    <n v="0"/>
    <n v="0"/>
    <n v="7242"/>
    <n v="0"/>
    <n v="0"/>
    <n v="0"/>
    <n v="12242"/>
    <n v="0"/>
    <n v="0"/>
    <n v="0"/>
    <s v="OK"/>
    <n v="0"/>
    <s v="Mar-26"/>
    <x v="11"/>
    <s v="26"/>
    <n v="12242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">
  <r>
    <x v="0"/>
    <s v="OPD"/>
    <n v="1"/>
    <s v="MEDICINE SALE"/>
    <s v="HANM/G-1343/R/2022/13"/>
    <d v="2022-01-21T00:00:00"/>
    <s v="AJAY MEDICAL STORE"/>
    <n v="692.34"/>
    <s v="2022012106171754"/>
  </r>
  <r>
    <x v="0"/>
    <s v="OPD"/>
    <n v="2"/>
    <s v="MEDICINE SALE"/>
    <s v="HANM/G-1343/R/2022/44"/>
    <d v="2022-01-28T00:00:00"/>
    <s v="AJAY MEDICAL STORE"/>
    <n v="1198.73"/>
    <s v="2022012814112981"/>
  </r>
  <r>
    <x v="0"/>
    <s v="OPD"/>
    <n v="3"/>
    <s v="MEDICINE SALE"/>
    <s v="HANM/G-1343/R/2022/103"/>
    <d v="2022-02-10T00:00:00"/>
    <s v="AJAY MEDICAL STORE"/>
    <n v="2068.3200000000002"/>
    <s v="2022020916334323"/>
  </r>
  <r>
    <x v="0"/>
    <s v="OPD"/>
    <n v="4"/>
    <s v="MEDICINE SALE"/>
    <s v="HANM/G-1343/R/2022/217"/>
    <d v="2022-02-28T00:00:00"/>
    <s v="AJAY MEDICAL STORE"/>
    <n v="1886.84"/>
    <s v="2022022815311159"/>
  </r>
  <r>
    <x v="0"/>
    <s v="OPD"/>
    <n v="5"/>
    <s v="MEDICINE SALE"/>
    <s v="HANM/G-1343/R/2022/215"/>
    <d v="2022-02-28T00:00:00"/>
    <s v="AJAY MEDICAL STORE"/>
    <n v="350.95"/>
    <s v="2022022815373067"/>
  </r>
  <r>
    <x v="0"/>
    <s v="OPD"/>
    <n v="6"/>
    <s v="MEDICINE SALE"/>
    <s v="HANM/G-1343/R/2022/214"/>
    <d v="2022-02-28T00:00:00"/>
    <s v="AJAY MEDICAL STORE"/>
    <n v="1188.79"/>
    <s v="2022022815321567"/>
  </r>
  <r>
    <x v="0"/>
    <s v="OPD"/>
    <n v="7"/>
    <s v="MEDICINE SALE"/>
    <s v="HANM/G-1343/R/2022/368"/>
    <d v="2022-03-26T00:00:00"/>
    <s v="AJAY MEDICAL STORE"/>
    <n v="613.38"/>
    <s v="2022032610543143"/>
  </r>
  <r>
    <x v="0"/>
    <s v="OPD"/>
    <n v="8"/>
    <s v="MEDICINE SALE"/>
    <s v="HANM/G-1343/R/2022/369"/>
    <d v="2022-03-26T00:00:00"/>
    <s v="AJAY MEDICAL STORE"/>
    <n v="750.86"/>
    <s v="202203261012118"/>
  </r>
  <r>
    <x v="1"/>
    <s v="OPD"/>
    <n v="9"/>
    <s v="MEDICINE SALE"/>
    <s v="HANM/G-1343/R/2022-23/120"/>
    <d v="2022-04-25T00:00:00"/>
    <s v="AJAY MEDICAL STORE"/>
    <n v="2087.69"/>
    <s v="2022042514101827"/>
  </r>
  <r>
    <x v="1"/>
    <s v="OPD"/>
    <n v="10"/>
    <s v="MEDICINE SALE"/>
    <s v="HANM/G-1343/R/2022-23/119"/>
    <d v="2022-04-25T00:00:00"/>
    <s v="AJAY MEDICAL STORE"/>
    <n v="935.77"/>
    <s v="2022042514105844"/>
  </r>
  <r>
    <x v="1"/>
    <s v="OPD"/>
    <n v="11"/>
    <s v="MEDICINE SALE"/>
    <s v="HANM/G-1343/R/2022-23/118"/>
    <d v="2022-04-25T00:00:00"/>
    <s v="AJAY MEDICAL STORE"/>
    <n v="1510.09"/>
    <s v="202204251493012"/>
  </r>
  <r>
    <x v="1"/>
    <s v="OPD"/>
    <n v="12"/>
    <s v="MEDICINE SALE"/>
    <s v="HANM/G-1343/R/2022-23/300"/>
    <d v="2022-06-05T00:00:00"/>
    <s v="AJAY MEDICAL STORE"/>
    <n v="754.16"/>
    <s v="2022060421511295"/>
  </r>
  <r>
    <x v="1"/>
    <s v="OPD"/>
    <n v="13"/>
    <s v="MEDICINE SALE"/>
    <s v="HANM/G-1343/R/2022-23/301"/>
    <d v="2022-06-05T00:00:00"/>
    <s v="AJAY MEDICAL STORE"/>
    <n v="1005.2"/>
    <s v="2022060421533636"/>
  </r>
  <r>
    <x v="1"/>
    <s v="OPD"/>
    <n v="14"/>
    <s v="MEDICINE SALE"/>
    <s v="HANM/G-1343/R/2022-23/303"/>
    <d v="2022-06-06T00:00:00"/>
    <s v="AJAY MEDICAL STORE"/>
    <n v="1916.24"/>
    <s v="2022060421552943"/>
  </r>
  <r>
    <x v="1"/>
    <s v="OPD"/>
    <n v="15"/>
    <s v="MEDICINE SALE"/>
    <s v="HANM/G-1343/R/2022-23/419"/>
    <d v="2022-07-09T00:00:00"/>
    <s v="AJAY MEDICAL STORE"/>
    <n v="359.83"/>
    <s v="202207081401993"/>
  </r>
  <r>
    <x v="1"/>
    <s v="OPD"/>
    <n v="16"/>
    <s v="MEDICINE SALE"/>
    <s v="HANM/G-1343/R/2022-23/417"/>
    <d v="2022-07-09T00:00:00"/>
    <s v="AJAY MEDICAL STORE"/>
    <n v="878.72"/>
    <s v="202207081453225"/>
  </r>
  <r>
    <x v="1"/>
    <s v="OPD"/>
    <n v="17"/>
    <s v="MEDICINE SALE"/>
    <s v="HANM/G-1343/R/2022-23/420"/>
    <d v="2022-07-09T00:00:00"/>
    <s v="AJAY MEDICAL STORE"/>
    <n v="1833.4"/>
    <s v="20220708144621"/>
  </r>
  <r>
    <x v="1"/>
    <s v="OPD"/>
    <n v="18"/>
    <s v="MEDICINE SALE"/>
    <s v="HANM/G-1343/R/2022-23/508"/>
    <d v="2022-08-02T00:00:00"/>
    <s v="AJAY MEDICAL STORE"/>
    <n v="1886.98"/>
    <s v="2022080214414758"/>
  </r>
  <r>
    <x v="1"/>
    <s v="OPD"/>
    <n v="19"/>
    <s v="MEDICINE SALE"/>
    <s v="HANM/G-1343/R/2022-23/509"/>
    <d v="2022-08-02T00:00:00"/>
    <s v="AJAY MEDICAL STORE"/>
    <n v="376.21"/>
    <s v="2022080214423699"/>
  </r>
  <r>
    <x v="1"/>
    <s v="OPD"/>
    <n v="20"/>
    <s v="MEDICINE SALE"/>
    <s v="HANM/G-1343/R/2022-23/510"/>
    <d v="2022-08-02T00:00:00"/>
    <s v="AJAY MEDICAL STORE"/>
    <n v="765.79"/>
    <s v="2022080214405185"/>
  </r>
  <r>
    <x v="1"/>
    <s v="OPD"/>
    <n v="21"/>
    <s v="MEDICINE SALE"/>
    <s v="HANM/G-1343/R/2022-23/511"/>
    <d v="2022-08-02T00:00:00"/>
    <s v="AJAY MEDICAL STORE"/>
    <n v="577.4"/>
    <s v="2022080214412193"/>
  </r>
  <r>
    <x v="1"/>
    <s v="OPD"/>
    <n v="22"/>
    <s v="MEDICINE SALE"/>
    <s v="HANM/G-1343/R/2022-23/512"/>
    <d v="2022-08-02T00:00:00"/>
    <s v="AJAY MEDICAL STORE"/>
    <n v="88"/>
    <s v="202208021443195"/>
  </r>
  <r>
    <x v="1"/>
    <s v="OPD"/>
    <n v="23"/>
    <s v="MEDICINE SALE"/>
    <s v="HANM/G-3186/R/2022-23/222"/>
    <d v="2022-09-15T00:00:00"/>
    <s v="Beniwal Medicose"/>
    <n v="373.97"/>
    <s v="2022091214301860"/>
  </r>
  <r>
    <x v="1"/>
    <s v="OPD"/>
    <n v="24"/>
    <s v="MEDICINE SALE"/>
    <s v="HANM/G-3186/R/2022-23/223"/>
    <d v="2022-09-15T00:00:00"/>
    <s v="Beniwal Medicose"/>
    <n v="3603.34"/>
    <s v="2022091214305857"/>
  </r>
  <r>
    <x v="1"/>
    <s v="OPD"/>
    <n v="25"/>
    <s v="MEDICINE SALE"/>
    <s v="HANM/G-3186/R/2022-23/224"/>
    <d v="2022-09-15T00:00:00"/>
    <s v="Beniwal Medicose"/>
    <n v="290.36"/>
    <s v="202209121429372"/>
  </r>
  <r>
    <x v="1"/>
    <s v="OPD"/>
    <n v="26"/>
    <s v="MEDICINE SALE"/>
    <s v="HANM/G-3186/R/2022-23/611"/>
    <d v="2022-10-22T00:00:00"/>
    <s v="Beniwal Medicose"/>
    <n v="1031.05"/>
    <s v="2022102114561768"/>
  </r>
  <r>
    <x v="1"/>
    <s v="OPD"/>
    <n v="27"/>
    <s v="MEDICINE SALE"/>
    <s v="HANM/G-3186/R/2022-23/607"/>
    <d v="2022-10-22T00:00:00"/>
    <s v="Beniwal Medicose"/>
    <n v="442.85"/>
    <s v="2022102114592723"/>
  </r>
  <r>
    <x v="1"/>
    <s v="OPD"/>
    <n v="28"/>
    <s v="MEDICINE SALE"/>
    <s v="HANM/G-3186/R/2022-23/612"/>
    <d v="2022-10-22T00:00:00"/>
    <s v="Beniwal Medicose"/>
    <n v="3762.98"/>
    <s v="2022102114551451"/>
  </r>
  <r>
    <x v="1"/>
    <s v="OPD"/>
    <n v="29"/>
    <s v="MEDICINE SALE"/>
    <s v="HANM/G-3186/R/2022-23/1095"/>
    <d v="2022-12-03T00:00:00"/>
    <s v="Beniwal Medicose"/>
    <n v="442.85"/>
    <s v="2022120111293683"/>
  </r>
  <r>
    <x v="1"/>
    <s v="OPD"/>
    <n v="30"/>
    <s v="MEDICINE SALE"/>
    <s v="HANM/G-3186/R/2022-23/1162"/>
    <d v="2022-12-09T00:00:00"/>
    <s v="Beniwal Medicose"/>
    <n v="3537.5"/>
    <s v="2022120915131657"/>
  </r>
  <r>
    <x v="1"/>
    <s v="OPD"/>
    <n v="31"/>
    <s v="MEDICINE SALE"/>
    <s v="HANM/G-3186/R/2022-23/1182"/>
    <d v="2022-12-10T00:00:00"/>
    <s v="Beniwal Medicose"/>
    <n v="561.1"/>
    <s v="2022120915135916"/>
  </r>
  <r>
    <x v="1"/>
    <s v="OPD"/>
    <n v="32"/>
    <s v="MEDICINE SALE"/>
    <s v="HANM/G-3186/R/2022-23/1801"/>
    <d v="2023-01-22T00:00:00"/>
    <s v="Beniwal Medicose"/>
    <n v="3501"/>
    <s v=" 2023012210511685"/>
  </r>
  <r>
    <x v="1"/>
    <s v="OPD"/>
    <n v="33"/>
    <s v="MEDICINE SALE"/>
    <s v="HANM/G-3186/R/2022-23/1800"/>
    <d v="2023-01-22T00:00:00"/>
    <s v="Beniwal Medicose"/>
    <n v="580"/>
    <s v="2023012210504312"/>
  </r>
  <r>
    <x v="1"/>
    <s v="OPD"/>
    <n v="34"/>
    <s v="MEDICINE SALE"/>
    <s v="HANM/G-3186/R/2022-23/1802"/>
    <d v="2023-01-22T00:00:00"/>
    <s v="Beniwal Medicose"/>
    <n v="478"/>
    <s v="2023012210514522"/>
  </r>
  <r>
    <x v="1"/>
    <s v="OPD"/>
    <n v="35"/>
    <s v="MEDICINE SALE"/>
    <s v="HANM/G-3186/R/2022-23/2626"/>
    <d v="2023-03-10T00:00:00"/>
    <s v="Beniwal Medicose"/>
    <n v="3789"/>
    <s v="2023030919381169"/>
  </r>
  <r>
    <x v="1"/>
    <s v="OPD"/>
    <n v="36"/>
    <s v="MEDICINE SALE"/>
    <s v="HANM/G-3186/R/2022-23/2627"/>
    <d v="2023-03-10T00:00:00"/>
    <s v="Beniwal Medicose"/>
    <n v="1103"/>
    <s v="2023030919383650"/>
  </r>
  <r>
    <x v="2"/>
    <s v="OPD"/>
    <n v="37"/>
    <s v="TID GENERATED BY BENEFICIARY"/>
    <s v="20230428884056"/>
    <d v="2023-04-28T00:00:00"/>
    <s v="NA"/>
    <n v="0"/>
    <s v="20230428884056"/>
  </r>
  <r>
    <x v="2"/>
    <s v="OPD"/>
    <n v="38"/>
    <s v="MEDICINE SALE"/>
    <s v="HANM/G-1343/R/2023-24/111"/>
    <d v="2023-04-28T00:00:00"/>
    <s v="AJAY MEDICAL STORE"/>
    <n v="286"/>
    <s v="20230428881776"/>
  </r>
  <r>
    <x v="2"/>
    <s v="OPD"/>
    <n v="39"/>
    <s v="MEDICINE SALE"/>
    <s v="HANM/G-1343/R/2023-24/110"/>
    <d v="2023-04-28T00:00:00"/>
    <s v="AJAY MEDICAL STORE"/>
    <n v="3171"/>
    <s v="2023042886462"/>
  </r>
  <r>
    <x v="2"/>
    <s v="OPD"/>
    <n v="40"/>
    <s v="MEDICINE SALE"/>
    <s v="HANM/G-1343/R/2023-24/198"/>
    <d v="2023-05-16T00:00:00"/>
    <s v="AJAY MEDICAL STORE"/>
    <n v="131"/>
    <s v="2023051614321467"/>
  </r>
  <r>
    <x v="2"/>
    <s v="OPD"/>
    <n v="41"/>
    <s v="TID GENERATED BY BENEFICIARY"/>
    <s v="202306019552826"/>
    <d v="2023-06-01T00:00:00"/>
    <s v="NA"/>
    <n v="0"/>
    <s v="202306019552826"/>
  </r>
  <r>
    <x v="2"/>
    <s v="OPD"/>
    <n v="42"/>
    <s v="MEDICINE SALE"/>
    <s v="HANM/G-1343/R/2023-24/255"/>
    <d v="2023-06-01T00:00:00"/>
    <s v="AJAY MEDICAL STORE"/>
    <n v="208"/>
    <s v="202306019533233"/>
  </r>
  <r>
    <x v="2"/>
    <s v="OPD"/>
    <n v="43"/>
    <s v="MEDICINE SALE"/>
    <s v="HANM/G-1343/R/2023-24/256"/>
    <d v="2023-06-01T00:00:00"/>
    <s v="AJAY MEDICAL STORE"/>
    <n v="3365"/>
    <s v="202306019571244"/>
  </r>
  <r>
    <x v="2"/>
    <s v="OPD"/>
    <n v="44"/>
    <s v="MEDICINE SALE"/>
    <s v="HANM/G-1343/R/2023-24/387"/>
    <d v="2023-07-11T00:00:00"/>
    <s v="AJAY MEDICAL STORE"/>
    <n v="178"/>
    <s v="202307101722049"/>
  </r>
  <r>
    <x v="2"/>
    <s v="OPD"/>
    <n v="45"/>
    <s v="MEDICINE SALE"/>
    <s v="HANM/G-1343/R/2023-24/386"/>
    <d v="2023-07-11T00:00:00"/>
    <s v="AJAY MEDICAL STORE"/>
    <n v="3031"/>
    <s v="2023071017435385"/>
  </r>
  <r>
    <x v="2"/>
    <s v="OPD"/>
    <n v="46"/>
    <s v="MEDICINE SALE"/>
    <s v="HANM/G-1343/R/2023-24/521"/>
    <d v="2023-08-21T00:00:00"/>
    <s v="AJAY MEDICAL STORE"/>
    <n v="200"/>
    <s v="202308201914915"/>
  </r>
  <r>
    <x v="2"/>
    <s v="OPD"/>
    <n v="47"/>
    <s v="MEDICINE SALE"/>
    <s v="HANM/G-1343/R/2023-24/520"/>
    <d v="2023-08-21T00:00:00"/>
    <s v="AJAY MEDICAL STORE"/>
    <n v="3032"/>
    <s v="202308201903863"/>
  </r>
  <r>
    <x v="2"/>
    <s v="OPD"/>
    <n v="48"/>
    <s v="MEDICINE SALE"/>
    <s v="HANM/G-1343/R/2023-24/639"/>
    <d v="2023-09-22T00:00:00"/>
    <s v="AJAY MEDICAL STORE"/>
    <n v="200"/>
    <s v="202309221505427"/>
  </r>
  <r>
    <x v="2"/>
    <s v="OPD"/>
    <n v="49"/>
    <s v="MEDICINE SALE"/>
    <s v="HANM/G-1343/R/2023-24/638"/>
    <d v="2023-09-22T00:00:00"/>
    <s v="AJAY MEDICAL STORE"/>
    <n v="3646"/>
    <s v="202309221512898"/>
  </r>
  <r>
    <x v="2"/>
    <s v="OPD"/>
    <n v="50"/>
    <s v="MEDICINE SALE"/>
    <s v="HANM/G-2832/R/2023-24/2007"/>
    <d v="2023-09-25T00:00:00"/>
    <s v="DURGA MEDICAL STORE"/>
    <n v="126"/>
    <s v="202309251252634"/>
  </r>
  <r>
    <x v="2"/>
    <s v="OPD"/>
    <n v="51"/>
    <s v="TID GENERATED BY BENEFICIARY"/>
    <s v="2023102117431044"/>
    <d v="2023-10-21T00:00:00"/>
    <s v="NA"/>
    <n v="0"/>
    <s v="2023102117431044"/>
  </r>
  <r>
    <x v="2"/>
    <s v="OPD"/>
    <n v="52"/>
    <s v="TID GENERATED BY BENEFICIARY"/>
    <s v="2023102117435764"/>
    <d v="2023-10-21T00:00:00"/>
    <s v="NA"/>
    <n v="0"/>
    <s v="2023102117435764"/>
  </r>
  <r>
    <x v="2"/>
    <s v="OPD"/>
    <n v="53"/>
    <s v="MEDICINE SALE"/>
    <s v="HANM/G-1343/R/2023-24/737"/>
    <d v="2023-10-22T00:00:00"/>
    <s v="AJAY MEDICAL STORE"/>
    <n v="200"/>
    <s v="2023102217235036"/>
  </r>
  <r>
    <x v="2"/>
    <s v="OPD"/>
    <n v="54"/>
    <s v="MEDICINE SALE"/>
    <s v="HANM/G-1343/R/2023-24/740"/>
    <d v="2023-10-22T00:00:00"/>
    <s v="AJAY MEDICAL STORE"/>
    <n v="3644"/>
    <s v="2023102217275224"/>
  </r>
  <r>
    <x v="2"/>
    <s v="OPD"/>
    <n v="55"/>
    <s v="MEDICINE SALE"/>
    <s v="HANM/G-1343/R/2023-24/794"/>
    <d v="2023-11-08T00:00:00"/>
    <s v="AJAY MEDICAL STORE"/>
    <n v="206"/>
    <s v="202311071524274"/>
  </r>
  <r>
    <x v="2"/>
    <s v="OPD"/>
    <n v="56"/>
    <s v="MEDICINE SALE"/>
    <s v="HANM/G-1343/R/2023-24/795"/>
    <d v="2023-11-08T00:00:00"/>
    <s v="AJAY MEDICAL STORE"/>
    <n v="219"/>
    <s v="202311071534353"/>
  </r>
  <r>
    <x v="2"/>
    <s v="OPD"/>
    <n v="57"/>
    <s v="MEDICINE SALE"/>
    <s v="HANM/G-1343/R/2023-24/864"/>
    <d v="2023-11-29T00:00:00"/>
    <s v="AJAY MEDICAL STORE"/>
    <n v="200"/>
    <s v="2023112917544290"/>
  </r>
  <r>
    <x v="2"/>
    <s v="OPD"/>
    <n v="58"/>
    <s v="MEDICINE SALE"/>
    <s v="HANM/G-1343/R/2023-24/874"/>
    <d v="2023-11-30T00:00:00"/>
    <s v="AJAY MEDICAL STORE"/>
    <n v="3470"/>
    <s v="2023113014575356"/>
  </r>
  <r>
    <x v="2"/>
    <s v="OPD"/>
    <n v="59"/>
    <s v="MEDICINE SALE"/>
    <s v="HANM/G-1343/R/2023-24/926"/>
    <d v="2023-12-30T00:00:00"/>
    <s v="AJAY MEDICAL STORE"/>
    <n v="200"/>
    <s v="202312301156481"/>
  </r>
  <r>
    <x v="2"/>
    <s v="OPD"/>
    <n v="60"/>
    <s v="MEDICINE SALE"/>
    <s v="HANM/G-1343/R/2023-24/927"/>
    <d v="2023-12-30T00:00:00"/>
    <s v="AJAY MEDICAL STORE"/>
    <n v="3828"/>
    <s v="202312301232633"/>
  </r>
  <r>
    <x v="2"/>
    <s v="OPD"/>
    <n v="61"/>
    <s v="MEDICINE SALE"/>
    <s v="HANM/G-1343/R/2023-24/1034"/>
    <d v="2024-02-02T00:00:00"/>
    <s v="AJAY MEDICAL STORE"/>
    <n v="200"/>
    <s v="2024020217331990"/>
  </r>
  <r>
    <x v="2"/>
    <s v="OPD"/>
    <n v="62"/>
    <s v="MEDICINE SALE"/>
    <s v="HANM/G-1343/R/2023-24/1035"/>
    <d v="2024-02-02T00:00:00"/>
    <s v="AJAY MEDICAL STORE"/>
    <n v="3573"/>
    <s v="2024020217413510"/>
  </r>
  <r>
    <x v="2"/>
    <s v="OPD"/>
    <n v="63"/>
    <s v="MEDICINE SALE"/>
    <s v="HANM/G-3929/R/2023-24/4643"/>
    <d v="2024-02-22T00:00:00"/>
    <s v="PRASHANT MEDICOSE"/>
    <n v="518"/>
    <s v="202402221153769"/>
  </r>
  <r>
    <x v="2"/>
    <s v="OPD"/>
    <n v="64"/>
    <s v="HOSPITAL OPD"/>
    <s v="202402221153769"/>
    <d v="2024-02-23T00:00:00"/>
    <s v="HISSARIA MULTISPECIALITY HOSPITAL"/>
    <n v="3744"/>
    <s v="202402221153769"/>
  </r>
  <r>
    <x v="2"/>
    <s v="OPD"/>
    <n v="65"/>
    <s v="HOSPITAL OPD"/>
    <s v="202403081037014"/>
    <d v="2024-03-08T00:00:00"/>
    <s v="HISSARIA MULTISPECIALITY HOSPITAL"/>
    <n v="350"/>
    <s v="202403081037014"/>
  </r>
  <r>
    <x v="2"/>
    <s v="OPD"/>
    <n v="66"/>
    <s v="MEDICINE SALE"/>
    <s v="HANM/G-1343/R/2023-24/1137"/>
    <d v="2024-03-09T00:00:00"/>
    <s v="AJAY MEDICAL STORE"/>
    <n v="375"/>
    <s v="2024030817475680"/>
  </r>
  <r>
    <x v="2"/>
    <s v="OPD"/>
    <n v="67"/>
    <s v="MEDICINE SALE"/>
    <s v="HANM/G-1343/R/2023-24/1147"/>
    <d v="2024-03-12T00:00:00"/>
    <s v="AJAY MEDICAL STORE"/>
    <n v="3181"/>
    <s v="202403121118354"/>
  </r>
  <r>
    <x v="2"/>
    <s v="OPD"/>
    <n v="68"/>
    <s v="MEDICINE SALE"/>
    <s v="HANM/G-3929/R/2023-24/5230"/>
    <d v="2024-03-23T00:00:00"/>
    <s v="PRASHANT MEDICOSE"/>
    <n v="208"/>
    <s v="20240323102069"/>
  </r>
  <r>
    <x v="2"/>
    <s v="OPD"/>
    <n v="69"/>
    <s v="HOSPITAL OPD"/>
    <s v="20240323102069"/>
    <d v="2024-03-23T00:00:00"/>
    <s v="HISSARIA MULTISPECIALITY HOSPITAL"/>
    <n v="900"/>
    <s v="20240323102069"/>
  </r>
  <r>
    <x v="3"/>
    <s v="OPD"/>
    <n v="70"/>
    <s v="MEDICINE SALE"/>
    <s v="HANM/G-1343/R/2024-25/87"/>
    <d v="2024-04-23T00:00:00"/>
    <s v="AJAY MEDICAL STORE"/>
    <n v="3596"/>
    <s v="2024042314461324"/>
  </r>
  <r>
    <x v="3"/>
    <s v="OPD"/>
    <n v="71"/>
    <s v="MEDICINE SALE"/>
    <s v="HANM/G-1343/R/2024-25/344"/>
    <d v="2024-07-22T00:00:00"/>
    <s v="AJAY MEDICAL STORE"/>
    <n v="103"/>
    <s v="4298021417220724"/>
  </r>
  <r>
    <x v="3"/>
    <s v="OPD"/>
    <n v="72"/>
    <s v="MEDICINE SALE"/>
    <s v="HANM/G-1343/R/2024-25/343"/>
    <d v="2024-07-22T00:00:00"/>
    <s v="AJAY MEDICAL STORE"/>
    <n v="1709"/>
    <s v="4773021258220724"/>
  </r>
  <r>
    <x v="3"/>
    <s v="OPD"/>
    <n v="73"/>
    <s v="MEDICINE SALE"/>
    <s v="HANM/G-1343/R/2024-25/721"/>
    <d v="2025-01-05T00:00:00"/>
    <s v="AJAY MEDICAL STORE"/>
    <n v="121"/>
    <s v="4818114934040125"/>
  </r>
  <r>
    <x v="3"/>
    <s v="OPD"/>
    <n v="74"/>
    <s v="MEDICINE SALE"/>
    <s v="HANM/G-1343/R/2024-25/720"/>
    <d v="2025-01-05T00:00:00"/>
    <s v="AJAY MEDICAL STORE"/>
    <n v="183"/>
    <s v="4485115205040125"/>
  </r>
  <r>
    <x v="3"/>
    <s v="OPD"/>
    <n v="75"/>
    <s v="MEDICINE SALE"/>
    <s v="HANM/G-1343/R/2024-25/722"/>
    <d v="2025-01-05T00:00:00"/>
    <s v="AJAY MEDICAL STORE"/>
    <n v="2141"/>
    <s v="4518115103040125"/>
  </r>
  <r>
    <x v="3"/>
    <s v="OPD"/>
    <n v="76"/>
    <s v="TID GENERATED BY BENEFICIARY"/>
    <s v="4019122304230125"/>
    <d v="2025-01-23T00:00:00"/>
    <s v="NA"/>
    <n v="0"/>
    <s v="4019122304230125"/>
  </r>
  <r>
    <x v="3"/>
    <s v="OPD"/>
    <n v="77"/>
    <s v="TID GENERATED BY BENEFICIARY"/>
    <s v="4680122139230125"/>
    <d v="2025-01-23T00:00:00"/>
    <s v="NA"/>
    <n v="0"/>
    <s v="4680122139230125"/>
  </r>
  <r>
    <x v="3"/>
    <s v="OPD"/>
    <n v="78"/>
    <s v="MEDICINE SALE"/>
    <s v="HANM/G-4479/R/2024-25/969"/>
    <d v="2025-01-23T00:00:00"/>
    <s v="OM OSDHI BHANDAR"/>
    <n v="1382"/>
    <s v="4471122018230125"/>
  </r>
  <r>
    <x v="3"/>
    <s v="OPD"/>
    <n v="79"/>
    <s v="MEDICINE SALE"/>
    <s v="HANM/G-4479/R/2024-25/970"/>
    <d v="2025-01-23T00:00:00"/>
    <s v="OM OSDHI BHANDAR"/>
    <n v="1486"/>
    <s v="4378123859230125"/>
  </r>
  <r>
    <x v="3"/>
    <s v="OPD"/>
    <n v="80"/>
    <s v="MEDICINE SALE"/>
    <s v="HANM/G-4479/R/2024-25/971"/>
    <d v="2025-01-23T00:00:00"/>
    <s v="OM OSDHI BHANDAR"/>
    <n v="2123"/>
    <s v="4773123747230125"/>
  </r>
  <r>
    <x v="3"/>
    <s v="OPD"/>
    <n v="81"/>
    <s v="MEDICINE SALE"/>
    <s v="HANM/G-1343/R/2024-25/815"/>
    <d v="2025-02-07T00:00:00"/>
    <s v="AJAY MEDICAL STORE"/>
    <n v="560"/>
    <s v="4881021035070225"/>
  </r>
  <r>
    <x v="3"/>
    <s v="OPD"/>
    <n v="82"/>
    <s v="MEDICINE SALE"/>
    <s v="HANM/G-1343/R/2024-25/817"/>
    <d v="2025-02-07T00:00:00"/>
    <s v="AJAY MEDICAL STORE"/>
    <n v="2964"/>
    <s v="4467024834070225"/>
  </r>
  <r>
    <x v="3"/>
    <s v="OPD"/>
    <n v="83"/>
    <s v="MEDICINE SALE"/>
    <s v="HANM/G-1343/R/2024-25/935"/>
    <d v="2025-03-22T00:00:00"/>
    <s v="AJAY MEDICAL STORE"/>
    <n v="438"/>
    <s v="4462060046220325"/>
  </r>
  <r>
    <x v="3"/>
    <s v="OPD"/>
    <n v="84"/>
    <s v="MEDICINE SALE"/>
    <s v="HANM/G-1343/R/2024-25/933"/>
    <d v="2025-03-22T00:00:00"/>
    <s v="AJAY MEDICAL STORE"/>
    <n v="2619"/>
    <s v="4779045201220325"/>
  </r>
  <r>
    <x v="4"/>
    <s v="OPD"/>
    <n v="85"/>
    <s v="TID GENERATED BY BENEFICIARY"/>
    <s v="4940021645130625"/>
    <d v="2025-06-13T00:00:00"/>
    <s v="NA"/>
    <n v="0"/>
    <s v="4940021645130625"/>
  </r>
  <r>
    <x v="4"/>
    <s v="OPD"/>
    <n v="86"/>
    <s v="TID GENERATED BY BENEFICIARY"/>
    <s v="4925022043130625"/>
    <d v="2025-06-13T00:00:00"/>
    <s v="NA"/>
    <n v="0"/>
    <s v="4925022043130625"/>
  </r>
  <r>
    <x v="4"/>
    <s v="OPD"/>
    <n v="87"/>
    <s v="MEDICINE SALE"/>
    <s v="SRIG/G-483/R/2025-26/8425"/>
    <d v="2025-06-13T00:00:00"/>
    <s v="Health First Pharma"/>
    <n v="764"/>
    <s v="4196041414130625"/>
  </r>
  <r>
    <x v="4"/>
    <s v="OPD"/>
    <n v="88"/>
    <s v="MEDICINE SALE"/>
    <s v="SRIG/G-483/R/2025-26/8392"/>
    <d v="2025-06-13T00:00:00"/>
    <s v="Health First Pharma"/>
    <n v="2350"/>
    <s v="4632023604130625"/>
  </r>
  <r>
    <x v="4"/>
    <s v="OPD"/>
    <n v="89"/>
    <s v="MEDICINE SALE"/>
    <s v="SRIG/G-483/R/2025-26/8389"/>
    <d v="2025-06-13T00:00:00"/>
    <s v="Health First Pharma"/>
    <n v="5608"/>
    <s v="4154023754130625"/>
  </r>
  <r>
    <x v="4"/>
    <s v="OPD"/>
    <n v="90"/>
    <s v="HOSPITAL OPD"/>
    <s v="2025061310123439"/>
    <d v="2025-06-16T00:00:00"/>
    <s v="S N SUPER SPECIALITY HOSPITAL PVT LTD"/>
    <n v="350"/>
    <s v="2025061310123439"/>
  </r>
  <r>
    <x v="4"/>
    <s v="OPD"/>
    <n v="91"/>
    <s v="HOSPITAL OPD"/>
    <s v="202506139535618"/>
    <d v="2025-06-16T00:00:00"/>
    <s v="S N SUPER SPECIALITY HOSPITAL PVT LTD"/>
    <n v="609"/>
    <s v="202506139535618"/>
  </r>
  <r>
    <x v="4"/>
    <s v="OPD"/>
    <n v="92"/>
    <s v="HOSPITAL OPD"/>
    <s v="202506139475629"/>
    <d v="2025-06-16T00:00:00"/>
    <s v="S N SUPER SPECIALITY HOSPITAL PVT LTD"/>
    <n v="2666"/>
    <s v="202506139475629"/>
  </r>
  <r>
    <x v="4"/>
    <s v="OPD"/>
    <n v="93"/>
    <s v="HOSPITAL OPD"/>
    <s v="202506139504263"/>
    <d v="2025-06-16T00:00:00"/>
    <s v="S N SUPER SPECIALITY HOSPITAL PVT LTD"/>
    <n v="5662"/>
    <s v="202506139504263"/>
  </r>
  <r>
    <x v="4"/>
    <s v="OPD"/>
    <n v="94"/>
    <s v="MEDICINE SALE"/>
    <s v="SRIG/G-483/R/2025-26/9535"/>
    <d v="2025-06-21T00:00:00"/>
    <s v="Health First Pharma"/>
    <n v="178"/>
    <s v="4750021729210625"/>
  </r>
  <r>
    <x v="4"/>
    <s v="OPD"/>
    <n v="95"/>
    <s v="MEDICINE SALE"/>
    <s v="SRIG/G-483/R/2025-26/9536"/>
    <d v="2025-06-21T00:00:00"/>
    <s v="Health First Pharma"/>
    <n v="2518"/>
    <s v="4525022124210625"/>
  </r>
  <r>
    <x v="4"/>
    <s v="OPD"/>
    <n v="96"/>
    <s v="HOSPITAL OPD"/>
    <s v="202506219235515"/>
    <d v="2025-06-24T00:00:00"/>
    <s v="S N SUPER SPECIALITY HOSPITAL PVT LTD"/>
    <n v="350"/>
    <s v="202506219235515"/>
  </r>
  <r>
    <x v="4"/>
    <s v="OPD"/>
    <n v="97"/>
    <s v="HOSPITAL OPD"/>
    <s v="202506219213611"/>
    <d v="2025-06-24T00:00:00"/>
    <s v="S N SUPER SPECIALITY HOSPITAL PVT LTD"/>
    <n v="2325"/>
    <s v="202506219213611"/>
  </r>
  <r>
    <x v="4"/>
    <s v="OPD"/>
    <n v="98"/>
    <s v="MEDICINE SALE"/>
    <s v="SRIG/G-483/R/2025-26/12232"/>
    <d v="2025-07-12T00:00:00"/>
    <s v="Health First Pharma"/>
    <n v="538"/>
    <s v="4573014218120725"/>
  </r>
  <r>
    <x v="4"/>
    <s v="OPD"/>
    <n v="99"/>
    <s v="MEDICINE SALE"/>
    <s v="SRIG/G-483/R/2025-26/12231"/>
    <d v="2025-07-12T00:00:00"/>
    <s v="Health First Pharma"/>
    <n v="811"/>
    <s v="4024013819120725"/>
  </r>
  <r>
    <x v="4"/>
    <s v="OPD"/>
    <n v="100"/>
    <s v="MEDICINE SALE"/>
    <s v="SRIG/G-483/R/2025-26/12233"/>
    <d v="2025-07-12T00:00:00"/>
    <s v="Health First Pharma"/>
    <n v="5056"/>
    <s v="4029014041120725"/>
  </r>
  <r>
    <x v="4"/>
    <s v="OPD"/>
    <n v="101"/>
    <s v="HOSPITAL OPD"/>
    <s v="20250712850794"/>
    <d v="2025-07-13T00:00:00"/>
    <s v="S N SUPER SPECIALITY HOSPITAL PVT LTD"/>
    <n v="350"/>
    <s v="20250712850794"/>
  </r>
  <r>
    <x v="4"/>
    <s v="OPD"/>
    <n v="102"/>
    <s v="HOSPITAL OPD"/>
    <s v="202507128445987"/>
    <d v="2025-07-15T00:00:00"/>
    <s v="S N SUPER SPECIALITY HOSPITAL PVT LTD"/>
    <n v="350"/>
    <s v="202507128445987"/>
  </r>
  <r>
    <x v="4"/>
    <s v="OPD"/>
    <n v="103"/>
    <s v="HOSPITAL OPD"/>
    <s v="202507128474475"/>
    <d v="2025-07-15T00:00:00"/>
    <s v="S N SUPER SPECIALITY HOSPITAL PVT LTD"/>
    <n v="1229"/>
    <s v="202507128474475"/>
  </r>
  <r>
    <x v="4"/>
    <s v="OPD"/>
    <n v="104"/>
    <s v="MEDICINE SALE"/>
    <s v="SRIG/G-483/R/2025-26/13710"/>
    <d v="2025-07-26T00:00:00"/>
    <s v="Health First Pharma"/>
    <n v="242"/>
    <s v="4143113246260725"/>
  </r>
  <r>
    <x v="4"/>
    <s v="OPD"/>
    <n v="105"/>
    <s v="MEDICINE SALE"/>
    <s v="SRIG/G-483/R/2025-26/13708"/>
    <d v="2025-07-26T00:00:00"/>
    <s v="Health First Pharma"/>
    <n v="2518"/>
    <s v="4917113403260725"/>
  </r>
  <r>
    <x v="4"/>
    <s v="OPD"/>
    <n v="106"/>
    <s v="HOSPITAL OPD"/>
    <s v="202507269574657"/>
    <d v="2025-07-27T00:00:00"/>
    <s v="S N SUPER SPECIALITY HOSPITAL PVT LTD"/>
    <n v="350"/>
    <s v="202507269574657"/>
  </r>
  <r>
    <x v="4"/>
    <s v="OPD"/>
    <n v="107"/>
    <s v="HOSPITAL OPD"/>
    <s v="202507261013383"/>
    <d v="2025-07-27T00:00:00"/>
    <s v="S N SUPER SPECIALITY HOSPITAL PVT LTD"/>
    <n v="350"/>
    <s v="202507261013383"/>
  </r>
  <r>
    <x v="4"/>
    <s v="OPD"/>
    <n v="108"/>
    <s v="MEDICINE SALE"/>
    <s v="HANM/G-1343/R/2025-26/202"/>
    <d v="2025-08-15T00:00:00"/>
    <s v="AJAY MEDICAL STORE"/>
    <n v="349"/>
    <s v="4021053646140820"/>
  </r>
  <r>
    <x v="4"/>
    <s v="OPD"/>
    <n v="109"/>
    <s v="HOSPITAL OPD"/>
    <s v="202508149392026"/>
    <d v="2025-08-18T00:00:00"/>
    <s v="S N SUPER SPECIALITY HOSPITAL PVT LTD"/>
    <n v="350"/>
    <s v="202508149392026"/>
  </r>
  <r>
    <x v="4"/>
    <s v="OPD"/>
    <n v="110"/>
    <s v="MEDICINE SALE"/>
    <s v="SRIG/G-483/R/2025-26/22545"/>
    <d v="2025-09-30T00:00:00"/>
    <s v="Health First Pharma"/>
    <n v="1167"/>
    <s v="4585041628300920"/>
  </r>
  <r>
    <x v="4"/>
    <s v="OPD"/>
    <n v="111"/>
    <s v="MEDICINE SALE"/>
    <s v="SRIG/G-483/R/2025-26/22549"/>
    <d v="2025-09-30T00:00:00"/>
    <s v="Health First Pharma"/>
    <n v="1299"/>
    <s v="4959041501300920"/>
  </r>
  <r>
    <x v="4"/>
    <s v="OPD"/>
    <n v="112"/>
    <s v="MEDICINE SALE"/>
    <s v="SRIG/G-483/R/2025-26/22546"/>
    <d v="2025-09-30T00:00:00"/>
    <s v="Health First Pharma"/>
    <n v="3371"/>
    <s v="4365041226300920"/>
  </r>
  <r>
    <x v="4"/>
    <s v="OPD"/>
    <n v="113"/>
    <s v="HOSPITAL OPD"/>
    <s v="2025093010395014"/>
    <d v="2025-10-04T00:00:00"/>
    <s v="S N SUPER SPECIALITY HOSPITAL PVT LTD"/>
    <n v="350"/>
    <s v="2025093010395014"/>
  </r>
  <r>
    <x v="4"/>
    <s v="OPD"/>
    <n v="114"/>
    <s v="HOSPITAL OPD"/>
    <s v="2025093010424768"/>
    <d v="2025-10-04T00:00:00"/>
    <s v="S N SUPER SPECIALITY HOSPITAL PVT LTD"/>
    <n v="350"/>
    <s v="2025093010424768"/>
  </r>
  <r>
    <x v="4"/>
    <s v="OPD"/>
    <n v="115"/>
    <s v="HOSPITAL OPD"/>
    <s v="2025093010441522"/>
    <d v="2025-10-04T00:00:00"/>
    <s v="S N SUPER SPECIALITY HOSPITAL PVT LTD"/>
    <n v="936"/>
    <s v="2025093010441522"/>
  </r>
  <r>
    <x v="4"/>
    <s v="OPD"/>
    <n v="116"/>
    <s v="HOSPITAL OPD"/>
    <s v="2025093010411652"/>
    <d v="2025-10-04T00:00:00"/>
    <s v="S N SUPER SPECIALITY HOSPITAL PVT LTD"/>
    <n v="2779"/>
    <s v="2025093010411652"/>
  </r>
  <r>
    <x v="4"/>
    <s v="OPD"/>
    <n v="117"/>
    <s v="MEDICINE SALE"/>
    <s v="SRIG/G-483/R/2025-26/29399"/>
    <d v="2025-11-26T00:00:00"/>
    <s v="Health First Pharma"/>
    <n v="10006"/>
    <s v="4845052606261125"/>
  </r>
  <r>
    <x v="4"/>
    <s v="OPD"/>
    <n v="118"/>
    <s v="HOSPITAL OPD"/>
    <s v="2025112611411256"/>
    <d v="2025-11-28T00:00:00"/>
    <s v="S N SUPER SPECIALITY HOSPITAL PVT LTD"/>
    <n v="350"/>
    <s v="2025112611411256"/>
  </r>
  <r>
    <x v="4"/>
    <s v="OPD"/>
    <n v="119"/>
    <s v="HOSPITAL OPD"/>
    <s v="2025112611425028"/>
    <d v="2025-11-28T00:00:00"/>
    <s v="S N SUPER SPECIALITY HOSPITAL PVT LTD"/>
    <n v="4640"/>
    <s v="2025112611425028"/>
  </r>
  <r>
    <x v="4"/>
    <s v="OPD"/>
    <n v="120"/>
    <s v="MEDICINE SALE"/>
    <s v="SRIG/G-478/R/2025-26/10697"/>
    <d v="2025-12-03T00:00:00"/>
    <s v="M/s. Jan Sewa Aushdhi Kendra"/>
    <n v="1029"/>
    <s v="4485103549031225"/>
  </r>
  <r>
    <x v="4"/>
    <s v="OPD"/>
    <n v="121"/>
    <s v="MEDICINE SALE"/>
    <s v="SRIG/G-478/R/2025-26/10712"/>
    <d v="2025-12-03T00:00:00"/>
    <s v="M/s. Jan Sewa Aushdhi Kendra"/>
    <n v="7826"/>
    <s v="4428021101031225"/>
  </r>
  <r>
    <x v="4"/>
    <s v="OPD"/>
    <n v="122"/>
    <s v="HOSPITAL OPD"/>
    <s v="20251203995315"/>
    <d v="2025-12-06T00:00:00"/>
    <s v="DR. S. S. TANTIA MEMORIAL HOSPITAL"/>
    <n v="350"/>
    <s v="20251203995315"/>
  </r>
  <r>
    <x v="4"/>
    <s v="OPD"/>
    <n v="123"/>
    <s v="HOSPITAL OPD"/>
    <s v="202512039133158"/>
    <d v="2025-12-06T00:00:00"/>
    <s v="DR. S. S. TANTIA MEMORIAL HOSPITAL"/>
    <n v="350"/>
    <s v="202512039133158"/>
  </r>
  <r>
    <x v="4"/>
    <s v="OPD"/>
    <n v="124"/>
    <s v="MEDICINE SALE"/>
    <s v="JAPR/G-1913/R/2025-26/22252"/>
    <d v="2025-12-31T00:00:00"/>
    <s v="Manglamplus Medicity LLP"/>
    <n v="4000"/>
    <s v="20251230928263"/>
  </r>
  <r>
    <x v="4"/>
    <s v="OPD"/>
    <n v="125"/>
    <s v="HOSPITAL OPD"/>
    <s v="20251230928263"/>
    <d v="2026-01-04T00:00:00"/>
    <s v="ManglamPlus Medicity Hospital"/>
    <n v="1703"/>
    <s v="20251230928263"/>
  </r>
  <r>
    <x v="4"/>
    <s v="OPD"/>
    <n v="126"/>
    <s v="HOSPITAL OPD"/>
    <s v="202601179332913"/>
    <d v="2026-01-17T00:00:00"/>
    <s v="ManglamPlus Medicity Hospital"/>
    <n v="350"/>
    <s v="202601179332913"/>
  </r>
  <r>
    <x v="4"/>
    <s v="OPD"/>
    <n v="127"/>
    <s v="MEDICINE SALE"/>
    <s v="JAPR/G-1913/R/2025-26/23687"/>
    <d v="2026-01-17T00:00:00"/>
    <s v="Manglamplus Medicity LLP"/>
    <n v="3543"/>
    <s v="202601179332913"/>
  </r>
  <r>
    <x v="4"/>
    <s v="OPD"/>
    <n v="128"/>
    <s v="HOSPITAL OPD"/>
    <s v="202602149114916"/>
    <d v="2026-02-14T00:00:00"/>
    <s v="ManglamPlus Medicity Hospital"/>
    <n v="350"/>
    <s v="202602149114916"/>
  </r>
  <r>
    <x v="4"/>
    <s v="OPD"/>
    <n v="129"/>
    <s v="MEDICINE SALE"/>
    <s v="JAPR/G-1913/R/2025-26/26469"/>
    <d v="2026-02-14T00:00:00"/>
    <s v="Manglamplus Medicity LLP"/>
    <n v="1586"/>
    <s v="2026021491149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738A5D-7E2F-4CB2-A013-D2DFDA37220C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 colHeaderCaption=" ">
  <location ref="AI5:AW17" firstHeaderRow="1" firstDataRow="2" firstDataCol="1"/>
  <pivotFields count="21">
    <pivotField axis="axisRow" showAll="0" sortType="ascending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Col" showAll="0">
      <items count="15">
        <item x="9"/>
        <item x="10"/>
        <item x="11"/>
        <item x="1"/>
        <item x="2"/>
        <item x="3"/>
        <item x="4"/>
        <item x="5"/>
        <item x="6"/>
        <item x="0"/>
        <item x="12"/>
        <item x="8"/>
        <item x="7"/>
        <item m="1" x="13"/>
        <item t="default"/>
      </items>
    </pivotField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Total Premium" fld="11" baseField="0" baseItem="0"/>
  </dataFields>
  <formats count="26">
    <format dxfId="643">
      <pivotArea outline="0" collapsedLevelsAreSubtotals="1" fieldPosition="0"/>
    </format>
    <format dxfId="642">
      <pivotArea field="0" type="button" dataOnly="0" labelOnly="1" outline="0" axis="axisRow" fieldPosition="0"/>
    </format>
    <format dxfId="641">
      <pivotArea dataOnly="0" labelOnly="1" fieldPosition="0">
        <references count="1">
          <reference field="0" count="0"/>
        </references>
      </pivotArea>
    </format>
    <format dxfId="640">
      <pivotArea dataOnly="0" labelOnly="1" grandRow="1" outline="0" fieldPosition="0"/>
    </format>
    <format dxfId="639">
      <pivotArea dataOnly="0" labelOnly="1" fieldPosition="0">
        <references count="1">
          <reference field="18" count="0"/>
        </references>
      </pivotArea>
    </format>
    <format dxfId="638">
      <pivotArea dataOnly="0" labelOnly="1" grandCol="1" outline="0" fieldPosition="0"/>
    </format>
    <format dxfId="637">
      <pivotArea type="all" dataOnly="0" outline="0" fieldPosition="0"/>
    </format>
    <format dxfId="636">
      <pivotArea outline="0" collapsedLevelsAreSubtotals="1" fieldPosition="0"/>
    </format>
    <format dxfId="635">
      <pivotArea type="origin" dataOnly="0" labelOnly="1" outline="0" fieldPosition="0"/>
    </format>
    <format dxfId="634">
      <pivotArea field="18" type="button" dataOnly="0" labelOnly="1" outline="0" axis="axisCol" fieldPosition="0"/>
    </format>
    <format dxfId="633">
      <pivotArea type="topRight" dataOnly="0" labelOnly="1" outline="0" fieldPosition="0"/>
    </format>
    <format dxfId="632">
      <pivotArea field="0" type="button" dataOnly="0" labelOnly="1" outline="0" axis="axisRow" fieldPosition="0"/>
    </format>
    <format dxfId="631">
      <pivotArea dataOnly="0" labelOnly="1" fieldPosition="0">
        <references count="1">
          <reference field="0" count="0"/>
        </references>
      </pivotArea>
    </format>
    <format dxfId="630">
      <pivotArea dataOnly="0" labelOnly="1" grandRow="1" outline="0" fieldPosition="0"/>
    </format>
    <format dxfId="629">
      <pivotArea dataOnly="0" labelOnly="1" fieldPosition="0">
        <references count="1">
          <reference field="18" count="0"/>
        </references>
      </pivotArea>
    </format>
    <format dxfId="628">
      <pivotArea dataOnly="0" labelOnly="1" grandCol="1" outline="0" fieldPosition="0"/>
    </format>
    <format dxfId="627">
      <pivotArea type="all" dataOnly="0" outline="0" fieldPosition="0"/>
    </format>
    <format dxfId="626">
      <pivotArea outline="0" collapsedLevelsAreSubtotals="1" fieldPosition="0"/>
    </format>
    <format dxfId="625">
      <pivotArea type="origin" dataOnly="0" labelOnly="1" outline="0" fieldPosition="0"/>
    </format>
    <format dxfId="624">
      <pivotArea field="18" type="button" dataOnly="0" labelOnly="1" outline="0" axis="axisCol" fieldPosition="0"/>
    </format>
    <format dxfId="623">
      <pivotArea type="topRight" dataOnly="0" labelOnly="1" outline="0" fieldPosition="0"/>
    </format>
    <format dxfId="622">
      <pivotArea field="0" type="button" dataOnly="0" labelOnly="1" outline="0" axis="axisRow" fieldPosition="0"/>
    </format>
    <format dxfId="621">
      <pivotArea dataOnly="0" labelOnly="1" fieldPosition="0">
        <references count="1">
          <reference field="0" count="0"/>
        </references>
      </pivotArea>
    </format>
    <format dxfId="620">
      <pivotArea dataOnly="0" labelOnly="1" grandRow="1" outline="0" fieldPosition="0"/>
    </format>
    <format dxfId="619">
      <pivotArea dataOnly="0" labelOnly="1" fieldPosition="0">
        <references count="1">
          <reference field="18" count="0"/>
        </references>
      </pivotArea>
    </format>
    <format dxfId="61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F88CFE-18FF-4920-A5A1-DCBC60420AD8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X6:AG17" firstHeaderRow="0" firstDataRow="1" firstDataCol="1"/>
  <pivotFields count="15">
    <pivotField showAll="0"/>
    <pivotField axis="axisRow" showAll="0">
      <items count="12">
        <item x="0"/>
        <item x="1"/>
        <item x="2"/>
        <item x="3"/>
        <item x="4"/>
        <item x="5"/>
        <item m="1" x="10"/>
        <item x="6"/>
        <item x="7"/>
        <item x="8"/>
        <item x="9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_x000a_Trans" fld="4" baseField="1" baseItem="0"/>
    <dataField name="Sum of_x000a_Premium" fld="5" baseField="0" baseItem="0"/>
    <dataField name="Sum of Incremental _x000a_Premium" fld="6" baseField="0" baseItem="0"/>
    <dataField name="Sum of_x000a_Arrers" fld="7" baseField="0" baseItem="0"/>
    <dataField name="Sum of Loan _x000a_Installment" fld="8" baseField="0" baseItem="0"/>
    <dataField name="Sum of Loan _x000a_Interest" fld="9" baseField="0" baseItem="0"/>
    <dataField name="Sum of Misc _x000a_Arrear" fld="10" baseField="0" baseItem="0"/>
    <dataField name="Sum of Service _x000a_Tax" fld="11" baseField="0" baseItem="0"/>
    <dataField name="Sum of Total Premium" fld="12" baseField="0" baseItem="0"/>
  </dataFields>
  <formats count="34">
    <format dxfId="677">
      <pivotArea field="1" type="button" dataOnly="0" labelOnly="1" outline="0" axis="axisRow" fieldPosition="0"/>
    </format>
    <format dxfId="676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675">
      <pivotArea type="all" dataOnly="0" outline="0" fieldPosition="0"/>
    </format>
    <format dxfId="674">
      <pivotArea outline="0" collapsedLevelsAreSubtotals="1" fieldPosition="0"/>
    </format>
    <format dxfId="673">
      <pivotArea field="1" type="button" dataOnly="0" labelOnly="1" outline="0" axis="axisRow" fieldPosition="0"/>
    </format>
    <format dxfId="672">
      <pivotArea dataOnly="0" labelOnly="1" fieldPosition="0">
        <references count="1">
          <reference field="1" count="0"/>
        </references>
      </pivotArea>
    </format>
    <format dxfId="671">
      <pivotArea dataOnly="0" labelOnly="1" grandRow="1" outline="0" fieldPosition="0"/>
    </format>
    <format dxfId="670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669">
      <pivotArea type="all" dataOnly="0" outline="0" fieldPosition="0"/>
    </format>
    <format dxfId="668">
      <pivotArea outline="0" collapsedLevelsAreSubtotals="1" fieldPosition="0"/>
    </format>
    <format dxfId="667">
      <pivotArea field="1" type="button" dataOnly="0" labelOnly="1" outline="0" axis="axisRow" fieldPosition="0"/>
    </format>
    <format dxfId="666">
      <pivotArea dataOnly="0" labelOnly="1" fieldPosition="0">
        <references count="1">
          <reference field="1" count="0"/>
        </references>
      </pivotArea>
    </format>
    <format dxfId="665">
      <pivotArea dataOnly="0" labelOnly="1" grandRow="1" outline="0" fieldPosition="0"/>
    </format>
    <format dxfId="664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663">
      <pivotArea type="all" dataOnly="0" outline="0" fieldPosition="0"/>
    </format>
    <format dxfId="662">
      <pivotArea outline="0" collapsedLevelsAreSubtotals="1" fieldPosition="0"/>
    </format>
    <format dxfId="661">
      <pivotArea field="1" type="button" dataOnly="0" labelOnly="1" outline="0" axis="axisRow" fieldPosition="0"/>
    </format>
    <format dxfId="660">
      <pivotArea dataOnly="0" labelOnly="1" fieldPosition="0">
        <references count="1">
          <reference field="1" count="0"/>
        </references>
      </pivotArea>
    </format>
    <format dxfId="659">
      <pivotArea dataOnly="0" labelOnly="1" grandRow="1" outline="0" fieldPosition="0"/>
    </format>
    <format dxfId="658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657">
      <pivotArea field="1" type="button" dataOnly="0" labelOnly="1" outline="0" axis="axisRow" fieldPosition="0"/>
    </format>
    <format dxfId="656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655">
      <pivotArea type="all" dataOnly="0" outline="0" fieldPosition="0"/>
    </format>
    <format dxfId="654">
      <pivotArea outline="0" collapsedLevelsAreSubtotals="1" fieldPosition="0"/>
    </format>
    <format dxfId="653">
      <pivotArea field="1" type="button" dataOnly="0" labelOnly="1" outline="0" axis="axisRow" fieldPosition="0"/>
    </format>
    <format dxfId="652">
      <pivotArea dataOnly="0" labelOnly="1" fieldPosition="0">
        <references count="1">
          <reference field="1" count="0"/>
        </references>
      </pivotArea>
    </format>
    <format dxfId="651">
      <pivotArea dataOnly="0" labelOnly="1" grandRow="1" outline="0" fieldPosition="0"/>
    </format>
    <format dxfId="650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649">
      <pivotArea type="all" dataOnly="0" outline="0" fieldPosition="0"/>
    </format>
    <format dxfId="648">
      <pivotArea outline="0" collapsedLevelsAreSubtotals="1" fieldPosition="0"/>
    </format>
    <format dxfId="647">
      <pivotArea field="1" type="button" dataOnly="0" labelOnly="1" outline="0" axis="axisRow" fieldPosition="0"/>
    </format>
    <format dxfId="646">
      <pivotArea dataOnly="0" labelOnly="1" fieldPosition="0">
        <references count="1">
          <reference field="1" count="0"/>
        </references>
      </pivotArea>
    </format>
    <format dxfId="645">
      <pivotArea dataOnly="0" labelOnly="1" grandRow="1" outline="0" fieldPosition="0"/>
    </format>
    <format dxfId="644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4BABE3-6AEE-4F2E-97CB-379A0AE126FF}" name="PivotTable8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 rowHeaderCaption="FY">
  <location ref="AZ5:BC14" firstHeaderRow="0" firstDataRow="1" firstDataCol="1"/>
  <pivotFields count="10">
    <pivotField showAll="0"/>
    <pivotField axis="axisRow" showAll="0">
      <items count="10">
        <item x="0"/>
        <item x="1"/>
        <item x="2"/>
        <item x="3"/>
        <item x="4"/>
        <item x="5"/>
        <item x="6"/>
        <item m="1" x="8"/>
        <item x="7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Employee Contribution" fld="5" baseField="0" baseItem="0"/>
    <dataField name=" Employer Contribution" fld="6" baseField="0" baseItem="0"/>
    <dataField name="Sum of Total" fld="7" baseField="0" baseItem="0"/>
  </dataFields>
  <formats count="12">
    <format dxfId="689">
      <pivotArea type="all" dataOnly="0" outline="0" fieldPosition="0"/>
    </format>
    <format dxfId="688">
      <pivotArea outline="0" collapsedLevelsAreSubtotals="1" fieldPosition="0"/>
    </format>
    <format dxfId="687">
      <pivotArea field="1" type="button" dataOnly="0" labelOnly="1" outline="0" axis="axisRow" fieldPosition="0"/>
    </format>
    <format dxfId="686">
      <pivotArea dataOnly="0" labelOnly="1" fieldPosition="0">
        <references count="1">
          <reference field="1" count="0"/>
        </references>
      </pivotArea>
    </format>
    <format dxfId="685">
      <pivotArea dataOnly="0" labelOnly="1" grandRow="1" outline="0" fieldPosition="0"/>
    </format>
    <format dxfId="68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83">
      <pivotArea type="all" dataOnly="0" outline="0" fieldPosition="0"/>
    </format>
    <format dxfId="682">
      <pivotArea outline="0" collapsedLevelsAreSubtotals="1" fieldPosition="0"/>
    </format>
    <format dxfId="681">
      <pivotArea field="1" type="button" dataOnly="0" labelOnly="1" outline="0" axis="axisRow" fieldPosition="0"/>
    </format>
    <format dxfId="680">
      <pivotArea dataOnly="0" labelOnly="1" fieldPosition="0">
        <references count="1">
          <reference field="1" count="0"/>
        </references>
      </pivotArea>
    </format>
    <format dxfId="679">
      <pivotArea dataOnly="0" labelOnly="1" grandRow="1" outline="0" fieldPosition="0"/>
    </format>
    <format dxfId="67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F41391-1D21-4BD4-9D67-61CD831833E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3:F45" firstHeaderRow="1" firstDataRow="1" firstDataCol="1"/>
  <pivotFields count="13">
    <pivotField axis="axisRow" showAll="0">
      <items count="12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494">
        <item h="1" x="368"/>
        <item h="1" x="107"/>
        <item h="1" x="103"/>
        <item h="1" x="246"/>
        <item h="1" x="232"/>
        <item h="1" x="102"/>
        <item h="1" x="99"/>
        <item h="1" x="91"/>
        <item h="1" x="212"/>
        <item h="1" x="237"/>
        <item h="1" m="1" x="470"/>
        <item h="1" x="50"/>
        <item h="1" x="112"/>
        <item h="1" x="5"/>
        <item h="1" m="1" x="483"/>
        <item h="1" x="269"/>
        <item h="1" x="111"/>
        <item h="1" x="392"/>
        <item h="1" x="364"/>
        <item h="1" x="320"/>
        <item h="1" x="136"/>
        <item h="1" x="282"/>
        <item h="1" x="381"/>
        <item h="1" x="37"/>
        <item h="1" x="310"/>
        <item h="1" x="275"/>
        <item h="1" x="334"/>
        <item h="1" x="197"/>
        <item h="1" x="57"/>
        <item h="1" x="358"/>
        <item h="1" x="42"/>
        <item h="1" x="24"/>
        <item h="1" x="27"/>
        <item h="1" x="366"/>
        <item h="1" x="405"/>
        <item h="1" x="313"/>
        <item h="1" x="125"/>
        <item h="1" x="14"/>
        <item h="1" x="289"/>
        <item h="1" x="133"/>
        <item h="1" x="408"/>
        <item h="1" x="315"/>
        <item h="1" x="171"/>
        <item h="1" x="335"/>
        <item h="1" x="336"/>
        <item h="1" x="323"/>
        <item h="1" x="350"/>
        <item h="1" x="149"/>
        <item h="1" x="202"/>
        <item h="1" x="12"/>
        <item h="1" m="1" x="468"/>
        <item h="1" m="1" x="465"/>
        <item h="1" x="84"/>
        <item h="1" x="395"/>
        <item h="1" x="227"/>
        <item h="1" x="354"/>
        <item h="1" x="344"/>
        <item h="1" x="191"/>
        <item h="1" x="192"/>
        <item h="1" x="28"/>
        <item h="1" x="35"/>
        <item h="1" x="226"/>
        <item h="1" x="357"/>
        <item h="1" x="356"/>
        <item h="1" m="1" x="467"/>
        <item x="10"/>
        <item h="1" x="371"/>
        <item h="1" x="384"/>
        <item h="1" x="383"/>
        <item h="1" x="373"/>
        <item h="1" x="104"/>
        <item h="1" x="387"/>
        <item h="1" x="58"/>
        <item h="1" x="59"/>
        <item h="1" m="1" x="475"/>
        <item h="1" x="79"/>
        <item h="1" x="80"/>
        <item h="1" x="81"/>
        <item h="1" x="82"/>
        <item h="1" x="118"/>
        <item h="1" x="119"/>
        <item h="1" x="137"/>
        <item h="1" x="138"/>
        <item h="1" x="139"/>
        <item h="1" x="140"/>
        <item h="1" x="141"/>
        <item h="1" x="143"/>
        <item h="1" x="144"/>
        <item h="1" x="145"/>
        <item h="1" x="4"/>
        <item h="1" x="11"/>
        <item h="1" x="277"/>
        <item h="1" x="264"/>
        <item h="1" m="1" x="481"/>
        <item h="1" x="51"/>
        <item h="1" x="48"/>
        <item h="1" x="88"/>
        <item h="1" x="44"/>
        <item h="1" x="105"/>
        <item h="1" x="360"/>
        <item h="1" x="170"/>
        <item h="1" x="262"/>
        <item h="1" x="228"/>
        <item h="1" x="17"/>
        <item h="1" x="3"/>
        <item h="1" x="56"/>
        <item h="1" x="15"/>
        <item h="1" x="333"/>
        <item h="1" x="40"/>
        <item h="1" x="304"/>
        <item h="1" x="258"/>
        <item h="1" x="303"/>
        <item h="1" m="1" x="491"/>
        <item h="1" x="174"/>
        <item h="1" x="189"/>
        <item h="1" x="155"/>
        <item h="1" x="151"/>
        <item h="1" x="222"/>
        <item h="1" x="407"/>
        <item h="1" x="247"/>
        <item h="1" x="321"/>
        <item h="1" m="1" x="490"/>
        <item h="1" x="329"/>
        <item h="1" x="215"/>
        <item h="1" x="95"/>
        <item h="1" x="340"/>
        <item h="1" x="294"/>
        <item h="1" x="386"/>
        <item h="1" x="259"/>
        <item h="1" x="134"/>
        <item h="1" x="135"/>
        <item h="1" x="8"/>
        <item h="1" x="55"/>
        <item h="1" x="224"/>
        <item h="1" x="401"/>
        <item h="1" x="238"/>
        <item h="1" x="113"/>
        <item h="1" x="6"/>
        <item h="1" x="337"/>
        <item h="1" m="1" x="488"/>
        <item h="1" x="54"/>
        <item h="1" x="236"/>
        <item h="1" x="70"/>
        <item h="1" x="410"/>
        <item h="1" x="378"/>
        <item h="1" x="377"/>
        <item h="1" x="47"/>
        <item h="1" x="29"/>
        <item h="1" x="9"/>
        <item h="1" x="308"/>
        <item h="1" x="326"/>
        <item h="1" x="345"/>
        <item h="1" x="393"/>
        <item h="1" x="391"/>
        <item h="1" x="263"/>
        <item h="1" x="299"/>
        <item h="1" x="235"/>
        <item h="1" x="271"/>
        <item h="1" x="270"/>
        <item h="1" x="274"/>
        <item h="1" x="272"/>
        <item h="1" x="361"/>
        <item h="1" x="380"/>
        <item h="1" x="78"/>
        <item h="1" x="306"/>
        <item h="1" x="370"/>
        <item h="1" x="349"/>
        <item h="1" x="388"/>
        <item h="1" x="346"/>
        <item h="1" x="297"/>
        <item h="1" x="338"/>
        <item h="1" x="365"/>
        <item h="1" x="374"/>
        <item h="1" x="302"/>
        <item h="1" x="281"/>
        <item h="1" x="210"/>
        <item h="1" x="376"/>
        <item h="1" x="341"/>
        <item h="1" x="279"/>
        <item h="1" x="110"/>
        <item h="1" x="53"/>
        <item h="1" x="251"/>
        <item h="1" x="287"/>
        <item h="1" x="318"/>
        <item h="1" x="319"/>
        <item h="1" x="234"/>
        <item h="1" x="359"/>
        <item h="1" x="363"/>
        <item h="1" x="342"/>
        <item h="1" x="265"/>
        <item h="1" x="2"/>
        <item h="1" x="31"/>
        <item h="1" x="61"/>
        <item h="1" x="87"/>
        <item h="1" x="369"/>
        <item h="1" x="362"/>
        <item h="1" x="286"/>
        <item h="1" x="296"/>
        <item h="1" x="324"/>
        <item h="1" x="339"/>
        <item h="1" x="353"/>
        <item h="1" x="43"/>
        <item h="1" x="18"/>
        <item h="1" x="161"/>
        <item h="1" x="89"/>
        <item h="1" x="314"/>
        <item h="1" x="347"/>
        <item h="1" x="409"/>
        <item h="1" x="379"/>
        <item h="1" x="108"/>
        <item h="1" x="33"/>
        <item h="1" m="1" x="476"/>
        <item h="1" m="1" x="477"/>
        <item h="1" m="1" x="479"/>
        <item h="1" m="1" x="469"/>
        <item h="1" m="1" x="492"/>
        <item h="1" m="1" x="478"/>
        <item h="1" m="1" x="474"/>
        <item h="1" x="253"/>
        <item h="1" m="1" x="486"/>
        <item h="1" m="1" x="464"/>
        <item h="1" x="292"/>
        <item h="1" x="322"/>
        <item h="1" x="316"/>
        <item h="1" x="214"/>
        <item h="1" x="367"/>
        <item h="1" x="66"/>
        <item h="1" x="293"/>
        <item h="1" x="276"/>
        <item h="1" x="403"/>
        <item h="1" x="382"/>
        <item h="1" x="343"/>
        <item h="1" m="1" x="471"/>
        <item h="1" x="19"/>
        <item h="1" x="285"/>
        <item h="1" x="332"/>
        <item h="1" x="65"/>
        <item h="1" x="295"/>
        <item h="1" m="1" x="466"/>
        <item h="1" x="328"/>
        <item h="1" x="16"/>
        <item h="1" x="25"/>
        <item h="1" x="60"/>
        <item h="1" x="86"/>
        <item h="1" x="280"/>
        <item h="1" x="97"/>
        <item h="1" x="30"/>
        <item h="1" x="109"/>
        <item h="1" x="173"/>
        <item h="1" x="231"/>
        <item h="1" x="94"/>
        <item h="1" x="67"/>
        <item h="1" x="124"/>
        <item h="1" x="13"/>
        <item h="1" x="63"/>
        <item h="1" x="71"/>
        <item h="1" x="101"/>
        <item h="1" x="96"/>
        <item h="1" x="309"/>
        <item h="1" x="389"/>
        <item h="1" x="90"/>
        <item h="1" x="93"/>
        <item h="1" x="216"/>
        <item h="1" x="32"/>
        <item h="1" x="49"/>
        <item h="1" x="290"/>
        <item h="1" x="305"/>
        <item h="1" x="233"/>
        <item h="1" x="278"/>
        <item h="1" m="1" x="472"/>
        <item h="1" x="7"/>
        <item h="1" x="45"/>
        <item h="1" x="64"/>
        <item h="1" x="288"/>
        <item h="1" m="1" x="485"/>
        <item h="1" x="46"/>
        <item h="1" x="132"/>
        <item h="1" m="1" x="473"/>
        <item h="1" x="187"/>
        <item h="1" x="100"/>
        <item h="1" x="1"/>
        <item h="1" x="397"/>
        <item h="1" x="169"/>
        <item h="1" x="273"/>
        <item h="1" x="330"/>
        <item h="1" m="1" x="489"/>
        <item h="1" x="355"/>
        <item h="1" x="52"/>
        <item h="1" x="291"/>
        <item h="1" x="114"/>
        <item h="1" x="85"/>
        <item h="1" x="372"/>
        <item h="1" x="351"/>
        <item h="1" x="298"/>
        <item h="1" x="106"/>
        <item h="1" x="385"/>
        <item h="1" x="116"/>
        <item h="1" x="148"/>
        <item h="1" x="185"/>
        <item h="1" x="184"/>
        <item h="1" x="194"/>
        <item h="1" x="193"/>
        <item h="1" x="203"/>
        <item h="1" x="205"/>
        <item h="1" x="206"/>
        <item h="1" x="207"/>
        <item h="1" x="204"/>
        <item h="1" x="220"/>
        <item h="1" x="219"/>
        <item h="1" m="1" x="482"/>
        <item h="1" x="218"/>
        <item h="1" x="241"/>
        <item h="1" x="240"/>
        <item h="1" x="239"/>
        <item h="1" m="1" x="484"/>
        <item h="1" x="406"/>
        <item h="1" x="300"/>
        <item h="1" x="283"/>
        <item h="1" x="83"/>
        <item h="1" x="36"/>
        <item h="1" x="311"/>
        <item h="1" x="165"/>
        <item h="1" x="131"/>
        <item h="1" x="404"/>
        <item h="1" x="225"/>
        <item h="1" x="268"/>
        <item h="1" x="163"/>
        <item h="1" x="159"/>
        <item h="1" x="394"/>
        <item h="1" x="129"/>
        <item h="1" x="156"/>
        <item h="1" x="130"/>
        <item h="1" x="38"/>
        <item h="1" x="186"/>
        <item h="1" x="190"/>
        <item h="1" m="1" x="463"/>
        <item h="1" x="230"/>
        <item h="1" x="162"/>
        <item h="1" x="188"/>
        <item h="1" m="1" x="480"/>
        <item h="1" x="123"/>
        <item h="1" x="152"/>
        <item h="1" x="41"/>
        <item h="1" x="256"/>
        <item h="1" x="221"/>
        <item h="1" x="120"/>
        <item h="1" x="154"/>
        <item h="1" x="196"/>
        <item h="1" x="217"/>
        <item h="1" x="348"/>
        <item h="1" x="34"/>
        <item h="1" x="175"/>
        <item h="1" x="20"/>
        <item h="1" x="267"/>
        <item h="1" x="209"/>
        <item h="1" x="266"/>
        <item h="1" x="150"/>
        <item h="1" x="375"/>
        <item h="1" x="21"/>
        <item h="1" x="142"/>
        <item h="1" x="62"/>
        <item h="1" x="69"/>
        <item h="1" x="92"/>
        <item h="1" x="352"/>
        <item h="1" x="400"/>
        <item h="1" m="1" x="487"/>
        <item h="1" x="39"/>
        <item h="1" x="390"/>
        <item h="1" x="327"/>
        <item h="1" x="331"/>
        <item h="1" x="325"/>
        <item h="1" x="312"/>
        <item h="1" x="317"/>
        <item h="1" x="0"/>
        <item h="1" x="22"/>
        <item h="1" x="23"/>
        <item h="1" x="26"/>
        <item h="1" x="68"/>
        <item h="1" x="72"/>
        <item h="1" x="73"/>
        <item h="1" x="74"/>
        <item h="1" x="75"/>
        <item h="1" x="76"/>
        <item h="1" x="77"/>
        <item h="1" x="98"/>
        <item h="1" x="115"/>
        <item h="1" x="117"/>
        <item h="1" x="121"/>
        <item h="1" x="122"/>
        <item h="1" x="127"/>
        <item h="1" x="128"/>
        <item h="1" x="146"/>
        <item h="1" x="147"/>
        <item h="1" x="153"/>
        <item h="1" x="157"/>
        <item h="1" x="160"/>
        <item h="1" x="164"/>
        <item h="1" x="172"/>
        <item h="1" x="176"/>
        <item h="1" x="177"/>
        <item h="1" x="178"/>
        <item h="1" x="179"/>
        <item h="1" x="181"/>
        <item h="1" x="182"/>
        <item h="1" x="183"/>
        <item h="1" x="195"/>
        <item h="1" x="198"/>
        <item h="1" x="199"/>
        <item h="1" x="200"/>
        <item h="1" x="229"/>
        <item h="1" x="242"/>
        <item h="1" x="243"/>
        <item h="1" x="244"/>
        <item h="1" x="245"/>
        <item h="1" x="248"/>
        <item h="1" x="249"/>
        <item h="1" x="250"/>
        <item h="1" x="252"/>
        <item h="1" x="254"/>
        <item h="1" x="255"/>
        <item h="1" x="257"/>
        <item h="1" x="260"/>
        <item h="1" x="261"/>
        <item h="1" x="301"/>
        <item h="1" x="307"/>
        <item h="1" x="396"/>
        <item h="1" x="398"/>
        <item h="1" x="399"/>
        <item h="1" x="402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126"/>
        <item h="1" x="158"/>
        <item h="1" x="166"/>
        <item h="1" x="167"/>
        <item h="1" x="168"/>
        <item h="1" x="180"/>
        <item h="1" x="201"/>
        <item h="1" x="208"/>
        <item h="1" x="211"/>
        <item h="1" x="213"/>
        <item h="1" x="223"/>
        <item h="1" x="284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t="default"/>
      </items>
    </pivotField>
    <pivotField showAll="0"/>
    <pivotField showAll="0"/>
    <pivotField showAll="0"/>
  </pivotFields>
  <rowFields count="2">
    <field x="9"/>
    <field x="0"/>
  </rowFields>
  <rowItems count="12">
    <i>
      <x v="65"/>
    </i>
    <i r="1">
      <x v="78"/>
    </i>
    <i r="1">
      <x v="138"/>
    </i>
    <i r="1">
      <x v="241"/>
    </i>
    <i r="1">
      <x v="347"/>
    </i>
    <i r="1">
      <x v="486"/>
    </i>
    <i r="1">
      <x v="602"/>
    </i>
    <i r="1">
      <x v="703"/>
    </i>
    <i r="1">
      <x v="844"/>
    </i>
    <i r="1">
      <x v="1035"/>
    </i>
    <i r="1">
      <x v="1202"/>
    </i>
    <i t="grand">
      <x/>
    </i>
  </rowItems>
  <colItems count="1">
    <i/>
  </colItems>
  <dataFields count="1">
    <dataField name="Sum of Credit" fld="5" baseField="9" baseItem="65"/>
  </dataFields>
  <formats count="14">
    <format dxfId="703">
      <pivotArea type="all" dataOnly="0" outline="0" fieldPosition="0"/>
    </format>
    <format dxfId="702">
      <pivotArea outline="0" collapsedLevelsAreSubtotals="1" fieldPosition="0"/>
    </format>
    <format dxfId="701">
      <pivotArea field="9" type="button" dataOnly="0" labelOnly="1" outline="0" axis="axisRow" fieldPosition="0"/>
    </format>
    <format dxfId="700">
      <pivotArea dataOnly="0" labelOnly="1" fieldPosition="0">
        <references count="1">
          <reference field="9" count="0"/>
        </references>
      </pivotArea>
    </format>
    <format dxfId="699">
      <pivotArea dataOnly="0" labelOnly="1" grandRow="1" outline="0" fieldPosition="0"/>
    </format>
    <format dxfId="698">
      <pivotArea dataOnly="0" labelOnly="1" fieldPosition="0">
        <references count="2">
          <reference field="0" count="10">
            <x v="78"/>
            <x v="138"/>
            <x v="241"/>
            <x v="347"/>
            <x v="486"/>
            <x v="602"/>
            <x v="703"/>
            <x v="844"/>
            <x v="1035"/>
            <x v="1202"/>
          </reference>
          <reference field="9" count="0" selected="0"/>
        </references>
      </pivotArea>
    </format>
    <format dxfId="697">
      <pivotArea dataOnly="0" labelOnly="1" outline="0" axis="axisValues" fieldPosition="0"/>
    </format>
    <format dxfId="696">
      <pivotArea type="all" dataOnly="0" outline="0" fieldPosition="0"/>
    </format>
    <format dxfId="695">
      <pivotArea outline="0" collapsedLevelsAreSubtotals="1" fieldPosition="0"/>
    </format>
    <format dxfId="694">
      <pivotArea field="9" type="button" dataOnly="0" labelOnly="1" outline="0" axis="axisRow" fieldPosition="0"/>
    </format>
    <format dxfId="693">
      <pivotArea dataOnly="0" labelOnly="1" fieldPosition="0">
        <references count="1">
          <reference field="9" count="0"/>
        </references>
      </pivotArea>
    </format>
    <format dxfId="692">
      <pivotArea dataOnly="0" labelOnly="1" grandRow="1" outline="0" fieldPosition="0"/>
    </format>
    <format dxfId="691">
      <pivotArea dataOnly="0" labelOnly="1" fieldPosition="0">
        <references count="2">
          <reference field="0" count="10">
            <x v="78"/>
            <x v="138"/>
            <x v="241"/>
            <x v="347"/>
            <x v="486"/>
            <x v="602"/>
            <x v="703"/>
            <x v="844"/>
            <x v="1035"/>
            <x v="1202"/>
          </reference>
          <reference field="9" count="0" selected="0"/>
        </references>
      </pivotArea>
    </format>
    <format dxfId="69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E7653D-721D-4DD8-B185-26294522CC01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3:B45" firstHeaderRow="1" firstDataRow="1" firstDataCol="1"/>
  <pivotFields count="29">
    <pivotField showAll="0"/>
    <pivotField showAll="0"/>
    <pivotField numFmtId="164" showAll="0"/>
    <pivotField showAll="0"/>
    <pivotField axis="axisRow" numFmtId="164" showAll="0">
      <items count="190">
        <item x="0"/>
        <item x="1"/>
        <item x="2"/>
        <item x="3"/>
        <item x="5"/>
        <item x="4"/>
        <item x="6"/>
        <item x="7"/>
        <item x="8"/>
        <item x="10"/>
        <item m="1" x="188"/>
        <item x="11"/>
        <item x="12"/>
        <item x="9"/>
        <item x="13"/>
        <item x="14"/>
        <item x="16"/>
        <item x="15"/>
        <item x="23"/>
        <item x="19"/>
        <item x="21"/>
        <item x="22"/>
        <item x="20"/>
        <item x="24"/>
        <item x="25"/>
        <item x="26"/>
        <item x="27"/>
        <item x="28"/>
        <item x="29"/>
        <item x="30"/>
        <item x="37"/>
        <item x="31"/>
        <item x="38"/>
        <item x="32"/>
        <item x="39"/>
        <item x="33"/>
        <item x="41"/>
        <item x="34"/>
        <item x="35"/>
        <item x="36"/>
        <item x="40"/>
        <item x="42"/>
        <item x="54"/>
        <item x="43"/>
        <item x="44"/>
        <item x="45"/>
        <item x="46"/>
        <item x="47"/>
        <item x="48"/>
        <item x="55"/>
        <item x="49"/>
        <item x="50"/>
        <item x="51"/>
        <item x="52"/>
        <item x="56"/>
        <item x="53"/>
        <item x="58"/>
        <item x="69"/>
        <item x="72"/>
        <item x="59"/>
        <item x="60"/>
        <item x="61"/>
        <item x="73"/>
        <item x="62"/>
        <item x="63"/>
        <item x="17"/>
        <item x="64"/>
        <item x="71"/>
        <item x="70"/>
        <item x="75"/>
        <item x="65"/>
        <item x="66"/>
        <item x="74"/>
        <item x="67"/>
        <item x="68"/>
        <item x="76"/>
        <item x="77"/>
        <item x="88"/>
        <item x="78"/>
        <item x="79"/>
        <item x="80"/>
        <item x="81"/>
        <item x="82"/>
        <item x="90"/>
        <item x="83"/>
        <item x="84"/>
        <item x="85"/>
        <item x="86"/>
        <item x="89"/>
        <item x="87"/>
        <item x="91"/>
        <item x="104"/>
        <item x="92"/>
        <item x="93"/>
        <item x="94"/>
        <item x="95"/>
        <item x="96"/>
        <item x="105"/>
        <item x="97"/>
        <item x="98"/>
        <item x="106"/>
        <item x="99"/>
        <item x="100"/>
        <item x="101"/>
        <item x="102"/>
        <item x="103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7"/>
        <item x="126"/>
        <item x="128"/>
        <item x="129"/>
        <item x="130"/>
        <item x="131"/>
        <item x="132"/>
        <item x="133"/>
        <item x="135"/>
        <item x="134"/>
        <item x="136"/>
        <item x="137"/>
        <item x="138"/>
        <item x="139"/>
        <item x="140"/>
        <item x="141"/>
        <item x="143"/>
        <item x="142"/>
        <item x="145"/>
        <item x="144"/>
        <item x="147"/>
        <item x="146"/>
        <item x="148"/>
        <item x="149"/>
        <item x="150"/>
        <item x="151"/>
        <item x="152"/>
        <item x="154"/>
        <item x="153"/>
        <item x="155"/>
        <item x="156"/>
        <item x="157"/>
        <item x="158"/>
        <item x="159"/>
        <item x="160"/>
        <item x="161"/>
        <item x="162"/>
        <item x="163"/>
        <item x="165"/>
        <item x="164"/>
        <item x="166"/>
        <item x="167"/>
        <item x="168"/>
        <item x="18"/>
        <item x="57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t="default"/>
      </items>
    </pivotField>
    <pivotField showAll="0"/>
    <pivotField axis="axisRow" showAll="0">
      <items count="184">
        <item h="1" x="44"/>
        <item h="1" m="1" x="182"/>
        <item h="1" x="106"/>
        <item h="1" x="150"/>
        <item h="1" x="140"/>
        <item h="1" x="146"/>
        <item h="1" x="157"/>
        <item h="1" x="93"/>
        <item h="1" x="124"/>
        <item h="1" x="48"/>
        <item h="1" x="77"/>
        <item x="45"/>
        <item h="1" x="31"/>
        <item h="1" x="30"/>
        <item h="1" x="46"/>
        <item h="1" m="1" x="181"/>
        <item h="1" x="131"/>
        <item h="1" x="112"/>
        <item h="1" x="78"/>
        <item h="1" x="79"/>
        <item h="1" x="80"/>
        <item h="1" x="64"/>
        <item h="1" x="61"/>
        <item h="1" x="63"/>
        <item h="1" x="47"/>
        <item h="1" x="62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7"/>
        <item h="1" x="108"/>
        <item h="1" x="109"/>
        <item h="1" x="110"/>
        <item h="1" x="111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5"/>
        <item h="1" x="126"/>
        <item h="1" x="127"/>
        <item h="1" x="128"/>
        <item h="1" x="129"/>
        <item h="1" x="130"/>
        <item h="1" x="132"/>
        <item h="1" x="133"/>
        <item h="1" x="134"/>
        <item h="1" x="135"/>
        <item h="1" x="136"/>
        <item h="1" x="137"/>
        <item h="1" x="138"/>
        <item h="1" x="139"/>
        <item h="1" x="141"/>
        <item h="1" x="142"/>
        <item h="1" x="143"/>
        <item h="1" x="144"/>
        <item h="1" x="145"/>
        <item h="1" x="147"/>
        <item h="1" x="148"/>
        <item h="1" x="149"/>
        <item h="1" x="151"/>
        <item h="1" x="152"/>
        <item h="1" x="153"/>
        <item h="1" x="154"/>
        <item h="1" x="155"/>
        <item h="1" x="156"/>
        <item h="1" x="158"/>
        <item h="1" x="159"/>
        <item h="1" m="1" x="177"/>
        <item h="1" x="160"/>
        <item h="1" x="161"/>
        <item h="1" x="162"/>
        <item h="1" m="1" x="178"/>
        <item h="1" x="164"/>
        <item h="1" m="1" x="180"/>
        <item h="1" x="165"/>
        <item h="1" x="166"/>
        <item h="1" x="167"/>
        <item h="1" x="168"/>
        <item h="1" x="169"/>
        <item h="1" x="170"/>
        <item h="1" x="171"/>
        <item h="1" x="172"/>
        <item h="1" m="1" x="179"/>
        <item h="1" x="163"/>
        <item h="1" x="173"/>
        <item h="1" x="174"/>
        <item h="1" x="175"/>
        <item h="1" x="17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2">
    <field x="6"/>
    <field x="4"/>
  </rowFields>
  <rowItems count="12">
    <i>
      <x v="11"/>
    </i>
    <i r="1">
      <x v="32"/>
    </i>
    <i r="1">
      <x v="49"/>
    </i>
    <i r="1">
      <x v="68"/>
    </i>
    <i r="1">
      <x v="83"/>
    </i>
    <i r="1">
      <x v="100"/>
    </i>
    <i r="1">
      <x v="115"/>
    </i>
    <i r="1">
      <x v="130"/>
    </i>
    <i r="1">
      <x v="149"/>
    </i>
    <i r="1">
      <x v="163"/>
    </i>
    <i r="1">
      <x v="182"/>
    </i>
    <i t="grand">
      <x/>
    </i>
  </rowItems>
  <colItems count="1">
    <i/>
  </colItems>
  <dataFields count="1">
    <dataField name="Sum of Net. Payable Amount" fld="27" baseField="0" baseItem="0"/>
  </dataFields>
  <formats count="15">
    <format dxfId="718">
      <pivotArea dataOnly="0" labelOnly="1" fieldPosition="0">
        <references count="2">
          <reference field="4" count="9">
            <x v="32"/>
            <x v="49"/>
            <x v="68"/>
            <x v="83"/>
            <x v="100"/>
            <x v="115"/>
            <x v="130"/>
            <x v="149"/>
            <x v="163"/>
          </reference>
          <reference field="6" count="0" selected="0"/>
        </references>
      </pivotArea>
    </format>
    <format dxfId="717">
      <pivotArea type="all" dataOnly="0" outline="0" fieldPosition="0"/>
    </format>
    <format dxfId="716">
      <pivotArea outline="0" collapsedLevelsAreSubtotals="1" fieldPosition="0"/>
    </format>
    <format dxfId="715">
      <pivotArea field="6" type="button" dataOnly="0" labelOnly="1" outline="0" axis="axisRow" fieldPosition="0"/>
    </format>
    <format dxfId="714">
      <pivotArea dataOnly="0" labelOnly="1" fieldPosition="0">
        <references count="1">
          <reference field="6" count="0"/>
        </references>
      </pivotArea>
    </format>
    <format dxfId="713">
      <pivotArea dataOnly="0" labelOnly="1" grandRow="1" outline="0" fieldPosition="0"/>
    </format>
    <format dxfId="712">
      <pivotArea dataOnly="0" labelOnly="1" fieldPosition="0">
        <references count="2">
          <reference field="4" count="10">
            <x v="32"/>
            <x v="49"/>
            <x v="68"/>
            <x v="83"/>
            <x v="100"/>
            <x v="115"/>
            <x v="130"/>
            <x v="149"/>
            <x v="163"/>
            <x v="182"/>
          </reference>
          <reference field="6" count="0" selected="0"/>
        </references>
      </pivotArea>
    </format>
    <format dxfId="711">
      <pivotArea dataOnly="0" labelOnly="1" outline="0" axis="axisValues" fieldPosition="0"/>
    </format>
    <format dxfId="710">
      <pivotArea type="all" dataOnly="0" outline="0" fieldPosition="0"/>
    </format>
    <format dxfId="709">
      <pivotArea outline="0" collapsedLevelsAreSubtotals="1" fieldPosition="0"/>
    </format>
    <format dxfId="708">
      <pivotArea field="6" type="button" dataOnly="0" labelOnly="1" outline="0" axis="axisRow" fieldPosition="0"/>
    </format>
    <format dxfId="707">
      <pivotArea dataOnly="0" labelOnly="1" fieldPosition="0">
        <references count="1">
          <reference field="6" count="0"/>
        </references>
      </pivotArea>
    </format>
    <format dxfId="706">
      <pivotArea dataOnly="0" labelOnly="1" grandRow="1" outline="0" fieldPosition="0"/>
    </format>
    <format dxfId="705">
      <pivotArea dataOnly="0" labelOnly="1" fieldPosition="0">
        <references count="2">
          <reference field="4" count="10">
            <x v="32"/>
            <x v="49"/>
            <x v="68"/>
            <x v="83"/>
            <x v="100"/>
            <x v="115"/>
            <x v="130"/>
            <x v="149"/>
            <x v="163"/>
            <x v="182"/>
          </reference>
          <reference field="6" count="0" selected="0"/>
        </references>
      </pivotArea>
    </format>
    <format dxfId="70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391F63-EB33-4E8E-B3E1-BBE3CA437FD0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 rowHeaderCaption="FY">
  <location ref="A3:V17" firstHeaderRow="0" firstDataRow="1" firstDataCol="1"/>
  <pivotFields count="29"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h="1" m="1" x="13"/>
        <item x="9"/>
        <item x="10"/>
        <item x="11"/>
        <item x="12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</pivotFields>
  <rowFields count="1">
    <field x="5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</colItems>
  <dataFields count="21">
    <dataField name="  Pay" fld="7" baseField="0" baseItem="0"/>
    <dataField name=" DA" fld="8" baseField="0" baseItem="0"/>
    <dataField name=" HRA" fld="9" baseField="0" baseItem="0"/>
    <dataField name=" ROP" fld="10" baseField="0" baseItem="0"/>
    <dataField name=" Bonus" fld="11" baseField="0" baseItem="0"/>
    <dataField name=" PL_x000a_Arrer" fld="12" baseField="0" baseItem="0"/>
    <dataField name="Sum of CCA" fld="14" baseField="0" baseItem="0"/>
    <dataField name="SI Loan " fld="13" baseField="0" baseItem="0"/>
    <dataField name=" Gross_x000a_Amount" fld="15" baseField="0" baseItem="0"/>
    <dataField name=" SI" fld="16" baseField="0" baseItem="0"/>
    <dataField name=" NPS" fld="18" baseField="0" baseItem="0"/>
    <dataField name=" GIS" fld="19" baseField="0" baseItem="0"/>
    <dataField name=" GIS_x000a_Tax" fld="20" baseField="0" baseItem="0"/>
    <dataField name=" H.F.R.F." fld="21" baseField="0" baseItem="0"/>
    <dataField name=" C M_x000a_FUND" fld="22" baseField="0" baseItem="0"/>
    <dataField name=" GPF_x000a_2004" fld="23" baseField="0" baseItem="0"/>
    <dataField name="RGHS " fld="24" baseField="0" baseItem="0"/>
    <dataField name="Itax " fld="25" baseField="0" baseItem="0"/>
    <dataField name="SI Loan EMI" fld="17" baseField="0" baseItem="0"/>
    <dataField name=" Total_x000a_Deduction" fld="26" baseField="0" baseItem="0"/>
    <dataField name=" Net._x000a_Payable_x000a_Amount" fld="27" baseField="0" baseItem="0"/>
  </dataFields>
  <formats count="50">
    <format dxfId="768">
      <pivotArea type="all" dataOnly="0" outline="0" fieldPosition="0"/>
    </format>
    <format dxfId="767">
      <pivotArea outline="0" collapsedLevelsAreSubtotals="1" fieldPosition="0"/>
    </format>
    <format dxfId="766">
      <pivotArea field="5" type="button" dataOnly="0" labelOnly="1" outline="0" axis="axisRow" fieldPosition="0"/>
    </format>
    <format dxfId="765">
      <pivotArea dataOnly="0" labelOnly="1" grandRow="1" outline="0" fieldPosition="0"/>
    </format>
    <format dxfId="764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9"/>
            <x v="10"/>
            <x v="11"/>
            <x v="12"/>
            <x v="13"/>
            <x v="14"/>
            <x v="15"/>
            <x v="19"/>
            <x v="20"/>
          </reference>
        </references>
      </pivotArea>
    </format>
    <format dxfId="763">
      <pivotArea type="all" dataOnly="0" outline="0" fieldPosition="0"/>
    </format>
    <format dxfId="762">
      <pivotArea outline="0" collapsedLevelsAreSubtotals="1" fieldPosition="0"/>
    </format>
    <format dxfId="761">
      <pivotArea field="5" type="button" dataOnly="0" labelOnly="1" outline="0" axis="axisRow" fieldPosition="0"/>
    </format>
    <format dxfId="760">
      <pivotArea dataOnly="0" labelOnly="1" grandRow="1" outline="0" fieldPosition="0"/>
    </format>
    <format dxfId="759">
      <pivotArea dataOnly="0" labelOnly="1" outline="0" fieldPosition="0">
        <references count="1">
          <reference field="4294967294" count="16">
            <x v="0"/>
            <x v="1"/>
            <x v="2"/>
            <x v="3"/>
            <x v="4"/>
            <x v="5"/>
            <x v="8"/>
            <x v="9"/>
            <x v="10"/>
            <x v="11"/>
            <x v="12"/>
            <x v="13"/>
            <x v="14"/>
            <x v="15"/>
            <x v="19"/>
            <x v="20"/>
          </reference>
        </references>
      </pivotArea>
    </format>
    <format dxfId="758">
      <pivotArea type="all" dataOnly="0" outline="0" fieldPosition="0"/>
    </format>
    <format dxfId="757">
      <pivotArea outline="0" collapsedLevelsAreSubtotals="1" fieldPosition="0"/>
    </format>
    <format dxfId="756">
      <pivotArea field="5" type="button" dataOnly="0" labelOnly="1" outline="0" axis="axisRow" fieldPosition="0"/>
    </format>
    <format dxfId="755">
      <pivotArea dataOnly="0" labelOnly="1" grandRow="1" outline="0" fieldPosition="0"/>
    </format>
    <format dxfId="754">
      <pivotArea dataOnly="0" labelOnly="1" outline="0" fieldPosition="0">
        <references count="1">
          <reference field="4294967294" count="16">
            <x v="0"/>
            <x v="1"/>
            <x v="2"/>
            <x v="3"/>
            <x v="4"/>
            <x v="5"/>
            <x v="8"/>
            <x v="9"/>
            <x v="10"/>
            <x v="11"/>
            <x v="12"/>
            <x v="13"/>
            <x v="14"/>
            <x v="15"/>
            <x v="19"/>
            <x v="20"/>
          </reference>
        </references>
      </pivotArea>
    </format>
    <format dxfId="753">
      <pivotArea type="all" dataOnly="0" outline="0" fieldPosition="0"/>
    </format>
    <format dxfId="752">
      <pivotArea field="5" type="button" dataOnly="0" labelOnly="1" outline="0" axis="axisRow" fieldPosition="0"/>
    </format>
    <format dxfId="751">
      <pivotArea dataOnly="0" labelOnly="1" outline="0" fieldPosition="0">
        <references count="1">
          <reference field="4294967294" count="16">
            <x v="0"/>
            <x v="1"/>
            <x v="2"/>
            <x v="3"/>
            <x v="4"/>
            <x v="5"/>
            <x v="8"/>
            <x v="9"/>
            <x v="10"/>
            <x v="11"/>
            <x v="12"/>
            <x v="13"/>
            <x v="14"/>
            <x v="15"/>
            <x v="19"/>
            <x v="20"/>
          </reference>
        </references>
      </pivotArea>
    </format>
    <format dxfId="750">
      <pivotArea type="all" dataOnly="0" outline="0" fieldPosition="0"/>
    </format>
    <format dxfId="749">
      <pivotArea field="5" type="button" dataOnly="0" labelOnly="1" outline="0" axis="axisRow" fieldPosition="0"/>
    </format>
    <format dxfId="748">
      <pivotArea dataOnly="0" labelOnly="1" outline="0" fieldPosition="0">
        <references count="1">
          <reference field="4294967294" count="16">
            <x v="0"/>
            <x v="1"/>
            <x v="2"/>
            <x v="3"/>
            <x v="4"/>
            <x v="5"/>
            <x v="8"/>
            <x v="9"/>
            <x v="10"/>
            <x v="11"/>
            <x v="12"/>
            <x v="13"/>
            <x v="14"/>
            <x v="15"/>
            <x v="19"/>
            <x v="20"/>
          </reference>
        </references>
      </pivotArea>
    </format>
    <format dxfId="747">
      <pivotArea field="5" type="button" dataOnly="0" labelOnly="1" outline="0" axis="axisRow" fieldPosition="0"/>
    </format>
    <format dxfId="746">
      <pivotArea dataOnly="0" labelOnly="1" outline="0" fieldPosition="0">
        <references count="1">
          <reference field="4294967294" count="17">
            <x v="0"/>
            <x v="1"/>
            <x v="2"/>
            <x v="3"/>
            <x v="4"/>
            <x v="5"/>
            <x v="8"/>
            <x v="9"/>
            <x v="10"/>
            <x v="11"/>
            <x v="12"/>
            <x v="13"/>
            <x v="14"/>
            <x v="15"/>
            <x v="16"/>
            <x v="19"/>
            <x v="20"/>
          </reference>
        </references>
      </pivotArea>
    </format>
    <format dxfId="745">
      <pivotArea outline="0" collapsedLevelsAreSubtotals="1" fieldPosition="0">
        <references count="1">
          <reference field="4294967294" count="1" selected="0">
            <x v="8"/>
          </reference>
        </references>
      </pivotArea>
    </format>
    <format dxfId="744">
      <pivotArea outline="0" collapsedLevelsAreSubtotals="1" fieldPosition="0">
        <references count="1">
          <reference field="4294967294" count="6" selected="0">
            <x v="0"/>
            <x v="1"/>
            <x v="2"/>
            <x v="3"/>
            <x v="4"/>
            <x v="5"/>
          </reference>
        </references>
      </pivotArea>
    </format>
    <format dxfId="743">
      <pivotArea outline="0" collapsedLevelsAreSubtotals="1" fieldPosition="0">
        <references count="1">
          <reference field="4294967294" count="8" selected="0"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742">
      <pivotArea outline="0" collapsedLevelsAreSubtotals="1" fieldPosition="0">
        <references count="1">
          <reference field="4294967294" count="1" selected="0">
            <x v="19"/>
          </reference>
        </references>
      </pivotArea>
    </format>
    <format dxfId="741">
      <pivotArea outline="0" collapsedLevelsAreSubtotals="1" fieldPosition="0">
        <references count="1">
          <reference field="4294967294" count="1" selected="0">
            <x v="20"/>
          </reference>
        </references>
      </pivotArea>
    </format>
    <format dxfId="740">
      <pivotArea outline="0" collapsedLevelsAreSubtotals="1" fieldPosition="0">
        <references count="1">
          <reference field="4294967294" count="1" selected="0">
            <x v="20"/>
          </reference>
        </references>
      </pivotArea>
    </format>
    <format dxfId="739">
      <pivotArea outline="0" collapsedLevelsAreSubtotals="1" fieldPosition="0">
        <references count="1">
          <reference field="4294967294" count="1" selected="0">
            <x v="17"/>
          </reference>
        </references>
      </pivotArea>
    </format>
    <format dxfId="738">
      <pivotArea outline="0" collapsedLevelsAreSubtotals="1" fieldPosition="0">
        <references count="1">
          <reference field="4294967294" count="1" selected="0">
            <x v="7"/>
          </reference>
        </references>
      </pivotArea>
    </format>
    <format dxfId="737">
      <pivotArea outline="0" collapsedLevelsAreSubtotals="1" fieldPosition="0">
        <references count="1">
          <reference field="4294967294" count="1" selected="0">
            <x v="18"/>
          </reference>
        </references>
      </pivotArea>
    </format>
    <format dxfId="736">
      <pivotArea outline="0" collapsedLevelsAreSubtotals="1" fieldPosition="0">
        <references count="1">
          <reference field="4294967294" count="1" selected="0">
            <x v="7"/>
          </reference>
        </references>
      </pivotArea>
    </format>
    <format dxfId="735">
      <pivotArea collapsedLevelsAreSubtotals="1" fieldPosition="0">
        <references count="2">
          <reference field="4294967294" count="1" selected="0">
            <x v="7"/>
          </reference>
          <reference field="5" count="1">
            <x v="13"/>
          </reference>
        </references>
      </pivotArea>
    </format>
    <format dxfId="734">
      <pivotArea collapsedLevelsAreSubtotals="1" fieldPosition="0">
        <references count="2">
          <reference field="4294967294" count="1" selected="0">
            <x v="7"/>
          </reference>
          <reference field="5" count="1">
            <x v="13"/>
          </reference>
        </references>
      </pivotArea>
    </format>
    <format dxfId="733">
      <pivotArea collapsedLevelsAreSubtotals="1" fieldPosition="0">
        <references count="2">
          <reference field="4294967294" count="1" selected="0">
            <x v="7"/>
          </reference>
          <reference field="5" count="1">
            <x v="13"/>
          </reference>
        </references>
      </pivotArea>
    </format>
    <format dxfId="732">
      <pivotArea collapsedLevelsAreSubtotals="1" fieldPosition="0">
        <references count="2">
          <reference field="4294967294" count="1" selected="0">
            <x v="7"/>
          </reference>
          <reference field="5" count="1">
            <x v="13"/>
          </reference>
        </references>
      </pivotArea>
    </format>
    <format dxfId="731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730">
      <pivotArea type="all" dataOnly="0" outline="0" fieldPosition="0"/>
    </format>
    <format dxfId="729">
      <pivotArea outline="0" collapsedLevelsAreSubtotals="1" fieldPosition="0"/>
    </format>
    <format dxfId="728">
      <pivotArea field="5" type="button" dataOnly="0" labelOnly="1" outline="0" axis="axisRow" fieldPosition="0"/>
    </format>
    <format dxfId="727">
      <pivotArea dataOnly="0" labelOnly="1" fieldPosition="0">
        <references count="1">
          <reference field="5" count="0"/>
        </references>
      </pivotArea>
    </format>
    <format dxfId="726">
      <pivotArea dataOnly="0" labelOnly="1" grandRow="1" outline="0" fieldPosition="0"/>
    </format>
    <format dxfId="725">
      <pivotArea dataOnly="0" labelOnly="1" outline="0" fieldPosition="0">
        <references count="1">
          <reference field="4294967294" count="2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</reference>
        </references>
      </pivotArea>
    </format>
    <format dxfId="724">
      <pivotArea type="all" dataOnly="0" outline="0" fieldPosition="0"/>
    </format>
    <format dxfId="723">
      <pivotArea outline="0" collapsedLevelsAreSubtotals="1" fieldPosition="0"/>
    </format>
    <format dxfId="722">
      <pivotArea field="5" type="button" dataOnly="0" labelOnly="1" outline="0" axis="axisRow" fieldPosition="0"/>
    </format>
    <format dxfId="721">
      <pivotArea dataOnly="0" labelOnly="1" fieldPosition="0">
        <references count="1">
          <reference field="5" count="0"/>
        </references>
      </pivotArea>
    </format>
    <format dxfId="720">
      <pivotArea dataOnly="0" labelOnly="1" grandRow="1" outline="0" fieldPosition="0"/>
    </format>
    <format dxfId="719">
      <pivotArea dataOnly="0" labelOnly="1" outline="0" fieldPosition="0">
        <references count="1">
          <reference field="4294967294" count="2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C125D9-53CB-4E80-B086-628CE77C4B93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4:Q9" firstHeaderRow="0" firstDataRow="1" firstDataCol="1"/>
  <pivotFields count="10">
    <pivotField axis="axisRow" showAll="0">
      <items count="3">
        <item x="0"/>
        <item m="1" x="1"/>
        <item t="default"/>
      </items>
    </pivotField>
    <pivotField axis="axisRow" dataField="1" showAll="0">
      <items count="7">
        <item m="1" x="4"/>
        <item m="1" x="5"/>
        <item x="1"/>
        <item x="0"/>
        <item x="2"/>
        <item m="1"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2">
    <field x="0"/>
    <field x="1"/>
  </rowFields>
  <rowItems count="5">
    <i>
      <x/>
    </i>
    <i r="1">
      <x v="2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" fld="1" subtotal="count" baseField="0" baseItem="0"/>
    <dataField name="Sum of Leave" fld="6" baseField="0" baseItem="0"/>
  </dataFields>
  <formats count="25">
    <format dxfId="529">
      <pivotArea field="0" type="button" dataOnly="0" labelOnly="1" outline="0" axis="axisRow" fieldPosition="0"/>
    </format>
    <format dxfId="528">
      <pivotArea dataOnly="0" labelOnly="1" outline="0" axis="axisValues" fieldPosition="0"/>
    </format>
    <format dxfId="527">
      <pivotArea field="0" type="button" dataOnly="0" labelOnly="1" outline="0" axis="axisRow" fieldPosition="0"/>
    </format>
    <format dxfId="526">
      <pivotArea dataOnly="0" labelOnly="1" outline="0" axis="axisValues" fieldPosition="0"/>
    </format>
    <format dxfId="525">
      <pivotArea type="all" dataOnly="0" outline="0" fieldPosition="0"/>
    </format>
    <format dxfId="524">
      <pivotArea outline="0" collapsedLevelsAreSubtotals="1" fieldPosition="0"/>
    </format>
    <format dxfId="523">
      <pivotArea field="0" type="button" dataOnly="0" labelOnly="1" outline="0" axis="axisRow" fieldPosition="0"/>
    </format>
    <format dxfId="522">
      <pivotArea dataOnly="0" labelOnly="1" fieldPosition="0">
        <references count="1">
          <reference field="0" count="0"/>
        </references>
      </pivotArea>
    </format>
    <format dxfId="521">
      <pivotArea dataOnly="0" labelOnly="1" grandRow="1" outline="0" fieldPosition="0"/>
    </format>
    <format dxfId="520">
      <pivotArea dataOnly="0" labelOnly="1" fieldPosition="0">
        <references count="2">
          <reference field="0" count="0" selected="0"/>
          <reference field="1" count="0"/>
        </references>
      </pivotArea>
    </format>
    <format dxfId="519">
      <pivotArea dataOnly="0" labelOnly="1" outline="0" axis="axisValues" fieldPosition="0"/>
    </format>
    <format dxfId="518">
      <pivotArea type="all" dataOnly="0" outline="0" fieldPosition="0"/>
    </format>
    <format dxfId="517">
      <pivotArea outline="0" collapsedLevelsAreSubtotals="1" fieldPosition="0"/>
    </format>
    <format dxfId="516">
      <pivotArea field="0" type="button" dataOnly="0" labelOnly="1" outline="0" axis="axisRow" fieldPosition="0"/>
    </format>
    <format dxfId="515">
      <pivotArea dataOnly="0" labelOnly="1" fieldPosition="0">
        <references count="1">
          <reference field="0" count="0"/>
        </references>
      </pivotArea>
    </format>
    <format dxfId="514">
      <pivotArea dataOnly="0" labelOnly="1" grandRow="1" outline="0" fieldPosition="0"/>
    </format>
    <format dxfId="513">
      <pivotArea dataOnly="0" labelOnly="1" fieldPosition="0">
        <references count="2">
          <reference field="0" count="0" selected="0"/>
          <reference field="1" count="0"/>
        </references>
      </pivotArea>
    </format>
    <format dxfId="5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11">
      <pivotArea type="all" dataOnly="0" outline="0" fieldPosition="0"/>
    </format>
    <format dxfId="510">
      <pivotArea outline="0" collapsedLevelsAreSubtotals="1" fieldPosition="0"/>
    </format>
    <format dxfId="509">
      <pivotArea field="0" type="button" dataOnly="0" labelOnly="1" outline="0" axis="axisRow" fieldPosition="0"/>
    </format>
    <format dxfId="508">
      <pivotArea dataOnly="0" labelOnly="1" fieldPosition="0">
        <references count="1">
          <reference field="0" count="0"/>
        </references>
      </pivotArea>
    </format>
    <format dxfId="507">
      <pivotArea dataOnly="0" labelOnly="1" grandRow="1" outline="0" fieldPosition="0"/>
    </format>
    <format dxfId="506">
      <pivotArea dataOnly="0" labelOnly="1" fieldPosition="0">
        <references count="2">
          <reference field="0" count="0" selected="0"/>
          <reference field="1" count="0"/>
        </references>
      </pivotArea>
    </format>
    <format dxfId="50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8A198C-CBDD-4D54-ABF9-1C2FB600375E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 ">
  <location ref="L4:M6" firstHeaderRow="1" firstDataRow="1" firstDataCol="1"/>
  <pivotFields count="29">
    <pivotField showAll="0"/>
    <pivotField showAll="0"/>
    <pivotField numFmtId="164" showAll="0"/>
    <pivotField showAll="0"/>
    <pivotField numFmtId="164" showAll="0"/>
    <pivotField showAll="0"/>
    <pivotField axis="axisRow" dataField="1" showAll="0">
      <items count="184">
        <item h="1" x="44"/>
        <item h="1" x="106"/>
        <item h="1" x="93"/>
        <item h="1" x="124"/>
        <item h="1" x="48"/>
        <item h="1" x="77"/>
        <item h="1" x="45"/>
        <item h="1" x="31"/>
        <item h="1" x="30"/>
        <item h="1" x="46"/>
        <item h="1" x="112"/>
        <item h="1" x="78"/>
        <item h="1" x="79"/>
        <item h="1" x="80"/>
        <item h="1" x="64"/>
        <item h="1" x="61"/>
        <item h="1" x="63"/>
        <item x="47"/>
        <item h="1" x="62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7"/>
        <item h="1" x="108"/>
        <item h="1" x="109"/>
        <item h="1" x="110"/>
        <item h="1" x="111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5"/>
        <item h="1" x="126"/>
        <item h="1" x="127"/>
        <item h="1" m="1" x="17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m="1" x="182"/>
        <item h="1" x="141"/>
        <item h="1" x="142"/>
        <item h="1" x="143"/>
        <item h="1" x="144"/>
        <item h="1" x="145"/>
        <item h="1" x="147"/>
        <item h="1" x="148"/>
        <item h="1" x="149"/>
        <item h="1" x="151"/>
        <item h="1" x="140"/>
        <item h="1" x="146"/>
        <item h="1" x="152"/>
        <item h="1" x="153"/>
        <item h="1" x="150"/>
        <item h="1" x="154"/>
        <item h="1" x="155"/>
        <item h="1" x="156"/>
        <item h="1" x="157"/>
        <item h="1" m="1" x="181"/>
        <item h="1" x="158"/>
        <item h="1" x="159"/>
        <item h="1" x="160"/>
        <item h="1" x="161"/>
        <item h="1" x="162"/>
        <item h="1" m="1" x="178"/>
        <item h="1" x="164"/>
        <item h="1" m="1" x="180"/>
        <item h="1" x="165"/>
        <item h="1" x="166"/>
        <item h="1" x="167"/>
        <item h="1" x="168"/>
        <item h="1" x="169"/>
        <item h="1" x="170"/>
        <item h="1" x="171"/>
        <item h="1" x="172"/>
        <item h="1" m="1" x="179"/>
        <item h="1" x="163"/>
        <item h="1" x="173"/>
        <item h="1" x="174"/>
        <item h="1" x="175"/>
        <item h="1" x="17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2">
    <i>
      <x v="17"/>
    </i>
    <i t="grand">
      <x/>
    </i>
  </rowItems>
  <colItems count="1">
    <i/>
  </colItems>
  <dataFields count="1">
    <dataField name="Total Times PL Cash" fld="6" subtotal="count" baseField="0" baseItem="0"/>
  </dataFields>
  <formats count="23">
    <format dxfId="552">
      <pivotArea dataOnly="0" labelOnly="1" outline="0" axis="axisValues" fieldPosition="0"/>
    </format>
    <format dxfId="551">
      <pivotArea field="6" type="button" dataOnly="0" labelOnly="1" outline="0" axis="axisRow" fieldPosition="0"/>
    </format>
    <format dxfId="550">
      <pivotArea dataOnly="0" labelOnly="1" outline="0" axis="axisValues" fieldPosition="0"/>
    </format>
    <format dxfId="549">
      <pivotArea field="6" type="button" dataOnly="0" labelOnly="1" outline="0" axis="axisRow" fieldPosition="0"/>
    </format>
    <format dxfId="548">
      <pivotArea dataOnly="0" labelOnly="1" outline="0" axis="axisValues" fieldPosition="0"/>
    </format>
    <format dxfId="547">
      <pivotArea type="all" dataOnly="0" outline="0" fieldPosition="0"/>
    </format>
    <format dxfId="546">
      <pivotArea outline="0" collapsedLevelsAreSubtotals="1" fieldPosition="0"/>
    </format>
    <format dxfId="545">
      <pivotArea field="6" type="button" dataOnly="0" labelOnly="1" outline="0" axis="axisRow" fieldPosition="0"/>
    </format>
    <format dxfId="544">
      <pivotArea dataOnly="0" labelOnly="1" fieldPosition="0">
        <references count="1">
          <reference field="6" count="0"/>
        </references>
      </pivotArea>
    </format>
    <format dxfId="543">
      <pivotArea dataOnly="0" labelOnly="1" grandRow="1" outline="0" fieldPosition="0"/>
    </format>
    <format dxfId="542">
      <pivotArea dataOnly="0" labelOnly="1" outline="0" axis="axisValues" fieldPosition="0"/>
    </format>
    <format dxfId="541">
      <pivotArea type="all" dataOnly="0" outline="0" fieldPosition="0"/>
    </format>
    <format dxfId="540">
      <pivotArea outline="0" collapsedLevelsAreSubtotals="1" fieldPosition="0"/>
    </format>
    <format dxfId="539">
      <pivotArea field="6" type="button" dataOnly="0" labelOnly="1" outline="0" axis="axisRow" fieldPosition="0"/>
    </format>
    <format dxfId="538">
      <pivotArea dataOnly="0" labelOnly="1" fieldPosition="0">
        <references count="1">
          <reference field="6" count="0"/>
        </references>
      </pivotArea>
    </format>
    <format dxfId="537">
      <pivotArea dataOnly="0" labelOnly="1" grandRow="1" outline="0" fieldPosition="0"/>
    </format>
    <format dxfId="536">
      <pivotArea dataOnly="0" labelOnly="1" outline="0" axis="axisValues" fieldPosition="0"/>
    </format>
    <format dxfId="535">
      <pivotArea type="all" dataOnly="0" outline="0" fieldPosition="0"/>
    </format>
    <format dxfId="534">
      <pivotArea outline="0" collapsedLevelsAreSubtotals="1" fieldPosition="0"/>
    </format>
    <format dxfId="533">
      <pivotArea field="6" type="button" dataOnly="0" labelOnly="1" outline="0" axis="axisRow" fieldPosition="0"/>
    </format>
    <format dxfId="532">
      <pivotArea dataOnly="0" labelOnly="1" fieldPosition="0">
        <references count="1">
          <reference field="6" count="0"/>
        </references>
      </pivotArea>
    </format>
    <format dxfId="531">
      <pivotArea dataOnly="0" labelOnly="1" grandRow="1" outline="0" fieldPosition="0"/>
    </format>
    <format dxfId="53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E71F63-51F7-470A-BFC4-10DF886418B4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5:Q18" firstHeaderRow="0" firstDataRow="1" firstDataCol="1"/>
  <pivotFields count="9">
    <pivotField axis="axisRow" showAll="0">
      <items count="2">
        <item x="0"/>
        <item t="default"/>
      </items>
    </pivotField>
    <pivotField axis="axisRow" dataField="1" showAll="0">
      <items count="2">
        <item x="0"/>
        <item t="default"/>
      </items>
    </pivotField>
    <pivotField showAll="0"/>
    <pivotField numFmtId="14" showAll="0"/>
    <pivotField numFmtId="14" showAll="0"/>
    <pivotField showAll="0"/>
    <pivotField dataField="1" showAll="0"/>
    <pivotField showAll="0"/>
    <pivotField showAll="0"/>
  </pivotFields>
  <rowFields count="2">
    <field x="0"/>
    <field x="1"/>
  </rowFields>
  <rowItems count="3">
    <i>
      <x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Count" fld="1" subtotal="count" baseField="0" baseItem="0"/>
    <dataField name="Sum of Leave" fld="6" baseField="0" baseItem="0"/>
  </dataFields>
  <formats count="21">
    <format dxfId="573">
      <pivotArea type="all" dataOnly="0" outline="0" fieldPosition="0"/>
    </format>
    <format dxfId="572">
      <pivotArea outline="0" collapsedLevelsAreSubtotals="1" fieldPosition="0"/>
    </format>
    <format dxfId="571">
      <pivotArea field="0" type="button" dataOnly="0" labelOnly="1" outline="0" axis="axisRow" fieldPosition="0"/>
    </format>
    <format dxfId="570">
      <pivotArea dataOnly="0" labelOnly="1" fieldPosition="0">
        <references count="1">
          <reference field="0" count="0"/>
        </references>
      </pivotArea>
    </format>
    <format dxfId="569">
      <pivotArea dataOnly="0" labelOnly="1" grandRow="1" outline="0" fieldPosition="0"/>
    </format>
    <format dxfId="568">
      <pivotArea dataOnly="0" labelOnly="1" fieldPosition="0">
        <references count="2">
          <reference field="0" count="0" selected="0"/>
          <reference field="1" count="0"/>
        </references>
      </pivotArea>
    </format>
    <format dxfId="567">
      <pivotArea dataOnly="0" labelOnly="1" outline="0" axis="axisValues" fieldPosition="0"/>
    </format>
    <format dxfId="566">
      <pivotArea type="all" dataOnly="0" outline="0" fieldPosition="0"/>
    </format>
    <format dxfId="565">
      <pivotArea outline="0" collapsedLevelsAreSubtotals="1" fieldPosition="0"/>
    </format>
    <format dxfId="564">
      <pivotArea field="0" type="button" dataOnly="0" labelOnly="1" outline="0" axis="axisRow" fieldPosition="0"/>
    </format>
    <format dxfId="563">
      <pivotArea dataOnly="0" labelOnly="1" fieldPosition="0">
        <references count="1">
          <reference field="0" count="0"/>
        </references>
      </pivotArea>
    </format>
    <format dxfId="562">
      <pivotArea dataOnly="0" labelOnly="1" grandRow="1" outline="0" fieldPosition="0"/>
    </format>
    <format dxfId="561">
      <pivotArea dataOnly="0" labelOnly="1" fieldPosition="0">
        <references count="2">
          <reference field="0" count="0" selected="0"/>
          <reference field="1" count="0"/>
        </references>
      </pivotArea>
    </format>
    <format dxfId="56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59">
      <pivotArea type="all" dataOnly="0" outline="0" fieldPosition="0"/>
    </format>
    <format dxfId="558">
      <pivotArea outline="0" collapsedLevelsAreSubtotals="1" fieldPosition="0"/>
    </format>
    <format dxfId="557">
      <pivotArea field="0" type="button" dataOnly="0" labelOnly="1" outline="0" axis="axisRow" fieldPosition="0"/>
    </format>
    <format dxfId="556">
      <pivotArea dataOnly="0" labelOnly="1" fieldPosition="0">
        <references count="1">
          <reference field="0" count="0"/>
        </references>
      </pivotArea>
    </format>
    <format dxfId="555">
      <pivotArea dataOnly="0" labelOnly="1" grandRow="1" outline="0" fieldPosition="0"/>
    </format>
    <format dxfId="554">
      <pivotArea dataOnly="0" labelOnly="1" fieldPosition="0">
        <references count="2">
          <reference field="0" count="0" selected="0"/>
          <reference field="1" count="0"/>
        </references>
      </pivotArea>
    </format>
    <format dxfId="55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5593DF-FBB6-4B4C-9D5D-215A0A071384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 ">
  <location ref="AP4:AR19" firstHeaderRow="1" firstDataRow="2" firstDataCol="1"/>
  <pivotFields count="18">
    <pivotField showAll="0"/>
    <pivotField showAll="0"/>
    <pivotField showAll="0"/>
    <pivotField showAll="0"/>
    <pivotField showAll="0"/>
    <pivotField showAll="0">
      <items count="14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h="1" x="12"/>
        <item t="default"/>
      </items>
    </pivotField>
    <pivotField axis="axisRow" showAll="0" sortType="ascending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h="1" x="14"/>
        <item h="1" x="15"/>
        <item h="1" x="16"/>
        <item h="1" x="17"/>
        <item h="1" x="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0">
        <item h="1" x="8"/>
        <item h="1" x="7"/>
        <item h="1" x="6"/>
        <item h="1" x="5"/>
        <item h="1" x="4"/>
        <item h="1" x="3"/>
        <item h="1" x="2"/>
        <item h="1" x="0"/>
        <item x="1"/>
        <item t="default"/>
      </items>
    </pivotField>
    <pivotField dataField="1" showAll="0"/>
    <pivotField showAll="0"/>
  </pivotFields>
  <rowFields count="1">
    <field x="6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5"/>
  </colFields>
  <colItems count="2">
    <i>
      <x v="8"/>
    </i>
    <i t="grand">
      <x/>
    </i>
  </colItems>
  <dataFields count="1">
    <dataField name="Sum of Interest" fld="16" baseField="0" baseItem="0"/>
  </dataFields>
  <formats count="70">
    <format dxfId="371">
      <pivotArea type="all" dataOnly="0" outline="0" fieldPosition="0"/>
    </format>
    <format dxfId="370">
      <pivotArea outline="0" collapsedLevelsAreSubtotals="1" fieldPosition="0"/>
    </format>
    <format dxfId="369">
      <pivotArea type="origin" dataOnly="0" labelOnly="1" outline="0" fieldPosition="0"/>
    </format>
    <format dxfId="368">
      <pivotArea field="5" type="button" dataOnly="0" labelOnly="1" outline="0"/>
    </format>
    <format dxfId="367">
      <pivotArea type="topRight" dataOnly="0" labelOnly="1" outline="0" fieldPosition="0"/>
    </format>
    <format dxfId="366">
      <pivotArea field="6" type="button" dataOnly="0" labelOnly="1" outline="0" axis="axisRow" fieldPosition="0"/>
    </format>
    <format dxfId="365">
      <pivotArea dataOnly="0" labelOnly="1" fieldPosition="0">
        <references count="1">
          <reference field="6" count="0"/>
        </references>
      </pivotArea>
    </format>
    <format dxfId="364">
      <pivotArea dataOnly="0" labelOnly="1" grandRow="1" outline="0" fieldPosition="0"/>
    </format>
    <format dxfId="363">
      <pivotArea dataOnly="0" labelOnly="1" grandCol="1" outline="0" fieldPosition="0"/>
    </format>
    <format dxfId="362">
      <pivotArea type="all" dataOnly="0" outline="0" fieldPosition="0"/>
    </format>
    <format dxfId="361">
      <pivotArea outline="0" collapsedLevelsAreSubtotals="1" fieldPosition="0"/>
    </format>
    <format dxfId="360">
      <pivotArea type="origin" dataOnly="0" labelOnly="1" outline="0" fieldPosition="0"/>
    </format>
    <format dxfId="359">
      <pivotArea field="5" type="button" dataOnly="0" labelOnly="1" outline="0"/>
    </format>
    <format dxfId="358">
      <pivotArea type="topRight" dataOnly="0" labelOnly="1" outline="0" fieldPosition="0"/>
    </format>
    <format dxfId="357">
      <pivotArea field="6" type="button" dataOnly="0" labelOnly="1" outline="0" axis="axisRow" fieldPosition="0"/>
    </format>
    <format dxfId="356">
      <pivotArea dataOnly="0" labelOnly="1" fieldPosition="0">
        <references count="1">
          <reference field="6" count="0"/>
        </references>
      </pivotArea>
    </format>
    <format dxfId="355">
      <pivotArea dataOnly="0" labelOnly="1" grandRow="1" outline="0" fieldPosition="0"/>
    </format>
    <format dxfId="354">
      <pivotArea dataOnly="0" labelOnly="1" grandCol="1" outline="0" fieldPosition="0"/>
    </format>
    <format dxfId="353">
      <pivotArea type="all" dataOnly="0" outline="0" fieldPosition="0"/>
    </format>
    <format dxfId="352">
      <pivotArea outline="0" collapsedLevelsAreSubtotals="1" fieldPosition="0"/>
    </format>
    <format dxfId="351">
      <pivotArea type="origin" dataOnly="0" labelOnly="1" outline="0" fieldPosition="0"/>
    </format>
    <format dxfId="350">
      <pivotArea field="5" type="button" dataOnly="0" labelOnly="1" outline="0"/>
    </format>
    <format dxfId="349">
      <pivotArea type="topRight" dataOnly="0" labelOnly="1" outline="0" fieldPosition="0"/>
    </format>
    <format dxfId="348">
      <pivotArea field="6" type="button" dataOnly="0" labelOnly="1" outline="0" axis="axisRow" fieldPosition="0"/>
    </format>
    <format dxfId="347">
      <pivotArea dataOnly="0" labelOnly="1" fieldPosition="0">
        <references count="1">
          <reference field="6" count="0"/>
        </references>
      </pivotArea>
    </format>
    <format dxfId="346">
      <pivotArea dataOnly="0" labelOnly="1" grandRow="1" outline="0" fieldPosition="0"/>
    </format>
    <format dxfId="345">
      <pivotArea dataOnly="0" labelOnly="1" grandCol="1" outline="0" fieldPosition="0"/>
    </format>
    <format dxfId="344">
      <pivotArea collapsedLevelsAreSubtotals="1" fieldPosition="0">
        <references count="1">
          <reference field="6" count="1">
            <x v="0"/>
          </reference>
        </references>
      </pivotArea>
    </format>
    <format dxfId="343">
      <pivotArea outline="0" collapsedLevelsAreSubtotals="1" fieldPosition="0"/>
    </format>
    <format dxfId="342">
      <pivotArea grandCol="1" outline="0" collapsedLevelsAreSubtotals="1" fieldPosition="0"/>
    </format>
    <format dxfId="341">
      <pivotArea type="all" dataOnly="0" outline="0" fieldPosition="0"/>
    </format>
    <format dxfId="340">
      <pivotArea outline="0" collapsedLevelsAreSubtotals="1" fieldPosition="0"/>
    </format>
    <format dxfId="339">
      <pivotArea type="origin" dataOnly="0" labelOnly="1" outline="0" fieldPosition="0"/>
    </format>
    <format dxfId="338">
      <pivotArea field="15" type="button" dataOnly="0" labelOnly="1" outline="0" axis="axisCol" fieldPosition="0"/>
    </format>
    <format dxfId="337">
      <pivotArea type="topRight" dataOnly="0" labelOnly="1" outline="0" fieldPosition="0"/>
    </format>
    <format dxfId="336">
      <pivotArea field="6" type="button" dataOnly="0" labelOnly="1" outline="0" axis="axisRow" fieldPosition="0"/>
    </format>
    <format dxfId="335">
      <pivotArea dataOnly="0" labelOnly="1" fieldPosition="0">
        <references count="1">
          <reference field="6" count="0"/>
        </references>
      </pivotArea>
    </format>
    <format dxfId="334">
      <pivotArea dataOnly="0" labelOnly="1" grandRow="1" outline="0" fieldPosition="0"/>
    </format>
    <format dxfId="333">
      <pivotArea dataOnly="0" labelOnly="1" fieldPosition="0">
        <references count="1">
          <reference field="15" count="0"/>
        </references>
      </pivotArea>
    </format>
    <format dxfId="332">
      <pivotArea dataOnly="0" labelOnly="1" grandCol="1" outline="0" fieldPosition="0"/>
    </format>
    <format dxfId="331">
      <pivotArea type="all" dataOnly="0" outline="0" fieldPosition="0"/>
    </format>
    <format dxfId="330">
      <pivotArea outline="0" collapsedLevelsAreSubtotals="1" fieldPosition="0"/>
    </format>
    <format dxfId="329">
      <pivotArea type="origin" dataOnly="0" labelOnly="1" outline="0" fieldPosition="0"/>
    </format>
    <format dxfId="328">
      <pivotArea field="15" type="button" dataOnly="0" labelOnly="1" outline="0" axis="axisCol" fieldPosition="0"/>
    </format>
    <format dxfId="327">
      <pivotArea type="topRight" dataOnly="0" labelOnly="1" outline="0" fieldPosition="0"/>
    </format>
    <format dxfId="326">
      <pivotArea field="6" type="button" dataOnly="0" labelOnly="1" outline="0" axis="axisRow" fieldPosition="0"/>
    </format>
    <format dxfId="325">
      <pivotArea dataOnly="0" labelOnly="1" fieldPosition="0">
        <references count="1">
          <reference field="6" count="0"/>
        </references>
      </pivotArea>
    </format>
    <format dxfId="324">
      <pivotArea dataOnly="0" labelOnly="1" grandRow="1" outline="0" fieldPosition="0"/>
    </format>
    <format dxfId="323">
      <pivotArea dataOnly="0" labelOnly="1" fieldPosition="0">
        <references count="1">
          <reference field="15" count="0"/>
        </references>
      </pivotArea>
    </format>
    <format dxfId="322">
      <pivotArea dataOnly="0" labelOnly="1" grandCol="1" outline="0" fieldPosition="0"/>
    </format>
    <format dxfId="321">
      <pivotArea type="all" dataOnly="0" outline="0" fieldPosition="0"/>
    </format>
    <format dxfId="320">
      <pivotArea outline="0" collapsedLevelsAreSubtotals="1" fieldPosition="0"/>
    </format>
    <format dxfId="319">
      <pivotArea type="origin" dataOnly="0" labelOnly="1" outline="0" fieldPosition="0"/>
    </format>
    <format dxfId="318">
      <pivotArea field="15" type="button" dataOnly="0" labelOnly="1" outline="0" axis="axisCol" fieldPosition="0"/>
    </format>
    <format dxfId="317">
      <pivotArea type="topRight" dataOnly="0" labelOnly="1" outline="0" fieldPosition="0"/>
    </format>
    <format dxfId="316">
      <pivotArea field="6" type="button" dataOnly="0" labelOnly="1" outline="0" axis="axisRow" fieldPosition="0"/>
    </format>
    <format dxfId="315">
      <pivotArea dataOnly="0" labelOnly="1" fieldPosition="0">
        <references count="1">
          <reference field="6" count="0"/>
        </references>
      </pivotArea>
    </format>
    <format dxfId="314">
      <pivotArea dataOnly="0" labelOnly="1" grandRow="1" outline="0" fieldPosition="0"/>
    </format>
    <format dxfId="313">
      <pivotArea dataOnly="0" labelOnly="1" fieldPosition="0">
        <references count="1">
          <reference field="15" count="0"/>
        </references>
      </pivotArea>
    </format>
    <format dxfId="312">
      <pivotArea dataOnly="0" labelOnly="1" grandCol="1" outline="0" fieldPosition="0"/>
    </format>
    <format dxfId="311">
      <pivotArea type="all" dataOnly="0" outline="0" fieldPosition="0"/>
    </format>
    <format dxfId="310">
      <pivotArea outline="0" collapsedLevelsAreSubtotals="1" fieldPosition="0"/>
    </format>
    <format dxfId="309">
      <pivotArea type="origin" dataOnly="0" labelOnly="1" outline="0" fieldPosition="0"/>
    </format>
    <format dxfId="308">
      <pivotArea field="15" type="button" dataOnly="0" labelOnly="1" outline="0" axis="axisCol" fieldPosition="0"/>
    </format>
    <format dxfId="307">
      <pivotArea type="topRight" dataOnly="0" labelOnly="1" outline="0" fieldPosition="0"/>
    </format>
    <format dxfId="306">
      <pivotArea field="6" type="button" dataOnly="0" labelOnly="1" outline="0" axis="axisRow" fieldPosition="0"/>
    </format>
    <format dxfId="305">
      <pivotArea dataOnly="0" labelOnly="1" fieldPosition="0">
        <references count="1">
          <reference field="6" count="0"/>
        </references>
      </pivotArea>
    </format>
    <format dxfId="304">
      <pivotArea dataOnly="0" labelOnly="1" grandRow="1" outline="0" fieldPosition="0"/>
    </format>
    <format dxfId="303">
      <pivotArea dataOnly="0" labelOnly="1" fieldPosition="0">
        <references count="1">
          <reference field="15" count="0"/>
        </references>
      </pivotArea>
    </format>
    <format dxfId="302">
      <pivotArea dataOnly="0" labelOnly="1" grandCol="1" outline="0" fieldPosition="0"/>
    </format>
  </formats>
  <conditionalFormats count="1">
    <conditionalFormat priority="86">
      <pivotAreas count="1">
        <pivotArea type="data" grandCol="1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86D179-831A-4F1F-8CA3-A730DB2960A8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 ">
  <location ref="AB4:AO24" firstHeaderRow="1" firstDataRow="2" firstDataCol="1"/>
  <pivotFields count="18">
    <pivotField showAll="0"/>
    <pivotField showAll="0"/>
    <pivotField showAll="0"/>
    <pivotField showAll="0"/>
    <pivotField showAll="0"/>
    <pivotField axis="axisCol" showAll="0">
      <items count="14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h="1" x="12"/>
        <item t="default"/>
      </items>
    </pivotField>
    <pivotField axis="axisRow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8"/>
        <item x="11"/>
        <item x="12"/>
        <item x="13"/>
        <item x="14"/>
        <item x="15"/>
        <item x="16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6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5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Total" fld="13" baseField="0" baseItem="0"/>
  </dataFields>
  <formats count="70">
    <format dxfId="441">
      <pivotArea type="all" dataOnly="0" outline="0" fieldPosition="0"/>
    </format>
    <format dxfId="440">
      <pivotArea outline="0" collapsedLevelsAreSubtotals="1" fieldPosition="0"/>
    </format>
    <format dxfId="439">
      <pivotArea type="origin" dataOnly="0" labelOnly="1" outline="0" fieldPosition="0"/>
    </format>
    <format dxfId="438">
      <pivotArea field="5" type="button" dataOnly="0" labelOnly="1" outline="0" axis="axisCol" fieldPosition="0"/>
    </format>
    <format dxfId="437">
      <pivotArea type="topRight" dataOnly="0" labelOnly="1" outline="0" fieldPosition="0"/>
    </format>
    <format dxfId="436">
      <pivotArea field="6" type="button" dataOnly="0" labelOnly="1" outline="0" axis="axisRow" fieldPosition="0"/>
    </format>
    <format dxfId="435">
      <pivotArea dataOnly="0" labelOnly="1" fieldPosition="0">
        <references count="1">
          <reference field="6" count="0"/>
        </references>
      </pivotArea>
    </format>
    <format dxfId="434">
      <pivotArea dataOnly="0" labelOnly="1" grandRow="1" outline="0" fieldPosition="0"/>
    </format>
    <format dxfId="433">
      <pivotArea dataOnly="0" labelOnly="1" fieldPosition="0">
        <references count="1">
          <reference field="5" count="0"/>
        </references>
      </pivotArea>
    </format>
    <format dxfId="432">
      <pivotArea dataOnly="0" labelOnly="1" grandCol="1" outline="0" fieldPosition="0"/>
    </format>
    <format dxfId="431">
      <pivotArea type="all" dataOnly="0" outline="0" fieldPosition="0"/>
    </format>
    <format dxfId="430">
      <pivotArea outline="0" collapsedLevelsAreSubtotals="1" fieldPosition="0"/>
    </format>
    <format dxfId="429">
      <pivotArea type="origin" dataOnly="0" labelOnly="1" outline="0" fieldPosition="0"/>
    </format>
    <format dxfId="428">
      <pivotArea field="5" type="button" dataOnly="0" labelOnly="1" outline="0" axis="axisCol" fieldPosition="0"/>
    </format>
    <format dxfId="427">
      <pivotArea type="topRight" dataOnly="0" labelOnly="1" outline="0" fieldPosition="0"/>
    </format>
    <format dxfId="426">
      <pivotArea field="6" type="button" dataOnly="0" labelOnly="1" outline="0" axis="axisRow" fieldPosition="0"/>
    </format>
    <format dxfId="425">
      <pivotArea dataOnly="0" labelOnly="1" fieldPosition="0">
        <references count="1">
          <reference field="6" count="0"/>
        </references>
      </pivotArea>
    </format>
    <format dxfId="424">
      <pivotArea dataOnly="0" labelOnly="1" grandRow="1" outline="0" fieldPosition="0"/>
    </format>
    <format dxfId="423">
      <pivotArea dataOnly="0" labelOnly="1" fieldPosition="0">
        <references count="1">
          <reference field="5" count="0"/>
        </references>
      </pivotArea>
    </format>
    <format dxfId="422">
      <pivotArea dataOnly="0" labelOnly="1" grandCol="1" outline="0" fieldPosition="0"/>
    </format>
    <format dxfId="421">
      <pivotArea type="all" dataOnly="0" outline="0" fieldPosition="0"/>
    </format>
    <format dxfId="420">
      <pivotArea outline="0" collapsedLevelsAreSubtotals="1" fieldPosition="0"/>
    </format>
    <format dxfId="419">
      <pivotArea type="origin" dataOnly="0" labelOnly="1" outline="0" fieldPosition="0"/>
    </format>
    <format dxfId="418">
      <pivotArea field="5" type="button" dataOnly="0" labelOnly="1" outline="0" axis="axisCol" fieldPosition="0"/>
    </format>
    <format dxfId="417">
      <pivotArea type="topRight" dataOnly="0" labelOnly="1" outline="0" fieldPosition="0"/>
    </format>
    <format dxfId="416">
      <pivotArea field="6" type="button" dataOnly="0" labelOnly="1" outline="0" axis="axisRow" fieldPosition="0"/>
    </format>
    <format dxfId="415">
      <pivotArea dataOnly="0" labelOnly="1" fieldPosition="0">
        <references count="1">
          <reference field="6" count="0"/>
        </references>
      </pivotArea>
    </format>
    <format dxfId="414">
      <pivotArea dataOnly="0" labelOnly="1" grandRow="1" outline="0" fieldPosition="0"/>
    </format>
    <format dxfId="413">
      <pivotArea dataOnly="0" labelOnly="1" fieldPosition="0">
        <references count="1">
          <reference field="5" count="0"/>
        </references>
      </pivotArea>
    </format>
    <format dxfId="412">
      <pivotArea dataOnly="0" labelOnly="1" grandCol="1" outline="0" fieldPosition="0"/>
    </format>
    <format dxfId="411">
      <pivotArea type="all" dataOnly="0" outline="0" fieldPosition="0"/>
    </format>
    <format dxfId="410">
      <pivotArea outline="0" collapsedLevelsAreSubtotals="1" fieldPosition="0"/>
    </format>
    <format dxfId="409">
      <pivotArea type="origin" dataOnly="0" labelOnly="1" outline="0" fieldPosition="0"/>
    </format>
    <format dxfId="408">
      <pivotArea field="5" type="button" dataOnly="0" labelOnly="1" outline="0" axis="axisCol" fieldPosition="0"/>
    </format>
    <format dxfId="407">
      <pivotArea type="topRight" dataOnly="0" labelOnly="1" outline="0" fieldPosition="0"/>
    </format>
    <format dxfId="406">
      <pivotArea field="6" type="button" dataOnly="0" labelOnly="1" outline="0" axis="axisRow" fieldPosition="0"/>
    </format>
    <format dxfId="405">
      <pivotArea dataOnly="0" labelOnly="1" fieldPosition="0">
        <references count="1">
          <reference field="6" count="0"/>
        </references>
      </pivotArea>
    </format>
    <format dxfId="404">
      <pivotArea dataOnly="0" labelOnly="1" grandRow="1" outline="0" fieldPosition="0"/>
    </format>
    <format dxfId="403">
      <pivotArea dataOnly="0" labelOnly="1" fieldPosition="0">
        <references count="1">
          <reference field="5" count="0"/>
        </references>
      </pivotArea>
    </format>
    <format dxfId="402">
      <pivotArea dataOnly="0" labelOnly="1" grandCol="1" outline="0" fieldPosition="0"/>
    </format>
    <format dxfId="401">
      <pivotArea type="all" dataOnly="0" outline="0" fieldPosition="0"/>
    </format>
    <format dxfId="400">
      <pivotArea outline="0" collapsedLevelsAreSubtotals="1" fieldPosition="0"/>
    </format>
    <format dxfId="399">
      <pivotArea type="origin" dataOnly="0" labelOnly="1" outline="0" fieldPosition="0"/>
    </format>
    <format dxfId="398">
      <pivotArea field="5" type="button" dataOnly="0" labelOnly="1" outline="0" axis="axisCol" fieldPosition="0"/>
    </format>
    <format dxfId="397">
      <pivotArea type="topRight" dataOnly="0" labelOnly="1" outline="0" fieldPosition="0"/>
    </format>
    <format dxfId="396">
      <pivotArea field="6" type="button" dataOnly="0" labelOnly="1" outline="0" axis="axisRow" fieldPosition="0"/>
    </format>
    <format dxfId="395">
      <pivotArea dataOnly="0" labelOnly="1" fieldPosition="0">
        <references count="1">
          <reference field="6" count="0"/>
        </references>
      </pivotArea>
    </format>
    <format dxfId="394">
      <pivotArea dataOnly="0" labelOnly="1" grandRow="1" outline="0" fieldPosition="0"/>
    </format>
    <format dxfId="393">
      <pivotArea dataOnly="0" labelOnly="1" fieldPosition="0">
        <references count="1">
          <reference field="5" count="0"/>
        </references>
      </pivotArea>
    </format>
    <format dxfId="392">
      <pivotArea dataOnly="0" labelOnly="1" grandCol="1" outline="0" fieldPosition="0"/>
    </format>
    <format dxfId="391">
      <pivotArea type="all" dataOnly="0" outline="0" fieldPosition="0"/>
    </format>
    <format dxfId="390">
      <pivotArea outline="0" collapsedLevelsAreSubtotals="1" fieldPosition="0"/>
    </format>
    <format dxfId="389">
      <pivotArea type="origin" dataOnly="0" labelOnly="1" outline="0" fieldPosition="0"/>
    </format>
    <format dxfId="388">
      <pivotArea field="5" type="button" dataOnly="0" labelOnly="1" outline="0" axis="axisCol" fieldPosition="0"/>
    </format>
    <format dxfId="387">
      <pivotArea type="topRight" dataOnly="0" labelOnly="1" outline="0" fieldPosition="0"/>
    </format>
    <format dxfId="386">
      <pivotArea field="6" type="button" dataOnly="0" labelOnly="1" outline="0" axis="axisRow" fieldPosition="0"/>
    </format>
    <format dxfId="385">
      <pivotArea dataOnly="0" labelOnly="1" fieldPosition="0">
        <references count="1">
          <reference field="6" count="0"/>
        </references>
      </pivotArea>
    </format>
    <format dxfId="384">
      <pivotArea dataOnly="0" labelOnly="1" grandRow="1" outline="0" fieldPosition="0"/>
    </format>
    <format dxfId="383">
      <pivotArea dataOnly="0" labelOnly="1" fieldPosition="0">
        <references count="1">
          <reference field="5" count="0"/>
        </references>
      </pivotArea>
    </format>
    <format dxfId="382">
      <pivotArea dataOnly="0" labelOnly="1" grandCol="1" outline="0" fieldPosition="0"/>
    </format>
    <format dxfId="381">
      <pivotArea type="all" dataOnly="0" outline="0" fieldPosition="0"/>
    </format>
    <format dxfId="380">
      <pivotArea outline="0" collapsedLevelsAreSubtotals="1" fieldPosition="0"/>
    </format>
    <format dxfId="379">
      <pivotArea type="origin" dataOnly="0" labelOnly="1" outline="0" fieldPosition="0"/>
    </format>
    <format dxfId="378">
      <pivotArea field="5" type="button" dataOnly="0" labelOnly="1" outline="0" axis="axisCol" fieldPosition="0"/>
    </format>
    <format dxfId="377">
      <pivotArea type="topRight" dataOnly="0" labelOnly="1" outline="0" fieldPosition="0"/>
    </format>
    <format dxfId="376">
      <pivotArea field="6" type="button" dataOnly="0" labelOnly="1" outline="0" axis="axisRow" fieldPosition="0"/>
    </format>
    <format dxfId="375">
      <pivotArea dataOnly="0" labelOnly="1" fieldPosition="0">
        <references count="1">
          <reference field="6" count="0"/>
        </references>
      </pivotArea>
    </format>
    <format dxfId="374">
      <pivotArea dataOnly="0" labelOnly="1" grandRow="1" outline="0" fieldPosition="0"/>
    </format>
    <format dxfId="373">
      <pivotArea dataOnly="0" labelOnly="1" fieldPosition="0">
        <references count="1">
          <reference field="5" count="0"/>
        </references>
      </pivotArea>
    </format>
    <format dxfId="37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9050CD-BB9E-45B6-9449-F88F09FFEBA1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 colHeaderCaption=" ">
  <location ref="AP3:BC15" firstHeaderRow="1" firstDataRow="2" firstDataCol="1"/>
  <pivotFields count="21">
    <pivotField axis="axisRow" showAll="0" sortType="descending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5">
        <item x="9"/>
        <item x="10"/>
        <item x="11"/>
        <item x="1"/>
        <item x="2"/>
        <item x="3"/>
        <item x="4"/>
        <item x="5"/>
        <item x="6"/>
        <item x="0"/>
        <item x="12"/>
        <item x="8"/>
        <item h="1" x="7"/>
        <item h="1" m="1" x="13"/>
        <item t="default"/>
      </items>
    </pivotField>
    <pivotField showAll="0"/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Total (automatic)" fld="20" baseField="0" baseItem="0"/>
  </dataFields>
  <formats count="12">
    <format dxfId="287">
      <pivotArea field="0" type="button" dataOnly="0" labelOnly="1" outline="0" axis="axisRow" fieldPosition="0"/>
    </format>
    <format dxfId="286">
      <pivotArea dataOnly="0" labelOnly="1" fieldPosition="0">
        <references count="1">
          <reference field="18" count="0"/>
        </references>
      </pivotArea>
    </format>
    <format dxfId="285">
      <pivotArea dataOnly="0" labelOnly="1" grandCol="1" outline="0" fieldPosition="0"/>
    </format>
    <format dxfId="284">
      <pivotArea field="0" type="button" dataOnly="0" labelOnly="1" outline="0" axis="axisRow" fieldPosition="0"/>
    </format>
    <format dxfId="283">
      <pivotArea dataOnly="0" labelOnly="1" fieldPosition="0">
        <references count="1">
          <reference field="18" count="0"/>
        </references>
      </pivotArea>
    </format>
    <format dxfId="282">
      <pivotArea dataOnly="0" labelOnly="1" grandCol="1" outline="0" fieldPosition="0"/>
    </format>
    <format dxfId="281">
      <pivotArea field="0" type="button" dataOnly="0" labelOnly="1" outline="0" axis="axisRow" fieldPosition="0"/>
    </format>
    <format dxfId="280">
      <pivotArea dataOnly="0" labelOnly="1" fieldPosition="0">
        <references count="1">
          <reference field="18" count="0"/>
        </references>
      </pivotArea>
    </format>
    <format dxfId="279">
      <pivotArea dataOnly="0" labelOnly="1" grandCol="1" outline="0" fieldPosition="0"/>
    </format>
    <format dxfId="278">
      <pivotArea field="0" type="button" dataOnly="0" labelOnly="1" outline="0" axis="axisRow" fieldPosition="0"/>
    </format>
    <format dxfId="277">
      <pivotArea dataOnly="0" labelOnly="1" fieldPosition="0">
        <references count="1">
          <reference field="18" count="0"/>
        </references>
      </pivotArea>
    </format>
    <format dxfId="27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82887E-AB0D-4871-A579-9CD0F5D28EBA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 colHeaderCaption="  ">
  <location ref="CB4:CO16" firstHeaderRow="1" firstDataRow="2" firstDataCol="1"/>
  <pivotFields count="14">
    <pivotField axis="axisRow" showAll="0" sortType="descending">
      <items count="12">
        <item h="1"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Col" showAll="0">
      <items count="13">
        <item x="8"/>
        <item x="9"/>
        <item x="10"/>
        <item x="0"/>
        <item x="1"/>
        <item x="2"/>
        <item x="3"/>
        <item x="4"/>
        <item x="5"/>
        <item x="6"/>
        <item x="11"/>
        <item x="7"/>
        <item t="default"/>
      </items>
    </pivotField>
    <pivotField showAll="0"/>
    <pivotField showAll="0"/>
  </pivotFields>
  <rowFields count="1">
    <field x="0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Total Premium" fld="6" baseField="0" baseItem="0"/>
  </dataFields>
  <formats count="14">
    <format dxfId="301">
      <pivotArea grandRow="1" outline="0" collapsedLevelsAreSubtotals="1" fieldPosition="0"/>
    </format>
    <format dxfId="300">
      <pivotArea dataOnly="0" labelOnly="1" grandRow="1" outline="0" fieldPosition="0"/>
    </format>
    <format dxfId="299">
      <pivotArea type="origin" dataOnly="0" labelOnly="1" outline="0" fieldPosition="0"/>
    </format>
    <format dxfId="298">
      <pivotArea field="11" type="button" dataOnly="0" labelOnly="1" outline="0" axis="axisCol" fieldPosition="0"/>
    </format>
    <format dxfId="297">
      <pivotArea type="topRight" dataOnly="0" labelOnly="1" outline="0" fieldPosition="0"/>
    </format>
    <format dxfId="296">
      <pivotArea type="origin" dataOnly="0" labelOnly="1" outline="0" fieldPosition="0"/>
    </format>
    <format dxfId="295">
      <pivotArea field="11" type="button" dataOnly="0" labelOnly="1" outline="0" axis="axisCol" fieldPosition="0"/>
    </format>
    <format dxfId="294">
      <pivotArea type="topRight" dataOnly="0" labelOnly="1" outline="0" fieldPosition="0"/>
    </format>
    <format dxfId="293">
      <pivotArea type="origin" dataOnly="0" labelOnly="1" outline="0" fieldPosition="0"/>
    </format>
    <format dxfId="292">
      <pivotArea field="11" type="button" dataOnly="0" labelOnly="1" outline="0" axis="axisCol" fieldPosition="0"/>
    </format>
    <format dxfId="291">
      <pivotArea type="topRight" dataOnly="0" labelOnly="1" outline="0" fieldPosition="0"/>
    </format>
    <format dxfId="290">
      <pivotArea type="origin" dataOnly="0" labelOnly="1" outline="0" fieldPosition="0"/>
    </format>
    <format dxfId="289">
      <pivotArea field="11" type="button" dataOnly="0" labelOnly="1" outline="0" axis="axisCol" fieldPosition="0"/>
    </format>
    <format dxfId="288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2BFA03-D003-4197-8BB6-5C15D276F107}" name="PivotTable9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I13:AJ19" firstHeaderRow="1" firstDataRow="1" firstDataCol="1"/>
  <pivotFields count="9">
    <pivotField axis="axisRow" showAll="0">
      <items count="7">
        <item x="0"/>
        <item x="1"/>
        <item m="1" x="5"/>
        <item x="2"/>
        <item x="3"/>
        <item x="4"/>
        <item t="default"/>
      </items>
    </pivotField>
    <pivotField showAll="0"/>
    <pivotField showAll="0"/>
    <pivotField showAll="0"/>
    <pivotField showAll="0"/>
    <pivotField numFmtId="14" showAll="0"/>
    <pivotField showAll="0"/>
    <pivotField dataField="1" showAll="0"/>
    <pivotField showAll="0"/>
  </pivotFields>
  <rowFields count="1">
    <field x="0"/>
  </rowFields>
  <rowItems count="6">
    <i>
      <x/>
    </i>
    <i>
      <x v="1"/>
    </i>
    <i>
      <x v="3"/>
    </i>
    <i>
      <x v="4"/>
    </i>
    <i>
      <x v="5"/>
    </i>
    <i t="grand">
      <x/>
    </i>
  </rowItems>
  <colItems count="1">
    <i/>
  </colItems>
  <dataFields count="1">
    <dataField name="Sum of Claim Amount" fld="7" baseField="0" baseItem="0"/>
  </dataFields>
  <formats count="61">
    <format dxfId="134">
      <pivotArea type="all" dataOnly="0" outline="0" fieldPosition="0"/>
    </format>
    <format dxfId="133">
      <pivotArea outline="0" collapsedLevelsAreSubtotals="1" fieldPosition="0"/>
    </format>
    <format dxfId="132">
      <pivotArea field="0" type="button" dataOnly="0" labelOnly="1" outline="0" axis="axisRow" fieldPosition="0"/>
    </format>
    <format dxfId="131">
      <pivotArea dataOnly="0" labelOnly="1" fieldPosition="0">
        <references count="1">
          <reference field="0" count="0"/>
        </references>
      </pivotArea>
    </format>
    <format dxfId="130">
      <pivotArea dataOnly="0" labelOnly="1" grandRow="1" outline="0" fieldPosition="0"/>
    </format>
    <format dxfId="129">
      <pivotArea dataOnly="0" labelOnly="1" outline="0" axis="axisValues" fieldPosition="0"/>
    </format>
    <format dxfId="128">
      <pivotArea type="all" dataOnly="0" outline="0" fieldPosition="0"/>
    </format>
    <format dxfId="127">
      <pivotArea outline="0" collapsedLevelsAreSubtotals="1" fieldPosition="0"/>
    </format>
    <format dxfId="126">
      <pivotArea field="0" type="button" dataOnly="0" labelOnly="1" outline="0" axis="axisRow" fieldPosition="0"/>
    </format>
    <format dxfId="125">
      <pivotArea dataOnly="0" labelOnly="1" fieldPosition="0">
        <references count="1">
          <reference field="0" count="0"/>
        </references>
      </pivotArea>
    </format>
    <format dxfId="124">
      <pivotArea dataOnly="0" labelOnly="1" grandRow="1" outline="0" fieldPosition="0"/>
    </format>
    <format dxfId="123">
      <pivotArea dataOnly="0" labelOnly="1" outline="0" axis="axisValues" fieldPosition="0"/>
    </format>
    <format dxfId="122">
      <pivotArea type="all" dataOnly="0" outline="0" fieldPosition="0"/>
    </format>
    <format dxfId="121">
      <pivotArea outline="0" collapsedLevelsAreSubtotals="1" fieldPosition="0"/>
    </format>
    <format dxfId="120">
      <pivotArea field="0" type="button" dataOnly="0" labelOnly="1" outline="0" axis="axisRow" fieldPosition="0"/>
    </format>
    <format dxfId="119">
      <pivotArea dataOnly="0" labelOnly="1" fieldPosition="0">
        <references count="1">
          <reference field="0" count="0"/>
        </references>
      </pivotArea>
    </format>
    <format dxfId="118">
      <pivotArea dataOnly="0" labelOnly="1" grandRow="1" outline="0" fieldPosition="0"/>
    </format>
    <format dxfId="117">
      <pivotArea dataOnly="0" labelOnly="1" outline="0" axis="axisValues" fieldPosition="0"/>
    </format>
    <format dxfId="116">
      <pivotArea type="all" dataOnly="0" outline="0" fieldPosition="0"/>
    </format>
    <format dxfId="115">
      <pivotArea outline="0" collapsedLevelsAreSubtotals="1" fieldPosition="0"/>
    </format>
    <format dxfId="114">
      <pivotArea field="0" type="button" dataOnly="0" labelOnly="1" outline="0" axis="axisRow" fieldPosition="0"/>
    </format>
    <format dxfId="113">
      <pivotArea dataOnly="0" labelOnly="1" fieldPosition="0">
        <references count="1">
          <reference field="0" count="0"/>
        </references>
      </pivotArea>
    </format>
    <format dxfId="112">
      <pivotArea dataOnly="0" labelOnly="1" grandRow="1" outline="0" fieldPosition="0"/>
    </format>
    <format dxfId="111">
      <pivotArea dataOnly="0" labelOnly="1" outline="0" axis="axisValues" fieldPosition="0"/>
    </format>
    <format dxfId="110">
      <pivotArea type="all" dataOnly="0" outline="0" fieldPosition="0"/>
    </format>
    <format dxfId="109">
      <pivotArea outline="0" collapsedLevelsAreSubtotals="1" fieldPosition="0"/>
    </format>
    <format dxfId="108">
      <pivotArea field="0" type="button" dataOnly="0" labelOnly="1" outline="0" axis="axisRow" fieldPosition="0"/>
    </format>
    <format dxfId="107">
      <pivotArea dataOnly="0" labelOnly="1" fieldPosition="0">
        <references count="1">
          <reference field="0" count="0"/>
        </references>
      </pivotArea>
    </format>
    <format dxfId="106">
      <pivotArea dataOnly="0" labelOnly="1" grandRow="1" outline="0" fieldPosition="0"/>
    </format>
    <format dxfId="105">
      <pivotArea dataOnly="0" labelOnly="1" outline="0" axis="axisValues" fieldPosition="0"/>
    </format>
    <format dxfId="104">
      <pivotArea type="all" dataOnly="0" outline="0" fieldPosition="0"/>
    </format>
    <format dxfId="103">
      <pivotArea outline="0" collapsedLevelsAreSubtotals="1" fieldPosition="0"/>
    </format>
    <format dxfId="102">
      <pivotArea field="0" type="button" dataOnly="0" labelOnly="1" outline="0" axis="axisRow" fieldPosition="0"/>
    </format>
    <format dxfId="101">
      <pivotArea dataOnly="0" labelOnly="1" fieldPosition="0">
        <references count="1">
          <reference field="0" count="0"/>
        </references>
      </pivotArea>
    </format>
    <format dxfId="100">
      <pivotArea dataOnly="0" labelOnly="1" grandRow="1" outline="0" fieldPosition="0"/>
    </format>
    <format dxfId="99">
      <pivotArea dataOnly="0" labelOnly="1" outline="0" axis="axisValues" fieldPosition="0"/>
    </format>
    <format dxfId="98">
      <pivotArea type="all" dataOnly="0" outline="0" fieldPosition="0"/>
    </format>
    <format dxfId="97">
      <pivotArea outline="0" collapsedLevelsAreSubtotals="1" fieldPosition="0"/>
    </format>
    <format dxfId="96">
      <pivotArea field="0" type="button" dataOnly="0" labelOnly="1" outline="0" axis="axisRow" fieldPosition="0"/>
    </format>
    <format dxfId="95">
      <pivotArea dataOnly="0" labelOnly="1" fieldPosition="0">
        <references count="1">
          <reference field="0" count="0"/>
        </references>
      </pivotArea>
    </format>
    <format dxfId="94">
      <pivotArea dataOnly="0" labelOnly="1" grandRow="1" outline="0" fieldPosition="0"/>
    </format>
    <format dxfId="93">
      <pivotArea dataOnly="0" labelOnly="1" outline="0" axis="axisValues" fieldPosition="0"/>
    </format>
    <format dxfId="92">
      <pivotArea collapsedLevelsAreSubtotals="1" fieldPosition="0">
        <references count="1">
          <reference field="0" count="1">
            <x v="5"/>
          </reference>
        </references>
      </pivotArea>
    </format>
    <format dxfId="91">
      <pivotArea type="all" dataOnly="0" outline="0" fieldPosition="0"/>
    </format>
    <format dxfId="90">
      <pivotArea outline="0" collapsedLevelsAreSubtotals="1" fieldPosition="0"/>
    </format>
    <format dxfId="89">
      <pivotArea field="0" type="button" dataOnly="0" labelOnly="1" outline="0" axis="axisRow" fieldPosition="0"/>
    </format>
    <format dxfId="88">
      <pivotArea dataOnly="0" labelOnly="1" fieldPosition="0">
        <references count="1">
          <reference field="0" count="0"/>
        </references>
      </pivotArea>
    </format>
    <format dxfId="87">
      <pivotArea dataOnly="0" labelOnly="1" grandRow="1" outline="0" fieldPosition="0"/>
    </format>
    <format dxfId="86">
      <pivotArea dataOnly="0" labelOnly="1" outline="0" axis="axisValues" fieldPosition="0"/>
    </format>
    <format dxfId="85">
      <pivotArea type="all" dataOnly="0" outline="0" fieldPosition="0"/>
    </format>
    <format dxfId="84">
      <pivotArea outline="0" collapsedLevelsAreSubtotals="1" fieldPosition="0"/>
    </format>
    <format dxfId="83">
      <pivotArea field="0" type="button" dataOnly="0" labelOnly="1" outline="0" axis="axisRow" fieldPosition="0"/>
    </format>
    <format dxfId="82">
      <pivotArea dataOnly="0" labelOnly="1" fieldPosition="0">
        <references count="1">
          <reference field="0" count="0"/>
        </references>
      </pivotArea>
    </format>
    <format dxfId="81">
      <pivotArea dataOnly="0" labelOnly="1" grandRow="1" outline="0" fieldPosition="0"/>
    </format>
    <format dxfId="80">
      <pivotArea dataOnly="0" labelOnly="1" outline="0" axis="axisValues" fieldPosition="0"/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field="0" type="button" dataOnly="0" labelOnly="1" outline="0" axis="axisRow" fieldPosition="0"/>
    </format>
    <format dxfId="76">
      <pivotArea dataOnly="0" labelOnly="1" fieldPosition="0">
        <references count="1">
          <reference field="0" count="0"/>
        </references>
      </pivotArea>
    </format>
    <format dxfId="75">
      <pivotArea dataOnly="0" labelOnly="1" grandRow="1" outline="0" fieldPosition="0"/>
    </format>
    <format dxfId="7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AC5A9E-38F1-4F74-A35E-56AC84A3F089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K5:AL19" firstHeaderRow="1" firstDataRow="1" firstDataCol="1"/>
  <pivotFields count="29"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m="1" x="13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5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 t="grand">
      <x/>
    </i>
  </rowItems>
  <colItems count="1">
    <i/>
  </colItems>
  <dataFields count="1">
    <dataField name="Sum of RGHS" fld="24" baseField="0" baseItem="0"/>
  </dataFields>
  <formats count="65">
    <format dxfId="199">
      <pivotArea field="5" type="button" dataOnly="0" labelOnly="1" outline="0" axis="axisRow" fieldPosition="0"/>
    </format>
    <format dxfId="198">
      <pivotArea dataOnly="0" labelOnly="1" outline="0" axis="axisValues" fieldPosition="0"/>
    </format>
    <format dxfId="197">
      <pivotArea type="all" dataOnly="0" outline="0" fieldPosition="0"/>
    </format>
    <format dxfId="196">
      <pivotArea outline="0" collapsedLevelsAreSubtotals="1" fieldPosition="0"/>
    </format>
    <format dxfId="195">
      <pivotArea field="5" type="button" dataOnly="0" labelOnly="1" outline="0" axis="axisRow" fieldPosition="0"/>
    </format>
    <format dxfId="194">
      <pivotArea dataOnly="0" labelOnly="1" fieldPosition="0">
        <references count="1">
          <reference field="5" count="0"/>
        </references>
      </pivotArea>
    </format>
    <format dxfId="193">
      <pivotArea dataOnly="0" labelOnly="1" grandRow="1" outline="0" fieldPosition="0"/>
    </format>
    <format dxfId="192">
      <pivotArea dataOnly="0" labelOnly="1" outline="0" axis="axisValues" fieldPosition="0"/>
    </format>
    <format dxfId="191">
      <pivotArea type="all" dataOnly="0" outline="0" fieldPosition="0"/>
    </format>
    <format dxfId="190">
      <pivotArea outline="0" collapsedLevelsAreSubtotals="1" fieldPosition="0"/>
    </format>
    <format dxfId="189">
      <pivotArea field="5" type="button" dataOnly="0" labelOnly="1" outline="0" axis="axisRow" fieldPosition="0"/>
    </format>
    <format dxfId="188">
      <pivotArea dataOnly="0" labelOnly="1" fieldPosition="0">
        <references count="1">
          <reference field="5" count="0"/>
        </references>
      </pivotArea>
    </format>
    <format dxfId="187">
      <pivotArea dataOnly="0" labelOnly="1" grandRow="1" outline="0" fieldPosition="0"/>
    </format>
    <format dxfId="186">
      <pivotArea dataOnly="0" labelOnly="1" outline="0" axis="axisValues" fieldPosition="0"/>
    </format>
    <format dxfId="185">
      <pivotArea type="all" dataOnly="0" outline="0" fieldPosition="0"/>
    </format>
    <format dxfId="184">
      <pivotArea outline="0" collapsedLevelsAreSubtotals="1" fieldPosition="0"/>
    </format>
    <format dxfId="183">
      <pivotArea field="5" type="button" dataOnly="0" labelOnly="1" outline="0" axis="axisRow" fieldPosition="0"/>
    </format>
    <format dxfId="182">
      <pivotArea dataOnly="0" labelOnly="1" fieldPosition="0">
        <references count="1">
          <reference field="5" count="0"/>
        </references>
      </pivotArea>
    </format>
    <format dxfId="181">
      <pivotArea dataOnly="0" labelOnly="1" grandRow="1" outline="0" fieldPosition="0"/>
    </format>
    <format dxfId="180">
      <pivotArea dataOnly="0" labelOnly="1" outline="0" axis="axisValues" fieldPosition="0"/>
    </format>
    <format dxfId="179">
      <pivotArea type="all" dataOnly="0" outline="0" fieldPosition="0"/>
    </format>
    <format dxfId="178">
      <pivotArea outline="0" collapsedLevelsAreSubtotals="1" fieldPosition="0"/>
    </format>
    <format dxfId="177">
      <pivotArea field="5" type="button" dataOnly="0" labelOnly="1" outline="0" axis="axisRow" fieldPosition="0"/>
    </format>
    <format dxfId="176">
      <pivotArea dataOnly="0" labelOnly="1" fieldPosition="0">
        <references count="1">
          <reference field="5" count="0"/>
        </references>
      </pivotArea>
    </format>
    <format dxfId="175">
      <pivotArea dataOnly="0" labelOnly="1" grandRow="1" outline="0" fieldPosition="0"/>
    </format>
    <format dxfId="174">
      <pivotArea dataOnly="0" labelOnly="1" outline="0" axis="axisValues" fieldPosition="0"/>
    </format>
    <format dxfId="173">
      <pivotArea type="all" dataOnly="0" outline="0" fieldPosition="0"/>
    </format>
    <format dxfId="172">
      <pivotArea outline="0" collapsedLevelsAreSubtotals="1" fieldPosition="0"/>
    </format>
    <format dxfId="171">
      <pivotArea field="5" type="button" dataOnly="0" labelOnly="1" outline="0" axis="axisRow" fieldPosition="0"/>
    </format>
    <format dxfId="170">
      <pivotArea dataOnly="0" labelOnly="1" fieldPosition="0">
        <references count="1">
          <reference field="5" count="0"/>
        </references>
      </pivotArea>
    </format>
    <format dxfId="169">
      <pivotArea dataOnly="0" labelOnly="1" grandRow="1" outline="0" fieldPosition="0"/>
    </format>
    <format dxfId="168">
      <pivotArea dataOnly="0" labelOnly="1" outline="0" axis="axisValues" fieldPosition="0"/>
    </format>
    <format dxfId="167">
      <pivotArea type="all" dataOnly="0" outline="0" fieldPosition="0"/>
    </format>
    <format dxfId="166">
      <pivotArea outline="0" collapsedLevelsAreSubtotals="1" fieldPosition="0"/>
    </format>
    <format dxfId="165">
      <pivotArea field="5" type="button" dataOnly="0" labelOnly="1" outline="0" axis="axisRow" fieldPosition="0"/>
    </format>
    <format dxfId="164">
      <pivotArea dataOnly="0" labelOnly="1" fieldPosition="0">
        <references count="1">
          <reference field="5" count="0"/>
        </references>
      </pivotArea>
    </format>
    <format dxfId="163">
      <pivotArea dataOnly="0" labelOnly="1" grandRow="1" outline="0" fieldPosition="0"/>
    </format>
    <format dxfId="162">
      <pivotArea dataOnly="0" labelOnly="1" outline="0" axis="axisValues" fieldPosition="0"/>
    </format>
    <format dxfId="161">
      <pivotArea type="all" dataOnly="0" outline="0" fieldPosition="0"/>
    </format>
    <format dxfId="160">
      <pivotArea outline="0" collapsedLevelsAreSubtotals="1" fieldPosition="0"/>
    </format>
    <format dxfId="159">
      <pivotArea field="5" type="button" dataOnly="0" labelOnly="1" outline="0" axis="axisRow" fieldPosition="0"/>
    </format>
    <format dxfId="158">
      <pivotArea dataOnly="0" labelOnly="1" fieldPosition="0">
        <references count="1">
          <reference field="5" count="0"/>
        </references>
      </pivotArea>
    </format>
    <format dxfId="157">
      <pivotArea dataOnly="0" labelOnly="1" grandRow="1" outline="0" fieldPosition="0"/>
    </format>
    <format dxfId="156">
      <pivotArea dataOnly="0" labelOnly="1" outline="0" axis="axisValues" fieldPosition="0"/>
    </format>
    <format dxfId="155">
      <pivotArea field="5" type="button" dataOnly="0" labelOnly="1" outline="0" axis="axisRow" fieldPosition="0"/>
    </format>
    <format dxfId="154">
      <pivotArea dataOnly="0" labelOnly="1" outline="0" axis="axisValues" fieldPosition="0"/>
    </format>
    <format dxfId="153">
      <pivotArea collapsedLevelsAreSubtotals="1" fieldPosition="0">
        <references count="1">
          <reference field="5" count="1">
            <x v="13"/>
          </reference>
        </references>
      </pivotArea>
    </format>
    <format dxfId="152">
      <pivotArea type="all" dataOnly="0" outline="0" fieldPosition="0"/>
    </format>
    <format dxfId="151">
      <pivotArea outline="0" collapsedLevelsAreSubtotals="1" fieldPosition="0"/>
    </format>
    <format dxfId="150">
      <pivotArea field="5" type="button" dataOnly="0" labelOnly="1" outline="0" axis="axisRow" fieldPosition="0"/>
    </format>
    <format dxfId="149">
      <pivotArea dataOnly="0" labelOnly="1" fieldPosition="0">
        <references count="1">
          <reference field="5" count="0"/>
        </references>
      </pivotArea>
    </format>
    <format dxfId="148">
      <pivotArea dataOnly="0" labelOnly="1" grandRow="1" outline="0" fieldPosition="0"/>
    </format>
    <format dxfId="147">
      <pivotArea dataOnly="0" labelOnly="1" outline="0" axis="axisValues" fieldPosition="0"/>
    </format>
    <format dxfId="146">
      <pivotArea type="all" dataOnly="0" outline="0" fieldPosition="0"/>
    </format>
    <format dxfId="145">
      <pivotArea outline="0" collapsedLevelsAreSubtotals="1" fieldPosition="0"/>
    </format>
    <format dxfId="144">
      <pivotArea field="5" type="button" dataOnly="0" labelOnly="1" outline="0" axis="axisRow" fieldPosition="0"/>
    </format>
    <format dxfId="143">
      <pivotArea dataOnly="0" labelOnly="1" fieldPosition="0">
        <references count="1">
          <reference field="5" count="0"/>
        </references>
      </pivotArea>
    </format>
    <format dxfId="142">
      <pivotArea dataOnly="0" labelOnly="1" grandRow="1" outline="0" fieldPosition="0"/>
    </format>
    <format dxfId="141">
      <pivotArea dataOnly="0" labelOnly="1" outline="0" axis="axisValues" fieldPosition="0"/>
    </format>
    <format dxfId="140">
      <pivotArea type="all" dataOnly="0" outline="0" fieldPosition="0"/>
    </format>
    <format dxfId="139">
      <pivotArea outline="0" collapsedLevelsAreSubtotals="1" fieldPosition="0"/>
    </format>
    <format dxfId="138">
      <pivotArea field="5" type="button" dataOnly="0" labelOnly="1" outline="0" axis="axisRow" fieldPosition="0"/>
    </format>
    <format dxfId="137">
      <pivotArea dataOnly="0" labelOnly="1" fieldPosition="0">
        <references count="1">
          <reference field="5" count="0"/>
        </references>
      </pivotArea>
    </format>
    <format dxfId="136">
      <pivotArea dataOnly="0" labelOnly="1" grandRow="1" outline="0" fieldPosition="0"/>
    </format>
    <format dxfId="13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20D9E2-FCEF-497B-8827-CCF991440049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G17:AH20" firstHeaderRow="1" firstDataRow="1" firstDataCol="1"/>
  <pivotFields count="15"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numFmtId="14" showAll="0"/>
    <pivotField numFmtId="14" showAll="0"/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Hospital/ Beneficiary Claim Amount" fld="14" baseField="0" baseItem="0"/>
  </dataFields>
  <formats count="21">
    <format dxfId="220">
      <pivotArea collapsedLevelsAreSubtotals="1" fieldPosition="0">
        <references count="1">
          <reference field="0" count="0"/>
        </references>
      </pivotArea>
    </format>
    <format dxfId="219">
      <pivotArea dataOnly="0" labelOnly="1" fieldPosition="0">
        <references count="1">
          <reference field="0" count="0"/>
        </references>
      </pivotArea>
    </format>
    <format dxfId="218">
      <pivotArea collapsedLevelsAreSubtotals="1" fieldPosition="0">
        <references count="1">
          <reference field="0" count="0"/>
        </references>
      </pivotArea>
    </format>
    <format dxfId="217">
      <pivotArea type="all" dataOnly="0" outline="0" fieldPosition="0"/>
    </format>
    <format dxfId="216">
      <pivotArea outline="0" collapsedLevelsAreSubtotals="1" fieldPosition="0"/>
    </format>
    <format dxfId="215">
      <pivotArea field="0" type="button" dataOnly="0" labelOnly="1" outline="0" axis="axisRow" fieldPosition="0"/>
    </format>
    <format dxfId="214">
      <pivotArea dataOnly="0" labelOnly="1" fieldPosition="0">
        <references count="1">
          <reference field="0" count="0"/>
        </references>
      </pivotArea>
    </format>
    <format dxfId="213">
      <pivotArea dataOnly="0" labelOnly="1" grandRow="1" outline="0" fieldPosition="0"/>
    </format>
    <format dxfId="212">
      <pivotArea dataOnly="0" labelOnly="1" outline="0" axis="axisValues" fieldPosition="0"/>
    </format>
    <format dxfId="211">
      <pivotArea type="all" dataOnly="0" outline="0" fieldPosition="0"/>
    </format>
    <format dxfId="210">
      <pivotArea outline="0" collapsedLevelsAreSubtotals="1" fieldPosition="0"/>
    </format>
    <format dxfId="209">
      <pivotArea field="0" type="button" dataOnly="0" labelOnly="1" outline="0" axis="axisRow" fieldPosition="0"/>
    </format>
    <format dxfId="208">
      <pivotArea dataOnly="0" labelOnly="1" fieldPosition="0">
        <references count="1">
          <reference field="0" count="0"/>
        </references>
      </pivotArea>
    </format>
    <format dxfId="207">
      <pivotArea dataOnly="0" labelOnly="1" grandRow="1" outline="0" fieldPosition="0"/>
    </format>
    <format dxfId="206">
      <pivotArea dataOnly="0" labelOnly="1" outline="0" axis="axisValues" fieldPosition="0"/>
    </format>
    <format dxfId="205">
      <pivotArea type="all" dataOnly="0" outline="0" fieldPosition="0"/>
    </format>
    <format dxfId="204">
      <pivotArea outline="0" collapsedLevelsAreSubtotals="1" fieldPosition="0"/>
    </format>
    <format dxfId="203">
      <pivotArea field="0" type="button" dataOnly="0" labelOnly="1" outline="0" axis="axisRow" fieldPosition="0"/>
    </format>
    <format dxfId="202">
      <pivotArea dataOnly="0" labelOnly="1" fieldPosition="0">
        <references count="1">
          <reference field="0" count="0"/>
        </references>
      </pivotArea>
    </format>
    <format dxfId="201">
      <pivotArea dataOnly="0" labelOnly="1" grandRow="1" outline="0" fieldPosition="0"/>
    </format>
    <format dxfId="20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6D67532-D8DE-422E-A3B0-7BB80B11EE94}" name="Table10" displayName="Table10" ref="A6:H729" totalsRowShown="0" headerRowDxfId="617" dataDxfId="616">
  <tableColumns count="8">
    <tableColumn id="1" xr3:uid="{2004BDF7-9546-426F-B5CE-F1FAFB3DC1CF}" name="S. No." dataDxfId="615">
      <calculatedColumnFormula>'GA55'!A3</calculatedColumnFormula>
    </tableColumn>
    <tableColumn id="2" xr3:uid="{414A0F92-ECE3-4912-8624-66AB885B3333}" name="Bill No" dataDxfId="614">
      <calculatedColumnFormula>'GA55'!B3</calculatedColumnFormula>
    </tableColumn>
    <tableColumn id="3" xr3:uid="{4D1CB5AD-3C33-4582-8ACA-92B02A598DBB}" name="Bill Date" dataDxfId="613">
      <calculatedColumnFormula>'GA55'!C3</calculatedColumnFormula>
    </tableColumn>
    <tableColumn id="4" xr3:uid="{C108FC5F-A42E-4B45-BD70-AEA25CA77902}" name="TV No" dataDxfId="612">
      <calculatedColumnFormula>'GA55'!D3</calculatedColumnFormula>
    </tableColumn>
    <tableColumn id="5" xr3:uid="{F95B1D2B-9CEE-4074-82D3-86FBEED6DC06}" name="TV Date" dataDxfId="611">
      <calculatedColumnFormula>'GA55'!E3</calculatedColumnFormula>
    </tableColumn>
    <tableColumn id="6" xr3:uid="{D29EDF89-90B8-4D2B-AFDB-FDFE10430A1E}" name="FY" dataDxfId="610">
      <calculatedColumnFormula>'GA55'!F3</calculatedColumnFormula>
    </tableColumn>
    <tableColumn id="7" xr3:uid="{77C6E7D9-F3DC-4873-A84C-84A0D2A1704F}" name="Name of month" dataDxfId="609">
      <calculatedColumnFormula>'GA55'!G3</calculatedColumnFormula>
    </tableColumn>
    <tableColumn id="8" xr3:uid="{D49AD34B-3793-48F4-8178-D3F689C4C4E2}" name="SI" dataDxfId="608">
      <calculatedColumnFormula>'GA55'!Q3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9495DA-F0E9-47EC-967F-B6D77037402D}" name="Table1" displayName="Table1" ref="A2:AC204" totalsRowShown="0" headerRowDxfId="607" dataDxfId="605" headerRowBorderDxfId="606" tableBorderDxfId="604" totalsRowBorderDxfId="603">
  <tableColumns count="29">
    <tableColumn id="1" xr3:uid="{6D58F3AA-DF4E-4E1B-B97F-88850494FC49}" name="S. No." dataDxfId="602">
      <calculatedColumnFormula>IFERROR(VALUE(A2),0)+1</calculatedColumnFormula>
    </tableColumn>
    <tableColumn id="2" xr3:uid="{297D1F52-0E2B-4887-9D35-61D0BA67C299}" name="Bill No" dataDxfId="601"/>
    <tableColumn id="3" xr3:uid="{CDCC3C4F-83A4-4D61-99B6-1646C7C03AF3}" name="Bill Date" dataDxfId="600"/>
    <tableColumn id="4" xr3:uid="{95E25BA8-5383-443E-BB48-B5D0F01C7F39}" name="TV No" dataDxfId="599"/>
    <tableColumn id="5" xr3:uid="{758A2D8F-B745-4D65-898E-AAC3A5BBD3B2}" name="TV Date" dataDxfId="598"/>
    <tableColumn id="6" xr3:uid="{4AFB4385-2C41-4DA7-8218-5F53916EC3F0}" name="FY" dataDxfId="597"/>
    <tableColumn id="7" xr3:uid="{DA1BAD88-EC31-424E-930F-B6B3E7116D29}" name="Name of month" dataDxfId="596"/>
    <tableColumn id="8" xr3:uid="{BCB1157E-EF0B-43C3-BF0F-359B8059C13F}" name=" Pay" dataDxfId="595"/>
    <tableColumn id="9" xr3:uid="{27037E67-0853-49B4-A5F9-C841F260505A}" name="DA" dataDxfId="594"/>
    <tableColumn id="10" xr3:uid="{0899773E-7ED6-415C-97D2-33EBCA7FD71D}" name="HRA" dataDxfId="593"/>
    <tableColumn id="11" xr3:uid="{6310E304-2E13-4E48-9253-884EFF2BBF6A}" name="ROP" dataDxfId="592"/>
    <tableColumn id="12" xr3:uid="{29E6F126-D635-40A9-A566-16DC7BAD5FB4}" name="Bonus" dataDxfId="591"/>
    <tableColumn id="13" xr3:uid="{3D720F71-6D4B-40C7-B9AC-EF609174B49C}" name="PL Arrer" dataDxfId="590"/>
    <tableColumn id="18" xr3:uid="{BD8EB10A-B33E-41CF-A8F6-19A183934D23}" name="SI Loan" dataDxfId="589"/>
    <tableColumn id="19" xr3:uid="{4C5B137A-4A9D-4FCA-B9DB-DD1AA81EEF2E}" name="CCA" dataDxfId="588"/>
    <tableColumn id="28" xr3:uid="{3BF74EFF-2BC2-415E-9526-F310FCCF24DE}" name="Gross Amount" dataDxfId="587">
      <calculatedColumnFormula>SUM(H3:O3)</calculatedColumnFormula>
    </tableColumn>
    <tableColumn id="29" xr3:uid="{75D154E7-4372-44AA-ADFD-F74E498EA987}" name="SI" dataDxfId="586"/>
    <tableColumn id="16" xr3:uid="{481D0448-F288-41BF-B075-3043B033E18F}" name="SI Loan  EMI" dataDxfId="585"/>
    <tableColumn id="30" xr3:uid="{16F0DB46-7736-43AB-82F8-07FF9D479455}" name="NPS" dataDxfId="584"/>
    <tableColumn id="31" xr3:uid="{8C6BA247-79AB-4FB4-BC2D-3538B89672AB}" name="GIS" dataDxfId="583"/>
    <tableColumn id="32" xr3:uid="{CBB527FD-0075-4C19-83EF-D1507F447566}" name="GIS Tax" dataDxfId="582"/>
    <tableColumn id="33" xr3:uid="{31224E3E-3356-48BC-8850-E72E84B9937D}" name="H.F.R.F." dataDxfId="581"/>
    <tableColumn id="34" xr3:uid="{690D6D8F-AF5D-4F6D-9468-72AC2C606EED}" name="C M FUND" dataDxfId="580"/>
    <tableColumn id="35" xr3:uid="{0A3D9D32-57AB-424E-AFD7-53799B261779}" name="GPF 2004" dataDxfId="579"/>
    <tableColumn id="14" xr3:uid="{A4506C9A-496B-4C3E-870A-CB24D0AC1237}" name="RGHS" dataDxfId="578"/>
    <tableColumn id="15" xr3:uid="{9157CEB9-D9DD-4CC8-ABE3-72829E67E0E0}" name="Itax" dataDxfId="577"/>
    <tableColumn id="49" xr3:uid="{5C4CFDA7-B3C0-4B71-810F-E12DC733ADCB}" name="Total Deduction" dataDxfId="576">
      <calculatedColumnFormula>SUM(Q3:Z3)</calculatedColumnFormula>
    </tableColumn>
    <tableColumn id="50" xr3:uid="{7299EABC-BA46-4635-8D4F-15165D220E2C}" name="Net. Payable Amount" dataDxfId="575">
      <calculatedColumnFormula>P3-AA3</calculatedColumnFormula>
    </tableColumn>
    <tableColumn id="17" xr3:uid="{F92B34ED-E728-4367-AD08-ADB1FDF60569}" name="remark" dataDxfId="57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E3EF5FD-A3C9-411B-951A-4075E585B4A1}" name="Table11" displayName="Table11" ref="A4:J39" totalsRowShown="0" headerRowDxfId="504" dataDxfId="502" headerRowBorderDxfId="503" tableBorderDxfId="501" totalsRowBorderDxfId="500">
  <tableColumns count="10">
    <tableColumn id="1" xr3:uid="{A52CCA45-11F9-4501-B8F7-CFDC11967F0D}" name="Leave Type" dataDxfId="499"/>
    <tableColumn id="2" xr3:uid="{644A9659-2684-4466-87AA-A5240552BDC0}" name="Leave Earned / Cash Payment or Deductable PL" dataDxfId="498"/>
    <tableColumn id="9" xr3:uid="{A8E26F09-DB3A-4C75-81BB-DDAE314468B1}" name="Year" dataDxfId="497"/>
    <tableColumn id="3" xr3:uid="{5C1ACEAA-AB8D-44AF-9163-94E8556C0FB6}" name="From" dataDxfId="496"/>
    <tableColumn id="4" xr3:uid="{E8611F04-7822-48C1-B99C-6B58679A8749}" name="To" dataDxfId="495"/>
    <tableColumn id="5" xr3:uid="{7FD46AA3-BCD3-4449-B21C-F657D2224CC6}" name="No of Days/ Months" dataDxfId="494"/>
    <tableColumn id="6" xr3:uid="{CFB11D44-1A05-4C7E-B0FD-53EC3AA5D570}" name="Leave Earned / Cash Payment or Deductable PL2" dataDxfId="493"/>
    <tableColumn id="7" xr3:uid="{3785EFF9-70BF-4A5E-94DB-26F123DCA09A}" name="Balance on retrun from leave column" dataDxfId="492"/>
    <tableColumn id="8" xr3:uid="{57233BDF-0140-4739-B423-129E85AB8604}" name="Remark" dataDxfId="491"/>
    <tableColumn id="10" xr3:uid="{22381547-5FC9-4CBB-B248-F51CB9A16C02}" name="matched with service book" dataDxfId="49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AF26D4-EBF6-4DA1-8ECE-D96CE6F38E12}" name="Table2" displayName="Table2" ref="A4:U125" totalsRowShown="0" headerRowDxfId="275">
  <autoFilter ref="A4:U125" xr:uid="{CBAF26D4-EBF6-4DA1-8ECE-D96CE6F38E12}"/>
  <sortState xmlns:xlrd2="http://schemas.microsoft.com/office/spreadsheetml/2017/richdata2" ref="A5:T16">
    <sortCondition ref="P4:P83"/>
  </sortState>
  <tableColumns count="21">
    <tableColumn id="1" xr3:uid="{D67DD3ED-651E-4223-9072-A3D316EB8994}" name="FY"/>
    <tableColumn id="2" xr3:uid="{7E394A54-0AF1-4EC7-8A74-337BA76ABCFD}" name="Month" dataDxfId="274"/>
    <tableColumn id="3" xr3:uid="{0AF4E7B7-B11A-4B58-9315-0A9B0C1CC13B}" name="Salary Month"/>
    <tableColumn id="4" xr3:uid="{67CDD67B-B7CE-498C-86D4-0323B23A4B1D}" name="Transaction Mode"/>
    <tableColumn id="5" xr3:uid="{247ADFA3-CF16-4BF5-9F13-253EDF4985DE}" name="Premium Usual"/>
    <tableColumn id="6" xr3:uid="{D3743A95-E212-4426-8E04-09E41638B657}" name="Incremental Premium"/>
    <tableColumn id="7" xr3:uid="{1F2805D5-BCC5-45D9-BE99-B1110ADD5860}" name="Arrear Usual"/>
    <tableColumn id="8" xr3:uid="{53BCC39C-074A-4F35-88A1-579CBCB726D5}" name="Loan Installment"/>
    <tableColumn id="9" xr3:uid="{8FF679B3-8E41-45CF-8910-79BC9743B4A9}" name="Loan Interest"/>
    <tableColumn id="10" xr3:uid="{006261ED-3299-42AE-98AD-3665F5BDD7E9}" name="Service Tax"/>
    <tableColumn id="17" xr3:uid="{D29FB538-E7A2-4275-B36A-ACD671698DA1}" name="Recovery Amount"/>
    <tableColumn id="11" xr3:uid="{E9BB5F18-114E-4C47-AEF5-617A29E60FE1}" name="Total Premium"/>
    <tableColumn id="18" xr3:uid="{935CB76A-3C87-44C5-8A95-88973831657B}" name="Loan"/>
    <tableColumn id="20" xr3:uid="{9B79AD6D-FB89-4FF3-81E2-F11FD6A531EA}" name="Claim"/>
    <tableColumn id="19" xr3:uid="{DDA9FC33-19F6-45A3-883D-35E06B546BC6}" name="Refund"/>
    <tableColumn id="12" xr3:uid="{E143035D-DC4C-4264-8885-352EACD25098}" name="Check Status with ga 55" dataDxfId="273"/>
    <tableColumn id="13" xr3:uid="{D412D59C-05EF-4B1A-909F-D45259460F84}" name="CORRECTION NEEDED" dataDxfId="272">
      <calculatedColumnFormula>IF(Table2[[#This Row],[Check Status with ga 55]]="ok",0,1)</calculatedColumnFormula>
    </tableColumn>
    <tableColumn id="14" xr3:uid="{32D5A1D7-3943-4B5A-82B7-60A2EFA598DD}" name="TV month or Encashment Month and year" dataDxfId="271">
      <calculatedColumnFormula>IFERROR(CONCATENATE(TEXT(RIGHT(C5,2)*29,"mmm"),"-",RIGHT(LEFT(C5,4),2)),"")</calculatedColumnFormula>
    </tableColumn>
    <tableColumn id="15" xr3:uid="{F49872BC-2E0A-4229-816B-220394CCDC74}" name="TV month or Encashment Month" dataDxfId="270">
      <calculatedColumnFormula>IFERROR((TEXT(RIGHT(C5,2)*29,"mmm")),"")</calculatedColumnFormula>
    </tableColumn>
    <tableColumn id="16" xr3:uid="{FEEC2B93-4D19-43C0-81EF-DDB4DD5416EF}" name="TV year or Encashment Year" dataDxfId="269">
      <calculatedColumnFormula>IFERROR(RIGHT(LEFT(C5,4),2),"")</calculatedColumnFormula>
    </tableColumn>
    <tableColumn id="21" xr3:uid="{26A032D0-804D-45A5-B294-E0B5C2095F9C}" name="Total (automatic)" dataDxfId="268">
      <calculatedColumnFormula>Table2[[#This Row],[Total Premium]]+Table2[[#This Row],[Loan]]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CA14C6B-F468-44EC-BC18-F3A813E3958B}" name="Table5" displayName="Table5" ref="W4:AN14" totalsRowShown="0" headerRowDxfId="267" dataDxfId="265" headerRowBorderDxfId="266" tableBorderDxfId="264" totalsRowBorderDxfId="263">
  <autoFilter ref="W4:AN14" xr:uid="{ECA14C6B-F468-44EC-BC18-F3A813E3958B}"/>
  <tableColumns count="18">
    <tableColumn id="1" xr3:uid="{AAE6404F-997A-4951-BB65-BEDA773CC129}" name="Sr No." dataDxfId="262"/>
    <tableColumn id="2" xr3:uid="{4CFFC59B-9C32-45B8-B12F-1A0638CD546B}" name="Financial Year" dataDxfId="261" dataCellStyle="Hyperlink"/>
    <tableColumn id="3" xr3:uid="{BC21B575-0279-4DC3-95D6-F1DB1E426519}" name="April" dataDxfId="260"/>
    <tableColumn id="4" xr3:uid="{92A9B1AE-F3E9-40EE-BB59-7662A81D7891}" name="May" dataDxfId="259"/>
    <tableColumn id="5" xr3:uid="{CD88F77A-E52E-49AA-BF72-12861768EF85}" name="June" dataDxfId="258"/>
    <tableColumn id="6" xr3:uid="{0AEE9B04-7C77-467A-990D-F45887407173}" name="July" dataDxfId="257"/>
    <tableColumn id="7" xr3:uid="{C66436F3-319F-4633-9284-E1768E75A577}" name="Aug" dataDxfId="256"/>
    <tableColumn id="8" xr3:uid="{30E307F7-B27B-481C-B8E3-07CAE1CF805C}" name="Sept" dataDxfId="255"/>
    <tableColumn id="9" xr3:uid="{8CE6A9E6-0011-4DC3-B620-2BE5C2B75170}" name="Oct" dataDxfId="254"/>
    <tableColumn id="10" xr3:uid="{D60F7565-8107-49DB-8574-6AFA8F648B55}" name="Nov" dataDxfId="253"/>
    <tableColumn id="11" xr3:uid="{7E150710-C87F-4D07-9D44-12F85780B67E}" name="Dec" dataDxfId="252"/>
    <tableColumn id="12" xr3:uid="{E4411160-04B8-4891-860F-1716CDA95D31}" name="Jan" dataDxfId="251"/>
    <tableColumn id="13" xr3:uid="{40CED57D-7B82-436B-9B95-A68363FF3A81}" name="Feb" dataDxfId="250"/>
    <tableColumn id="14" xr3:uid="{AD4106AC-C341-4FD5-B9B2-D51B89E961E0}" name="March" dataDxfId="249"/>
    <tableColumn id="15" xr3:uid="{2EB6E093-6FF0-4EBD-A2A6-24D1C786B273}" name="Total" dataDxfId="248"/>
    <tableColumn id="16" xr3:uid="{79C57481-ECD4-48F8-B6D7-5371972EA7CA}" name="Loan" dataDxfId="247"/>
    <tableColumn id="17" xr3:uid="{556F4D17-8BBE-46EA-97EC-7F920C1363E5}" name="Claim" dataDxfId="246"/>
    <tableColumn id="18" xr3:uid="{1E7B6DE1-108B-4A02-8C8D-B341FF86A43D}" name="REFUND" dataDxfId="245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F600400-6D27-40EA-8187-FB9127964BDB}" name="Table6" displayName="Table6" ref="A1:N374" totalsRowShown="0" headerRowDxfId="244" dataDxfId="242" headerRowBorderDxfId="243" tableBorderDxfId="241" totalsRowBorderDxfId="240">
  <autoFilter ref="A1:N374" xr:uid="{4F600400-6D27-40EA-8187-FB9127964BDB}"/>
  <tableColumns count="14">
    <tableColumn id="1" xr3:uid="{1B187076-233F-4709-AF70-3AE024D805A1}" name="FY" dataDxfId="239"/>
    <tableColumn id="2" xr3:uid="{C4BD12C6-4B08-439B-89AA-8E849A3690FC}" name="Month" dataDxfId="238"/>
    <tableColumn id="3" xr3:uid="{993230CF-6D59-4930-95FC-041C98B2A53E}" name="Sr.No" dataDxfId="237"/>
    <tableColumn id="14" xr3:uid="{86BD5761-6ECD-4E90-B0DE-E05EF0CEC29E}" name="Salary Date" dataDxfId="236"/>
    <tableColumn id="4" xr3:uid="{05DF7E2E-2BA0-4597-B86C-F711F07467F0}" name="Encashment Date" dataDxfId="235"/>
    <tableColumn id="5" xr3:uid="{96210516-25B7-47D9-8EA8-0645E956FDF3}" name="TV No" dataDxfId="234"/>
    <tableColumn id="6" xr3:uid="{D9FDDBDE-C150-4A52-B52F-C7055B71C63C}" name="Total Premium" dataDxfId="233"/>
    <tableColumn id="7" xr3:uid="{4B07AEED-6A16-4E21-8FDE-9605FFD0F5ED}" name="Transaction Type" dataDxfId="232"/>
    <tableColumn id="8" xr3:uid="{98DA72A9-F60F-4E27-A3F1-1D086DB08FDC}" name="UNIT" dataDxfId="231"/>
    <tableColumn id="9" xr3:uid="{3BDB8409-2BC4-4EB0-B027-D49ACAD3B59B}" name="DDO" dataDxfId="230"/>
    <tableColumn id="10" xr3:uid="{06F5068B-55EC-4086-A992-91092FD9FC0A}" name="Office" dataDxfId="229"/>
    <tableColumn id="11" xr3:uid="{2584A63C-6B9C-4CC6-B364-8BD5A2191B9F}" name="TV month or Encashment Month" dataDxfId="228">
      <calculatedColumnFormula>TEXT(E2,"mmm")</calculatedColumnFormula>
    </tableColumn>
    <tableColumn id="12" xr3:uid="{DBCDF9EE-32E7-4780-805D-8EDE6D1ADB7B}" name="TV year or Encashment Year" dataDxfId="227">
      <calculatedColumnFormula>TEXT(E2,"yy")</calculatedColumnFormula>
    </tableColumn>
    <tableColumn id="13" xr3:uid="{51DAC7E3-46BC-43C6-880F-51F1058DAEE8}" name="remark" dataDxfId="226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F4F067-024F-405D-92F0-1459B5C3A125}" name="Table4" displayName="Table4" ref="A5:J97" totalsRowShown="0" headerRowDxfId="225">
  <tableColumns count="10">
    <tableColumn id="1" xr3:uid="{6BC4DECD-101C-4CFF-8CE8-94684A9231C7}" name="S.No" dataDxfId="224"/>
    <tableColumn id="2" xr3:uid="{DA217F72-27F7-4510-A5F9-3EFB4ABC016B}" name="SI FY" dataDxfId="223"/>
    <tableColumn id="3" xr3:uid="{9CF266FD-333D-4937-B024-639A9062D50C}" name="Month"/>
    <tableColumn id="4" xr3:uid="{52C8D5A9-705A-474A-8D1F-660A23CA50CD}" name="TVNO"/>
    <tableColumn id="5" xr3:uid="{587BD714-F32B-49F5-B365-4E573AE366F4}" name="Office Name"/>
    <tableColumn id="6" xr3:uid="{1A5D5727-C816-4176-9C78-F73F969D9929}" name="Employee Contribution"/>
    <tableColumn id="7" xr3:uid="{CC889614-8BC3-4A10-9D76-7B1F3E0F22D0}" name="Employer Contribution"/>
    <tableColumn id="8" xr3:uid="{790C3831-B27C-4E46-B66F-0736866FCE3C}" name="Total"/>
    <tableColumn id="9" xr3:uid="{B2BB4BDA-6443-400E-8E44-9BE11C6C3B52}" name="Check Status with ga 55" dataDxfId="222"/>
    <tableColumn id="10" xr3:uid="{BB5500E2-837A-4037-AA47-85F801A004FE}" name="CORRECTION NEEDED" dataDxfId="221">
      <calculatedColumnFormula>IF(Table4[[#This Row],[Check Status with ga 55]]="OK",0,1)</calculatedColumnFormula>
    </tableColumn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D0FA36F-B677-4DA9-AE94-B3B045A019EF}" name="Table7" displayName="Table7" ref="B5:J134" totalsRowShown="0" headerRowDxfId="73" dataDxfId="71" headerRowBorderDxfId="72" tableBorderDxfId="70" totalsRowBorderDxfId="69">
  <sortState xmlns:xlrd2="http://schemas.microsoft.com/office/spreadsheetml/2017/richdata2" ref="B90:I132">
    <sortCondition ref="B6:B132"/>
    <sortCondition ref="G6:G132"/>
    <sortCondition ref="I6:I132"/>
  </sortState>
  <tableColumns count="9">
    <tableColumn id="1" xr3:uid="{90F1F18E-8860-4079-98D3-72E15B479B39}" name="FY" dataDxfId="68">
      <calculatedColumnFormula>IF(MONTH(G6)&lt;4, YEAR(G6)-1 &amp; "-" &amp; YEAR(G6), YEAR(G6) &amp; "-" &amp; YEAR(G6)+1)</calculatedColumnFormula>
    </tableColumn>
    <tableColumn id="8" xr3:uid="{472B9845-25E2-4E68-AB5C-DA16ADB899EF}" name="Type" dataDxfId="67"/>
    <tableColumn id="2" xr3:uid="{4C54241A-A9FA-455F-9C40-6E5959894123}" name="S No." dataDxfId="66">
      <calculatedColumnFormula>ROW()-5</calculatedColumnFormula>
    </tableColumn>
    <tableColumn id="3" xr3:uid="{F5E0BB73-CEF2-424D-A6F7-35CA28AD3F87}" name="Type Of Service" dataDxfId="65"/>
    <tableColumn id="9" xr3:uid="{51C333DC-AADF-4873-AEA7-0188CDABC5EB}" name="New Transaction ID / _x000a_Reimbursement ID" dataDxfId="64"/>
    <tableColumn id="5" xr3:uid="{1E49B718-E2AC-485E-A58D-C20A1845030D}" name="TID/ Rem ID Creation Date" dataDxfId="63"/>
    <tableColumn id="6" xr3:uid="{E0637E44-7957-48D4-9C4E-357D3AADF155}" name="Hospital/Pharmacy Name" dataDxfId="62"/>
    <tableColumn id="7" xr3:uid="{2F18DF14-ECAF-4805-8D52-FFB36002FB40}" name="Claim Amount" dataDxfId="61"/>
    <tableColumn id="11" xr3:uid="{0D42C28A-14BE-4E98-8BF1-4918AE2BE6D5}" name="Transaction ID / _x000a_Reimbursement ID" dataDxfId="60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1B7C57-DF05-491D-9C90-8C1ABF8CFBE5}" name="Table8" displayName="Table8" ref="M5:AA12" totalsRowShown="0" headerRowDxfId="59" dataDxfId="57" headerRowBorderDxfId="58" tableBorderDxfId="56" totalsRowBorderDxfId="55">
  <tableColumns count="15">
    <tableColumn id="1" xr3:uid="{11190B87-61D3-4313-82B5-A81A64382FB1}" name="FY" dataDxfId="54">
      <calculatedColumnFormula>IF(MONTH(V6)&lt;4, YEAR(V6)-1 &amp; "-" &amp; YEAR(V6), YEAR(V6) &amp; "-" &amp; YEAR(V6)+1)</calculatedColumnFormula>
    </tableColumn>
    <tableColumn id="14" xr3:uid="{3C54EF5C-544D-43A2-B9E3-9B0F30D4C3BB}" name="Type" dataDxfId="53"/>
    <tableColumn id="16" xr3:uid="{D0E9DB18-B598-4531-A2AF-40BCBD7F52E0}" name="S No." dataDxfId="52">
      <calculatedColumnFormula>ROW()-5</calculatedColumnFormula>
    </tableColumn>
    <tableColumn id="2" xr3:uid="{F27AF94F-771E-4B82-9CFA-0D9D8B18B968}" name="Hospital Name" dataDxfId="51"/>
    <tableColumn id="3" xr3:uid="{D8602D3E-6767-48E0-BC6B-540673689A80}" name="Patient Name" dataDxfId="50"/>
    <tableColumn id="4" xr3:uid="{ACC91CCD-6429-44CB-B6FE-A159F7BE2F65}" name="Enrollment Id" dataDxfId="49"/>
    <tableColumn id="5" xr3:uid="{30FF0FF0-DCF7-409F-8C11-5F8006285331}" name="Transaction ID/ Reimbursement ID" dataDxfId="48" dataCellStyle="Hyperlink"/>
    <tableColumn id="6" xr3:uid="{768E4E82-506D-4DB5-912A-329CB3E46731}" name="Relation" dataDxfId="47"/>
    <tableColumn id="7" xr3:uid="{6705A022-33DD-4F11-8329-29A80F73FC59}" name="Gender" dataDxfId="46"/>
    <tableColumn id="8" xr3:uid="{B95B4DE0-9B7E-4D1B-B1B6-56EF9A8B109E}" name="TID/ Rem ID Creation Date" dataDxfId="45"/>
    <tableColumn id="9" xr3:uid="{81FC0A1D-5829-41D9-8975-5F4B7C98081A}" name="Admission Type" dataDxfId="44"/>
    <tableColumn id="10" xr3:uid="{371D032A-3E73-470E-94A4-4576C1AFF09B}" name="Treatment Type" dataDxfId="43"/>
    <tableColumn id="11" xr3:uid="{2E7F1FF5-79FC-4CFB-8380-383EF44BAD4A}" name="Admission Date" dataDxfId="42"/>
    <tableColumn id="12" xr3:uid="{3340C37E-6BF4-4559-8AB9-E1116BE30829}" name="Discharge Date" dataDxfId="41"/>
    <tableColumn id="13" xr3:uid="{F21069FE-D212-4FF2-9529-72C7C3D38557}" name="Hospital/ Beneficiary Claim Amount" dataDxfId="4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openxmlformats.org/officeDocument/2006/relationships/table" Target="../tables/table3.xml"/><Relationship Id="rId4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javascript:Void(0);" TargetMode="External"/><Relationship Id="rId13" Type="http://schemas.openxmlformats.org/officeDocument/2006/relationships/hyperlink" Target="javascript:Void(0);" TargetMode="External"/><Relationship Id="rId3" Type="http://schemas.openxmlformats.org/officeDocument/2006/relationships/hyperlink" Target="javascript:Void(0);" TargetMode="External"/><Relationship Id="rId7" Type="http://schemas.openxmlformats.org/officeDocument/2006/relationships/hyperlink" Target="javascript:Void(0);" TargetMode="External"/><Relationship Id="rId12" Type="http://schemas.openxmlformats.org/officeDocument/2006/relationships/hyperlink" Target="javascript:Void(0);" TargetMode="External"/><Relationship Id="rId2" Type="http://schemas.openxmlformats.org/officeDocument/2006/relationships/pivotTable" Target="../pivotTables/pivotTable13.xml"/><Relationship Id="rId16" Type="http://schemas.openxmlformats.org/officeDocument/2006/relationships/table" Target="../tables/table5.xml"/><Relationship Id="rId1" Type="http://schemas.openxmlformats.org/officeDocument/2006/relationships/pivotTable" Target="../pivotTables/pivotTable12.xml"/><Relationship Id="rId6" Type="http://schemas.openxmlformats.org/officeDocument/2006/relationships/hyperlink" Target="javascript:Void(0);" TargetMode="External"/><Relationship Id="rId11" Type="http://schemas.openxmlformats.org/officeDocument/2006/relationships/hyperlink" Target="javascript:Void(0);" TargetMode="External"/><Relationship Id="rId5" Type="http://schemas.openxmlformats.org/officeDocument/2006/relationships/hyperlink" Target="javascript:Void(0);" TargetMode="External"/><Relationship Id="rId15" Type="http://schemas.openxmlformats.org/officeDocument/2006/relationships/table" Target="../tables/table4.xml"/><Relationship Id="rId10" Type="http://schemas.openxmlformats.org/officeDocument/2006/relationships/hyperlink" Target="javascript:Void(0);" TargetMode="External"/><Relationship Id="rId4" Type="http://schemas.openxmlformats.org/officeDocument/2006/relationships/hyperlink" Target="javascript:Void(0);" TargetMode="External"/><Relationship Id="rId9" Type="http://schemas.openxmlformats.org/officeDocument/2006/relationships/hyperlink" Target="javascript:Void(0);" TargetMode="External"/><Relationship Id="rId14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pivotTable" Target="../pivotTables/pivotTable16.xml"/><Relationship Id="rId7" Type="http://schemas.openxmlformats.org/officeDocument/2006/relationships/printerSettings" Target="../printerSettings/printerSettings10.bin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Relationship Id="rId6" Type="http://schemas.openxmlformats.org/officeDocument/2006/relationships/hyperlink" Target="https://rghs.rajasthan.gov.in/RGHS/Benificiarycardtracker" TargetMode="External"/><Relationship Id="rId5" Type="http://schemas.openxmlformats.org/officeDocument/2006/relationships/hyperlink" Target="https://rghs.rajasthan.gov.in/RGHS/Benificiarycardtracker" TargetMode="External"/><Relationship Id="rId4" Type="http://schemas.openxmlformats.org/officeDocument/2006/relationships/hyperlink" Target="https://rghs.rajasthan.gov.in/RGHS/Benificiarycardtracker" TargetMode="External"/><Relationship Id="rId9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neycontrol.com/nps/nav/lic-pension-fund-scheme-state-govt-/SM003002" TargetMode="External"/><Relationship Id="rId2" Type="http://schemas.openxmlformats.org/officeDocument/2006/relationships/hyperlink" Target="https://www.moneycontrol.com/nps/nav/uti-retirement-solutions-pension-fund-scheme-state-govt/SM002002" TargetMode="External"/><Relationship Id="rId1" Type="http://schemas.openxmlformats.org/officeDocument/2006/relationships/hyperlink" Target="https://www.moneycontrol.com/nps/nav/sbi-pension-fund-scheme-state-govt/SM001002" TargetMode="External"/><Relationship Id="rId4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F48E4-99C3-4C6E-96D0-4B8654DD433E}">
  <dimension ref="A1:BC45"/>
  <sheetViews>
    <sheetView topLeftCell="B1" zoomScaleNormal="100" workbookViewId="0">
      <selection activeCell="T17" sqref="T17"/>
    </sheetView>
  </sheetViews>
  <sheetFormatPr defaultRowHeight="12.75" x14ac:dyDescent="0.2"/>
  <cols>
    <col min="1" max="1" width="10.28515625" style="103" bestFit="1" customWidth="1"/>
    <col min="2" max="3" width="8" style="103" bestFit="1" customWidth="1"/>
    <col min="4" max="4" width="7" style="103" bestFit="1" customWidth="1"/>
    <col min="5" max="5" width="5.5703125" style="103" bestFit="1" customWidth="1"/>
    <col min="6" max="6" width="6.42578125" style="103" bestFit="1" customWidth="1"/>
    <col min="7" max="7" width="5.7109375" style="103" bestFit="1" customWidth="1"/>
    <col min="8" max="8" width="10.7109375" style="103" bestFit="1" customWidth="1"/>
    <col min="9" max="9" width="7.42578125" style="103" bestFit="1" customWidth="1"/>
    <col min="10" max="10" width="8" style="103" bestFit="1" customWidth="1"/>
    <col min="11" max="12" width="7" style="103" bestFit="1" customWidth="1"/>
    <col min="13" max="13" width="6" style="103" bestFit="1" customWidth="1"/>
    <col min="14" max="14" width="7" style="103" bestFit="1" customWidth="1"/>
    <col min="15" max="15" width="5.85546875" style="103" bestFit="1" customWidth="1"/>
    <col min="16" max="16" width="5.7109375" style="103" bestFit="1" customWidth="1"/>
    <col min="17" max="17" width="7" style="103" bestFit="1" customWidth="1"/>
    <col min="18" max="19" width="6" style="103" bestFit="1" customWidth="1"/>
    <col min="20" max="20" width="10.5703125" style="103" bestFit="1" customWidth="1"/>
    <col min="21" max="22" width="11" style="103" bestFit="1" customWidth="1"/>
    <col min="23" max="23" width="2.42578125" style="103" customWidth="1"/>
    <col min="24" max="24" width="10.28515625" style="103" bestFit="1" customWidth="1"/>
    <col min="25" max="25" width="5.7109375" style="103" bestFit="1" customWidth="1"/>
    <col min="26" max="26" width="7" style="103" bestFit="1" customWidth="1"/>
    <col min="27" max="28" width="5.7109375" style="103" bestFit="1" customWidth="1"/>
    <col min="29" max="29" width="6" style="103" bestFit="1" customWidth="1"/>
    <col min="30" max="32" width="5.7109375" style="103" bestFit="1" customWidth="1"/>
    <col min="33" max="33" width="7" style="103" bestFit="1" customWidth="1"/>
    <col min="34" max="34" width="6.140625" style="103" bestFit="1" customWidth="1"/>
    <col min="35" max="35" width="18.85546875" style="103" bestFit="1" customWidth="1"/>
    <col min="36" max="47" width="6" style="103" bestFit="1" customWidth="1"/>
    <col min="48" max="48" width="2" style="103" bestFit="1" customWidth="1"/>
    <col min="49" max="49" width="10.28515625" style="103" bestFit="1" customWidth="1"/>
    <col min="50" max="50" width="11.28515625" style="103" bestFit="1" customWidth="1"/>
    <col min="51" max="51" width="9.140625" style="103"/>
    <col min="52" max="52" width="10.28515625" style="103" bestFit="1" customWidth="1"/>
    <col min="53" max="54" width="19.42578125" style="103" bestFit="1" customWidth="1"/>
    <col min="55" max="55" width="10.85546875" style="103" bestFit="1" customWidth="1"/>
    <col min="56" max="16384" width="9.140625" style="103"/>
  </cols>
  <sheetData>
    <row r="1" spans="1:55" x14ac:dyDescent="0.2">
      <c r="A1" s="351" t="s">
        <v>59</v>
      </c>
      <c r="B1" s="351"/>
      <c r="C1" s="351"/>
      <c r="F1" s="133" t="s">
        <v>628</v>
      </c>
      <c r="G1" s="134">
        <v>46110</v>
      </c>
    </row>
    <row r="2" spans="1:55" x14ac:dyDescent="0.2">
      <c r="A2" s="352"/>
      <c r="B2" s="352"/>
      <c r="C2" s="352"/>
    </row>
    <row r="3" spans="1:55" s="131" customFormat="1" ht="38.25" customHeight="1" x14ac:dyDescent="0.2">
      <c r="A3" s="130" t="s">
        <v>430</v>
      </c>
      <c r="B3" s="129" t="s">
        <v>434</v>
      </c>
      <c r="C3" s="129" t="s">
        <v>435</v>
      </c>
      <c r="D3" s="129" t="s">
        <v>436</v>
      </c>
      <c r="E3" s="129" t="s">
        <v>437</v>
      </c>
      <c r="F3" s="129" t="s">
        <v>438</v>
      </c>
      <c r="G3" s="129" t="s">
        <v>592</v>
      </c>
      <c r="H3" s="102" t="s">
        <v>919</v>
      </c>
      <c r="I3" s="102" t="s">
        <v>830</v>
      </c>
      <c r="J3" s="129" t="s">
        <v>593</v>
      </c>
      <c r="K3" s="129" t="s">
        <v>440</v>
      </c>
      <c r="L3" s="129" t="s">
        <v>441</v>
      </c>
      <c r="M3" s="129" t="s">
        <v>442</v>
      </c>
      <c r="N3" s="129" t="s">
        <v>594</v>
      </c>
      <c r="O3" s="129" t="s">
        <v>443</v>
      </c>
      <c r="P3" s="129" t="s">
        <v>595</v>
      </c>
      <c r="Q3" s="129" t="s">
        <v>596</v>
      </c>
      <c r="R3" s="129" t="s">
        <v>597</v>
      </c>
      <c r="S3" s="102" t="s">
        <v>847</v>
      </c>
      <c r="T3" s="102" t="s">
        <v>848</v>
      </c>
      <c r="U3" s="129" t="s">
        <v>598</v>
      </c>
      <c r="V3" s="129" t="s">
        <v>599</v>
      </c>
      <c r="AI3" s="351" t="s">
        <v>656</v>
      </c>
      <c r="AJ3" s="351"/>
      <c r="AK3" s="351"/>
      <c r="AL3" s="103"/>
      <c r="AM3" s="348" t="s">
        <v>657</v>
      </c>
      <c r="AN3" s="348"/>
      <c r="AO3" s="348"/>
      <c r="AP3" s="348"/>
      <c r="AQ3" s="348"/>
      <c r="AR3" s="103"/>
      <c r="AS3" s="103"/>
      <c r="AT3" s="103"/>
      <c r="AU3" s="103"/>
      <c r="AV3" s="103"/>
      <c r="AW3" s="103"/>
      <c r="AX3" s="103"/>
      <c r="AZ3" s="349" t="s">
        <v>463</v>
      </c>
      <c r="BA3" s="349"/>
      <c r="BB3" s="349"/>
      <c r="BC3" s="349"/>
    </row>
    <row r="4" spans="1:55" ht="12.75" customHeight="1" x14ac:dyDescent="0.2">
      <c r="A4" s="102" t="s">
        <v>21</v>
      </c>
      <c r="B4" s="184">
        <v>46838</v>
      </c>
      <c r="C4" s="184"/>
      <c r="D4" s="184"/>
      <c r="E4" s="184"/>
      <c r="F4" s="184"/>
      <c r="G4" s="184"/>
      <c r="H4" s="184"/>
      <c r="I4" s="184"/>
      <c r="J4" s="183">
        <v>46838</v>
      </c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3">
        <v>0</v>
      </c>
      <c r="V4" s="186">
        <v>46838</v>
      </c>
      <c r="X4" s="351" t="s">
        <v>600</v>
      </c>
      <c r="Y4" s="351"/>
      <c r="Z4" s="351"/>
      <c r="AI4" s="351"/>
      <c r="AJ4" s="351"/>
      <c r="AK4" s="351"/>
      <c r="AM4" s="348"/>
      <c r="AN4" s="348"/>
      <c r="AO4" s="348"/>
      <c r="AP4" s="348"/>
      <c r="AQ4" s="348"/>
      <c r="AZ4" s="349"/>
      <c r="BA4" s="349"/>
      <c r="BB4" s="349"/>
      <c r="BC4" s="349"/>
    </row>
    <row r="5" spans="1:55" ht="12.75" customHeight="1" x14ac:dyDescent="0.2">
      <c r="A5" s="102" t="s">
        <v>20</v>
      </c>
      <c r="B5" s="184">
        <v>114560</v>
      </c>
      <c r="C5" s="184"/>
      <c r="D5" s="184"/>
      <c r="E5" s="184"/>
      <c r="F5" s="184"/>
      <c r="G5" s="184"/>
      <c r="H5" s="184"/>
      <c r="I5" s="184"/>
      <c r="J5" s="183">
        <v>114560</v>
      </c>
      <c r="K5" s="185"/>
      <c r="L5" s="185"/>
      <c r="M5" s="185">
        <v>220</v>
      </c>
      <c r="N5" s="185">
        <v>27.19</v>
      </c>
      <c r="O5" s="185">
        <v>538</v>
      </c>
      <c r="P5" s="185"/>
      <c r="Q5" s="185"/>
      <c r="R5" s="185"/>
      <c r="S5" s="185"/>
      <c r="T5" s="185"/>
      <c r="U5" s="183">
        <v>785.19</v>
      </c>
      <c r="V5" s="186">
        <v>113774.81</v>
      </c>
      <c r="X5" s="351"/>
      <c r="Y5" s="351"/>
      <c r="Z5" s="351"/>
      <c r="AI5" s="310" t="s">
        <v>449</v>
      </c>
      <c r="AJ5" s="310" t="s">
        <v>65</v>
      </c>
      <c r="AZ5" s="310" t="s">
        <v>430</v>
      </c>
      <c r="BA5" s="103" t="s">
        <v>456</v>
      </c>
      <c r="BB5" s="103" t="s">
        <v>457</v>
      </c>
      <c r="BC5" s="103" t="s">
        <v>433</v>
      </c>
    </row>
    <row r="6" spans="1:55" ht="82.5" x14ac:dyDescent="0.2">
      <c r="A6" s="102" t="s">
        <v>22</v>
      </c>
      <c r="B6" s="184">
        <v>139150</v>
      </c>
      <c r="C6" s="184">
        <v>69561</v>
      </c>
      <c r="D6" s="184">
        <v>5846</v>
      </c>
      <c r="E6" s="184">
        <v>-1452</v>
      </c>
      <c r="F6" s="184"/>
      <c r="G6" s="184"/>
      <c r="H6" s="184"/>
      <c r="I6" s="184"/>
      <c r="J6" s="183">
        <v>213105</v>
      </c>
      <c r="K6" s="185"/>
      <c r="L6" s="185">
        <v>12801</v>
      </c>
      <c r="M6" s="185">
        <v>220</v>
      </c>
      <c r="N6" s="185">
        <v>27.19</v>
      </c>
      <c r="O6" s="185"/>
      <c r="P6" s="185"/>
      <c r="Q6" s="185"/>
      <c r="R6" s="185"/>
      <c r="S6" s="185"/>
      <c r="T6" s="185"/>
      <c r="U6" s="183">
        <v>13048.19</v>
      </c>
      <c r="V6" s="186">
        <v>200056.81</v>
      </c>
      <c r="X6" s="311" t="s">
        <v>431</v>
      </c>
      <c r="Y6" s="312" t="s">
        <v>815</v>
      </c>
      <c r="Z6" s="312" t="s">
        <v>816</v>
      </c>
      <c r="AA6" s="312" t="s">
        <v>444</v>
      </c>
      <c r="AB6" s="312" t="s">
        <v>817</v>
      </c>
      <c r="AC6" s="312" t="s">
        <v>445</v>
      </c>
      <c r="AD6" s="312" t="s">
        <v>446</v>
      </c>
      <c r="AE6" s="312" t="s">
        <v>447</v>
      </c>
      <c r="AF6" s="312" t="s">
        <v>448</v>
      </c>
      <c r="AG6" s="312" t="s">
        <v>449</v>
      </c>
      <c r="AI6" s="313" t="s">
        <v>431</v>
      </c>
      <c r="AJ6" s="314" t="s">
        <v>528</v>
      </c>
      <c r="AK6" s="314" t="s">
        <v>529</v>
      </c>
      <c r="AL6" s="314" t="s">
        <v>533</v>
      </c>
      <c r="AM6" s="314" t="s">
        <v>534</v>
      </c>
      <c r="AN6" s="314" t="s">
        <v>520</v>
      </c>
      <c r="AO6" s="314" t="s">
        <v>535</v>
      </c>
      <c r="AP6" s="314" t="s">
        <v>536</v>
      </c>
      <c r="AQ6" s="314" t="s">
        <v>523</v>
      </c>
      <c r="AR6" s="314" t="s">
        <v>537</v>
      </c>
      <c r="AS6" s="314" t="s">
        <v>525</v>
      </c>
      <c r="AT6" s="314" t="s">
        <v>526</v>
      </c>
      <c r="AU6" s="314" t="s">
        <v>527</v>
      </c>
      <c r="AV6" s="314"/>
      <c r="AW6" s="314" t="s">
        <v>432</v>
      </c>
      <c r="AZ6" s="315" t="s">
        <v>22</v>
      </c>
      <c r="BA6" s="316">
        <v>12801</v>
      </c>
      <c r="BB6" s="316">
        <v>12801</v>
      </c>
      <c r="BC6" s="316">
        <v>25602</v>
      </c>
    </row>
    <row r="7" spans="1:55" x14ac:dyDescent="0.2">
      <c r="A7" s="102" t="s">
        <v>23</v>
      </c>
      <c r="B7" s="184">
        <v>142515</v>
      </c>
      <c r="C7" s="184">
        <v>186335</v>
      </c>
      <c r="D7" s="184">
        <v>13676</v>
      </c>
      <c r="E7" s="184"/>
      <c r="F7" s="184">
        <v>3387</v>
      </c>
      <c r="G7" s="184"/>
      <c r="H7" s="184"/>
      <c r="I7" s="184"/>
      <c r="J7" s="183">
        <v>345913</v>
      </c>
      <c r="K7" s="185">
        <v>13200</v>
      </c>
      <c r="L7" s="185">
        <v>31550</v>
      </c>
      <c r="M7" s="185">
        <v>220</v>
      </c>
      <c r="N7" s="185">
        <v>31.9</v>
      </c>
      <c r="O7" s="185"/>
      <c r="P7" s="185"/>
      <c r="Q7" s="185"/>
      <c r="R7" s="185"/>
      <c r="S7" s="185"/>
      <c r="T7" s="185"/>
      <c r="U7" s="183">
        <v>45001.9</v>
      </c>
      <c r="V7" s="186">
        <v>300911.09999999998</v>
      </c>
      <c r="X7" s="102" t="s">
        <v>23</v>
      </c>
      <c r="Y7" s="267">
        <v>0</v>
      </c>
      <c r="Z7" s="267">
        <v>13200</v>
      </c>
      <c r="AA7" s="267">
        <v>0</v>
      </c>
      <c r="AB7" s="267">
        <v>0</v>
      </c>
      <c r="AC7" s="267">
        <v>0</v>
      </c>
      <c r="AD7" s="267">
        <v>0</v>
      </c>
      <c r="AE7" s="267">
        <v>0</v>
      </c>
      <c r="AF7" s="267">
        <v>0</v>
      </c>
      <c r="AG7" s="267">
        <v>13200</v>
      </c>
      <c r="AI7" s="317" t="s">
        <v>23</v>
      </c>
      <c r="AJ7" s="318">
        <v>1100</v>
      </c>
      <c r="AK7" s="318">
        <v>1100</v>
      </c>
      <c r="AL7" s="318">
        <v>1100</v>
      </c>
      <c r="AM7" s="318">
        <v>1100</v>
      </c>
      <c r="AN7" s="318">
        <v>1100</v>
      </c>
      <c r="AO7" s="318">
        <v>1100</v>
      </c>
      <c r="AP7" s="318">
        <v>1100</v>
      </c>
      <c r="AQ7" s="318">
        <v>1100</v>
      </c>
      <c r="AR7" s="318">
        <v>1100</v>
      </c>
      <c r="AS7" s="318">
        <v>2200</v>
      </c>
      <c r="AT7" s="318"/>
      <c r="AU7" s="318">
        <v>1100</v>
      </c>
      <c r="AV7" s="318">
        <v>0</v>
      </c>
      <c r="AW7" s="318">
        <v>13200</v>
      </c>
      <c r="AZ7" s="315" t="s">
        <v>23</v>
      </c>
      <c r="BA7" s="316">
        <v>31550</v>
      </c>
      <c r="BB7" s="316">
        <v>31550</v>
      </c>
      <c r="BC7" s="316">
        <v>63100</v>
      </c>
    </row>
    <row r="8" spans="1:55" x14ac:dyDescent="0.2">
      <c r="A8" s="102" t="s">
        <v>24</v>
      </c>
      <c r="B8" s="184">
        <v>238420</v>
      </c>
      <c r="C8" s="184">
        <v>119658</v>
      </c>
      <c r="D8" s="184">
        <v>19537</v>
      </c>
      <c r="E8" s="184"/>
      <c r="F8" s="184">
        <v>6774</v>
      </c>
      <c r="G8" s="184"/>
      <c r="H8" s="184"/>
      <c r="I8" s="184"/>
      <c r="J8" s="183">
        <v>384389</v>
      </c>
      <c r="K8" s="185">
        <v>31800</v>
      </c>
      <c r="L8" s="185">
        <v>34279</v>
      </c>
      <c r="M8" s="185">
        <v>220</v>
      </c>
      <c r="N8" s="185">
        <v>33</v>
      </c>
      <c r="O8" s="185"/>
      <c r="P8" s="185"/>
      <c r="Q8" s="185"/>
      <c r="R8" s="185"/>
      <c r="S8" s="185"/>
      <c r="T8" s="185"/>
      <c r="U8" s="183">
        <v>66332</v>
      </c>
      <c r="V8" s="186">
        <v>318057</v>
      </c>
      <c r="X8" s="102" t="s">
        <v>24</v>
      </c>
      <c r="Y8" s="267">
        <v>0</v>
      </c>
      <c r="Z8" s="267">
        <v>31800</v>
      </c>
      <c r="AA8" s="267">
        <v>0</v>
      </c>
      <c r="AB8" s="267">
        <v>0</v>
      </c>
      <c r="AC8" s="267">
        <v>0</v>
      </c>
      <c r="AD8" s="267">
        <v>0</v>
      </c>
      <c r="AE8" s="267">
        <v>0</v>
      </c>
      <c r="AF8" s="267">
        <v>0</v>
      </c>
      <c r="AG8" s="267">
        <v>31800</v>
      </c>
      <c r="AI8" s="317" t="s">
        <v>24</v>
      </c>
      <c r="AJ8" s="318">
        <v>2650</v>
      </c>
      <c r="AK8" s="318">
        <v>2650</v>
      </c>
      <c r="AL8" s="318">
        <v>2650</v>
      </c>
      <c r="AM8" s="318">
        <v>2650</v>
      </c>
      <c r="AN8" s="318">
        <v>2650</v>
      </c>
      <c r="AO8" s="318">
        <v>2650</v>
      </c>
      <c r="AP8" s="318">
        <v>2650</v>
      </c>
      <c r="AQ8" s="318">
        <v>2650</v>
      </c>
      <c r="AR8" s="318">
        <v>2650</v>
      </c>
      <c r="AS8" s="318">
        <v>2650</v>
      </c>
      <c r="AT8" s="318">
        <v>2650</v>
      </c>
      <c r="AU8" s="318">
        <v>2650</v>
      </c>
      <c r="AV8" s="318"/>
      <c r="AW8" s="318">
        <v>31800</v>
      </c>
      <c r="AZ8" s="315" t="s">
        <v>24</v>
      </c>
      <c r="BA8" s="316">
        <v>34279</v>
      </c>
      <c r="BB8" s="316">
        <v>34279</v>
      </c>
      <c r="BC8" s="316">
        <v>68558</v>
      </c>
    </row>
    <row r="9" spans="1:55" x14ac:dyDescent="0.2">
      <c r="A9" s="102" t="s">
        <v>192</v>
      </c>
      <c r="B9" s="184">
        <v>524505</v>
      </c>
      <c r="C9" s="184">
        <v>-106361</v>
      </c>
      <c r="D9" s="184">
        <v>28128</v>
      </c>
      <c r="E9" s="184"/>
      <c r="F9" s="184">
        <v>6774</v>
      </c>
      <c r="G9" s="184">
        <v>287</v>
      </c>
      <c r="H9" s="184"/>
      <c r="I9" s="184"/>
      <c r="J9" s="183">
        <v>453333</v>
      </c>
      <c r="K9" s="185">
        <v>36000</v>
      </c>
      <c r="L9" s="185">
        <v>40111</v>
      </c>
      <c r="M9" s="185">
        <v>220</v>
      </c>
      <c r="N9" s="185"/>
      <c r="O9" s="185"/>
      <c r="P9" s="185"/>
      <c r="Q9" s="185"/>
      <c r="R9" s="185"/>
      <c r="S9" s="185"/>
      <c r="T9" s="185"/>
      <c r="U9" s="183">
        <v>76331</v>
      </c>
      <c r="V9" s="186">
        <v>377002</v>
      </c>
      <c r="X9" s="102" t="s">
        <v>192</v>
      </c>
      <c r="Y9" s="267">
        <v>0</v>
      </c>
      <c r="Z9" s="267">
        <v>36000</v>
      </c>
      <c r="AA9" s="267">
        <v>0</v>
      </c>
      <c r="AB9" s="267">
        <v>0</v>
      </c>
      <c r="AC9" s="267">
        <v>0</v>
      </c>
      <c r="AD9" s="267">
        <v>0</v>
      </c>
      <c r="AE9" s="267">
        <v>0</v>
      </c>
      <c r="AF9" s="267">
        <v>0</v>
      </c>
      <c r="AG9" s="267">
        <v>36000</v>
      </c>
      <c r="AI9" s="317" t="s">
        <v>192</v>
      </c>
      <c r="AJ9" s="318">
        <v>3000</v>
      </c>
      <c r="AK9" s="318">
        <v>6000</v>
      </c>
      <c r="AL9" s="318">
        <v>3000</v>
      </c>
      <c r="AM9" s="318">
        <v>3000</v>
      </c>
      <c r="AN9" s="318">
        <v>3000</v>
      </c>
      <c r="AO9" s="318">
        <v>3000</v>
      </c>
      <c r="AP9" s="318">
        <v>3000</v>
      </c>
      <c r="AQ9" s="318">
        <v>3000</v>
      </c>
      <c r="AR9" s="318">
        <v>3000</v>
      </c>
      <c r="AS9" s="318">
        <v>3000</v>
      </c>
      <c r="AT9" s="318">
        <v>3000</v>
      </c>
      <c r="AU9" s="318"/>
      <c r="AV9" s="318">
        <v>0</v>
      </c>
      <c r="AW9" s="318">
        <v>36000</v>
      </c>
      <c r="AZ9" s="315" t="s">
        <v>192</v>
      </c>
      <c r="BA9" s="316">
        <v>40111</v>
      </c>
      <c r="BB9" s="316">
        <v>40111</v>
      </c>
      <c r="BC9" s="316">
        <v>80222</v>
      </c>
    </row>
    <row r="10" spans="1:55" x14ac:dyDescent="0.2">
      <c r="A10" s="102" t="s">
        <v>246</v>
      </c>
      <c r="B10" s="184">
        <v>377650</v>
      </c>
      <c r="C10" s="184">
        <v>47094</v>
      </c>
      <c r="D10" s="184">
        <v>28992</v>
      </c>
      <c r="E10" s="184"/>
      <c r="F10" s="184">
        <v>6774</v>
      </c>
      <c r="G10" s="184"/>
      <c r="H10" s="184"/>
      <c r="I10" s="184"/>
      <c r="J10" s="183">
        <v>460510</v>
      </c>
      <c r="K10" s="185">
        <v>36000</v>
      </c>
      <c r="L10" s="185">
        <v>40766</v>
      </c>
      <c r="M10" s="185">
        <v>220</v>
      </c>
      <c r="N10" s="185"/>
      <c r="O10" s="185"/>
      <c r="P10" s="185"/>
      <c r="Q10" s="185"/>
      <c r="R10" s="185"/>
      <c r="S10" s="185"/>
      <c r="T10" s="185"/>
      <c r="U10" s="183">
        <v>76986</v>
      </c>
      <c r="V10" s="186">
        <v>383524</v>
      </c>
      <c r="X10" s="102" t="s">
        <v>246</v>
      </c>
      <c r="Y10" s="267">
        <v>0</v>
      </c>
      <c r="Z10" s="267">
        <v>36000</v>
      </c>
      <c r="AA10" s="267">
        <v>0</v>
      </c>
      <c r="AB10" s="267">
        <v>0</v>
      </c>
      <c r="AC10" s="267">
        <v>0</v>
      </c>
      <c r="AD10" s="267">
        <v>0</v>
      </c>
      <c r="AE10" s="267">
        <v>0</v>
      </c>
      <c r="AF10" s="267">
        <v>0</v>
      </c>
      <c r="AG10" s="267">
        <v>36000</v>
      </c>
      <c r="AI10" s="317" t="s">
        <v>246</v>
      </c>
      <c r="AJ10" s="318">
        <v>3000</v>
      </c>
      <c r="AK10" s="318">
        <v>3000</v>
      </c>
      <c r="AL10" s="318">
        <v>3000</v>
      </c>
      <c r="AM10" s="318">
        <v>3000</v>
      </c>
      <c r="AN10" s="318">
        <v>3000</v>
      </c>
      <c r="AO10" s="318">
        <v>3000</v>
      </c>
      <c r="AP10" s="318">
        <v>3000</v>
      </c>
      <c r="AQ10" s="318">
        <v>3000</v>
      </c>
      <c r="AR10" s="318">
        <v>3000</v>
      </c>
      <c r="AS10" s="318">
        <v>3000</v>
      </c>
      <c r="AT10" s="318">
        <v>3000</v>
      </c>
      <c r="AU10" s="318">
        <v>3000</v>
      </c>
      <c r="AV10" s="318"/>
      <c r="AW10" s="318">
        <v>36000</v>
      </c>
      <c r="AZ10" s="315" t="s">
        <v>246</v>
      </c>
      <c r="BA10" s="316">
        <v>40766</v>
      </c>
      <c r="BB10" s="316">
        <v>40766</v>
      </c>
      <c r="BC10" s="316">
        <v>81532</v>
      </c>
    </row>
    <row r="11" spans="1:55" x14ac:dyDescent="0.2">
      <c r="A11" s="102" t="s">
        <v>342</v>
      </c>
      <c r="B11" s="184">
        <v>388900</v>
      </c>
      <c r="C11" s="184">
        <v>78313</v>
      </c>
      <c r="D11" s="184">
        <v>29857</v>
      </c>
      <c r="E11" s="184"/>
      <c r="F11" s="184">
        <v>6774</v>
      </c>
      <c r="G11" s="184"/>
      <c r="H11" s="184"/>
      <c r="I11" s="184"/>
      <c r="J11" s="183">
        <v>503844</v>
      </c>
      <c r="K11" s="185">
        <v>60000</v>
      </c>
      <c r="L11" s="185">
        <v>44891</v>
      </c>
      <c r="M11" s="185">
        <v>220</v>
      </c>
      <c r="N11" s="185"/>
      <c r="O11" s="185"/>
      <c r="P11" s="185">
        <v>4542</v>
      </c>
      <c r="Q11" s="185">
        <v>5081</v>
      </c>
      <c r="R11" s="185"/>
      <c r="S11" s="185"/>
      <c r="T11" s="185"/>
      <c r="U11" s="183">
        <v>114734</v>
      </c>
      <c r="V11" s="186">
        <v>389110</v>
      </c>
      <c r="X11" s="102" t="s">
        <v>342</v>
      </c>
      <c r="Y11" s="267">
        <v>0</v>
      </c>
      <c r="Z11" s="267">
        <v>55000</v>
      </c>
      <c r="AA11" s="267">
        <v>0</v>
      </c>
      <c r="AB11" s="267">
        <v>0</v>
      </c>
      <c r="AC11" s="267">
        <v>0</v>
      </c>
      <c r="AD11" s="267">
        <v>0</v>
      </c>
      <c r="AE11" s="267">
        <v>5000</v>
      </c>
      <c r="AF11" s="267">
        <v>0</v>
      </c>
      <c r="AG11" s="267">
        <v>55000</v>
      </c>
      <c r="AI11" s="317" t="s">
        <v>342</v>
      </c>
      <c r="AJ11" s="318">
        <v>5000</v>
      </c>
      <c r="AK11" s="318">
        <v>5000</v>
      </c>
      <c r="AL11" s="318">
        <v>5000</v>
      </c>
      <c r="AM11" s="318">
        <v>0</v>
      </c>
      <c r="AN11" s="318">
        <v>5000</v>
      </c>
      <c r="AO11" s="318">
        <v>10000</v>
      </c>
      <c r="AP11" s="318">
        <v>5000</v>
      </c>
      <c r="AQ11" s="318">
        <v>5000</v>
      </c>
      <c r="AR11" s="318">
        <v>5000</v>
      </c>
      <c r="AS11" s="318">
        <v>5000</v>
      </c>
      <c r="AT11" s="318">
        <v>5000</v>
      </c>
      <c r="AU11" s="318">
        <v>5000</v>
      </c>
      <c r="AV11" s="318"/>
      <c r="AW11" s="318">
        <v>60000</v>
      </c>
      <c r="AZ11" s="315" t="s">
        <v>342</v>
      </c>
      <c r="BA11" s="316">
        <v>44891</v>
      </c>
      <c r="BB11" s="316">
        <v>44891</v>
      </c>
      <c r="BC11" s="316">
        <v>89782</v>
      </c>
    </row>
    <row r="12" spans="1:55" x14ac:dyDescent="0.2">
      <c r="A12" s="102" t="s">
        <v>416</v>
      </c>
      <c r="B12" s="184">
        <v>399700</v>
      </c>
      <c r="C12" s="184">
        <v>104125</v>
      </c>
      <c r="D12" s="184">
        <v>33304</v>
      </c>
      <c r="E12" s="184"/>
      <c r="F12" s="184">
        <v>6774</v>
      </c>
      <c r="G12" s="184"/>
      <c r="H12" s="184"/>
      <c r="I12" s="184"/>
      <c r="J12" s="183">
        <v>543903</v>
      </c>
      <c r="K12" s="185">
        <v>60000</v>
      </c>
      <c r="L12" s="185">
        <v>48544</v>
      </c>
      <c r="M12" s="185">
        <v>2100</v>
      </c>
      <c r="N12" s="185"/>
      <c r="O12" s="185"/>
      <c r="P12" s="185"/>
      <c r="Q12" s="185">
        <v>6003</v>
      </c>
      <c r="R12" s="185">
        <v>1760</v>
      </c>
      <c r="S12" s="185"/>
      <c r="T12" s="185"/>
      <c r="U12" s="183">
        <v>118407</v>
      </c>
      <c r="V12" s="186">
        <v>425496</v>
      </c>
      <c r="X12" s="102" t="s">
        <v>416</v>
      </c>
      <c r="Y12" s="267">
        <v>0</v>
      </c>
      <c r="Z12" s="267">
        <v>60000</v>
      </c>
      <c r="AA12" s="267">
        <v>0</v>
      </c>
      <c r="AB12" s="267">
        <v>0</v>
      </c>
      <c r="AC12" s="267">
        <v>0</v>
      </c>
      <c r="AD12" s="267">
        <v>0</v>
      </c>
      <c r="AE12" s="267">
        <v>0</v>
      </c>
      <c r="AF12" s="267">
        <v>0</v>
      </c>
      <c r="AG12" s="267">
        <v>60000</v>
      </c>
      <c r="AI12" s="317" t="s">
        <v>416</v>
      </c>
      <c r="AJ12" s="318">
        <v>5000</v>
      </c>
      <c r="AK12" s="318">
        <v>5000</v>
      </c>
      <c r="AL12" s="318">
        <v>5000</v>
      </c>
      <c r="AM12" s="318">
        <v>5000</v>
      </c>
      <c r="AN12" s="318">
        <v>5000</v>
      </c>
      <c r="AO12" s="318">
        <v>5000</v>
      </c>
      <c r="AP12" s="318">
        <v>5000</v>
      </c>
      <c r="AQ12" s="318">
        <v>5000</v>
      </c>
      <c r="AR12" s="318">
        <v>5000</v>
      </c>
      <c r="AS12" s="318">
        <v>5000</v>
      </c>
      <c r="AT12" s="318">
        <v>5000</v>
      </c>
      <c r="AU12" s="318">
        <v>5000</v>
      </c>
      <c r="AV12" s="318"/>
      <c r="AW12" s="318">
        <v>60000</v>
      </c>
      <c r="AZ12" s="315" t="s">
        <v>416</v>
      </c>
      <c r="BA12" s="316">
        <v>44313</v>
      </c>
      <c r="BB12" s="316">
        <v>44313</v>
      </c>
      <c r="BC12" s="316">
        <v>88626</v>
      </c>
    </row>
    <row r="13" spans="1:55" x14ac:dyDescent="0.2">
      <c r="A13" s="102" t="s">
        <v>516</v>
      </c>
      <c r="B13" s="184">
        <v>419600</v>
      </c>
      <c r="C13" s="184">
        <v>155572</v>
      </c>
      <c r="D13" s="184">
        <v>36311</v>
      </c>
      <c r="E13" s="184"/>
      <c r="F13" s="184">
        <v>6774</v>
      </c>
      <c r="G13" s="184"/>
      <c r="H13" s="184"/>
      <c r="I13" s="184"/>
      <c r="J13" s="183">
        <v>618257</v>
      </c>
      <c r="K13" s="185">
        <v>60000</v>
      </c>
      <c r="L13" s="185"/>
      <c r="M13" s="185">
        <v>1750</v>
      </c>
      <c r="N13" s="185"/>
      <c r="O13" s="185"/>
      <c r="P13" s="185"/>
      <c r="Q13" s="185">
        <v>31711</v>
      </c>
      <c r="R13" s="185">
        <v>5496</v>
      </c>
      <c r="S13" s="185"/>
      <c r="T13" s="185"/>
      <c r="U13" s="183">
        <v>98957</v>
      </c>
      <c r="V13" s="186">
        <v>519300</v>
      </c>
      <c r="X13" s="102" t="s">
        <v>516</v>
      </c>
      <c r="Y13" s="267"/>
      <c r="Z13" s="267">
        <v>60000</v>
      </c>
      <c r="AA13" s="267"/>
      <c r="AB13" s="267"/>
      <c r="AC13" s="267"/>
      <c r="AD13" s="267"/>
      <c r="AE13" s="267"/>
      <c r="AF13" s="267"/>
      <c r="AG13" s="267">
        <v>60000</v>
      </c>
      <c r="AI13" s="317" t="s">
        <v>516</v>
      </c>
      <c r="AJ13" s="318">
        <v>5000</v>
      </c>
      <c r="AK13" s="318">
        <v>5000</v>
      </c>
      <c r="AL13" s="318">
        <v>5000</v>
      </c>
      <c r="AM13" s="318">
        <v>5000</v>
      </c>
      <c r="AN13" s="318">
        <v>5000</v>
      </c>
      <c r="AO13" s="318">
        <v>5000</v>
      </c>
      <c r="AP13" s="318">
        <v>5000</v>
      </c>
      <c r="AQ13" s="318">
        <v>5000</v>
      </c>
      <c r="AR13" s="318">
        <v>5000</v>
      </c>
      <c r="AS13" s="318">
        <v>5000</v>
      </c>
      <c r="AT13" s="318">
        <v>5000</v>
      </c>
      <c r="AU13" s="318">
        <v>5000</v>
      </c>
      <c r="AV13" s="318"/>
      <c r="AW13" s="318">
        <v>60000</v>
      </c>
      <c r="AZ13" s="315" t="s">
        <v>516</v>
      </c>
      <c r="BA13" s="316"/>
      <c r="BB13" s="316"/>
      <c r="BC13" s="316"/>
    </row>
    <row r="14" spans="1:55" x14ac:dyDescent="0.2">
      <c r="A14" s="102" t="s">
        <v>654</v>
      </c>
      <c r="B14" s="184">
        <v>425600</v>
      </c>
      <c r="C14" s="184">
        <v>192992</v>
      </c>
      <c r="D14" s="184">
        <v>38304</v>
      </c>
      <c r="E14" s="184"/>
      <c r="F14" s="184">
        <v>6774</v>
      </c>
      <c r="G14" s="184"/>
      <c r="H14" s="184"/>
      <c r="I14" s="184"/>
      <c r="J14" s="183">
        <v>663670</v>
      </c>
      <c r="K14" s="185">
        <v>60000</v>
      </c>
      <c r="L14" s="185"/>
      <c r="M14" s="185">
        <v>2100</v>
      </c>
      <c r="N14" s="185"/>
      <c r="O14" s="185"/>
      <c r="P14" s="185"/>
      <c r="Q14" s="185">
        <v>36798</v>
      </c>
      <c r="R14" s="185">
        <v>7896</v>
      </c>
      <c r="S14" s="185">
        <v>10000</v>
      </c>
      <c r="T14" s="185"/>
      <c r="U14" s="183">
        <v>116794</v>
      </c>
      <c r="V14" s="186">
        <v>546876</v>
      </c>
      <c r="X14" s="102" t="s">
        <v>654</v>
      </c>
      <c r="Y14" s="267"/>
      <c r="Z14" s="267">
        <v>60000</v>
      </c>
      <c r="AA14" s="267"/>
      <c r="AB14" s="267"/>
      <c r="AC14" s="267"/>
      <c r="AD14" s="267"/>
      <c r="AE14" s="267"/>
      <c r="AF14" s="267"/>
      <c r="AG14" s="267">
        <v>60000</v>
      </c>
      <c r="AI14" s="317" t="s">
        <v>654</v>
      </c>
      <c r="AJ14" s="318">
        <v>5000</v>
      </c>
      <c r="AK14" s="318">
        <v>5000</v>
      </c>
      <c r="AL14" s="318">
        <v>5000</v>
      </c>
      <c r="AM14" s="318">
        <v>5000</v>
      </c>
      <c r="AN14" s="318">
        <v>5000</v>
      </c>
      <c r="AO14" s="318">
        <v>5000</v>
      </c>
      <c r="AP14" s="318">
        <v>5000</v>
      </c>
      <c r="AQ14" s="318">
        <v>5000</v>
      </c>
      <c r="AR14" s="318">
        <v>5000</v>
      </c>
      <c r="AS14" s="318">
        <v>5000</v>
      </c>
      <c r="AT14" s="318">
        <v>5000</v>
      </c>
      <c r="AU14" s="318">
        <v>5000</v>
      </c>
      <c r="AV14" s="318"/>
      <c r="AW14" s="318">
        <v>60000</v>
      </c>
      <c r="AZ14" s="315" t="s">
        <v>432</v>
      </c>
      <c r="BA14" s="316">
        <v>248711</v>
      </c>
      <c r="BB14" s="316">
        <v>248711</v>
      </c>
      <c r="BC14" s="316">
        <v>497422</v>
      </c>
    </row>
    <row r="15" spans="1:55" x14ac:dyDescent="0.2">
      <c r="A15" s="102" t="s">
        <v>568</v>
      </c>
      <c r="B15" s="184">
        <v>438400</v>
      </c>
      <c r="C15" s="184">
        <v>230920</v>
      </c>
      <c r="D15" s="184">
        <v>40932</v>
      </c>
      <c r="E15" s="184"/>
      <c r="F15" s="184">
        <v>6774</v>
      </c>
      <c r="G15" s="184"/>
      <c r="H15" s="184"/>
      <c r="I15" s="184"/>
      <c r="J15" s="183">
        <v>717026</v>
      </c>
      <c r="K15" s="185">
        <v>60000</v>
      </c>
      <c r="L15" s="185"/>
      <c r="M15" s="185">
        <v>2100</v>
      </c>
      <c r="N15" s="185"/>
      <c r="O15" s="185"/>
      <c r="P15" s="185"/>
      <c r="Q15" s="185">
        <v>34186</v>
      </c>
      <c r="R15" s="185">
        <v>7896</v>
      </c>
      <c r="S15" s="185">
        <v>27500</v>
      </c>
      <c r="T15" s="185"/>
      <c r="U15" s="183">
        <v>131682</v>
      </c>
      <c r="V15" s="186">
        <v>585344</v>
      </c>
      <c r="X15" s="102" t="s">
        <v>568</v>
      </c>
      <c r="Y15" s="267"/>
      <c r="Z15" s="267">
        <v>60000</v>
      </c>
      <c r="AA15" s="267"/>
      <c r="AB15" s="267"/>
      <c r="AC15" s="267"/>
      <c r="AD15" s="267"/>
      <c r="AE15" s="267"/>
      <c r="AF15" s="267"/>
      <c r="AG15" s="267">
        <v>60000</v>
      </c>
      <c r="AI15" s="317" t="s">
        <v>568</v>
      </c>
      <c r="AJ15" s="318">
        <v>5000</v>
      </c>
      <c r="AK15" s="318">
        <v>5000</v>
      </c>
      <c r="AL15" s="318">
        <v>5000</v>
      </c>
      <c r="AM15" s="318">
        <v>5000</v>
      </c>
      <c r="AN15" s="318">
        <v>5000</v>
      </c>
      <c r="AO15" s="318">
        <v>5000</v>
      </c>
      <c r="AP15" s="318">
        <v>5000</v>
      </c>
      <c r="AQ15" s="318">
        <v>5000</v>
      </c>
      <c r="AR15" s="318">
        <v>5000</v>
      </c>
      <c r="AS15" s="318">
        <v>10000</v>
      </c>
      <c r="AT15" s="318"/>
      <c r="AU15" s="318">
        <v>5000</v>
      </c>
      <c r="AV15" s="318">
        <v>0</v>
      </c>
      <c r="AW15" s="318">
        <v>60000</v>
      </c>
    </row>
    <row r="16" spans="1:55" x14ac:dyDescent="0.2">
      <c r="A16" s="102" t="s">
        <v>569</v>
      </c>
      <c r="B16" s="184">
        <v>470050</v>
      </c>
      <c r="C16" s="184">
        <v>269124</v>
      </c>
      <c r="D16" s="184">
        <v>71147</v>
      </c>
      <c r="E16" s="184"/>
      <c r="F16" s="184">
        <v>6774</v>
      </c>
      <c r="G16" s="184"/>
      <c r="H16" s="184">
        <v>6839</v>
      </c>
      <c r="I16" s="268">
        <v>434500</v>
      </c>
      <c r="J16" s="183">
        <v>1258434</v>
      </c>
      <c r="K16" s="185">
        <v>60000</v>
      </c>
      <c r="L16" s="185"/>
      <c r="M16" s="185">
        <v>2100</v>
      </c>
      <c r="N16" s="185"/>
      <c r="O16" s="185"/>
      <c r="P16" s="185"/>
      <c r="Q16" s="185">
        <v>32528</v>
      </c>
      <c r="R16" s="185">
        <v>7896</v>
      </c>
      <c r="S16" s="185"/>
      <c r="T16" s="185">
        <v>65178</v>
      </c>
      <c r="U16" s="183">
        <v>167702</v>
      </c>
      <c r="V16" s="186">
        <v>1090732</v>
      </c>
      <c r="X16" s="102" t="s">
        <v>1050</v>
      </c>
      <c r="Y16" s="267"/>
      <c r="Z16" s="267">
        <v>60000</v>
      </c>
      <c r="AA16" s="267"/>
      <c r="AB16" s="267"/>
      <c r="AC16" s="267">
        <v>65178</v>
      </c>
      <c r="AD16" s="267"/>
      <c r="AE16" s="267"/>
      <c r="AF16" s="267"/>
      <c r="AG16" s="267">
        <v>125178</v>
      </c>
      <c r="AI16" s="317" t="s">
        <v>569</v>
      </c>
      <c r="AJ16" s="318">
        <v>12242</v>
      </c>
      <c r="AK16" s="318">
        <v>12242</v>
      </c>
      <c r="AL16" s="318">
        <v>12242</v>
      </c>
      <c r="AM16" s="318">
        <v>5000</v>
      </c>
      <c r="AN16" s="318">
        <v>5000</v>
      </c>
      <c r="AO16" s="318">
        <v>5000</v>
      </c>
      <c r="AP16" s="318">
        <v>12242</v>
      </c>
      <c r="AQ16" s="318">
        <v>12242</v>
      </c>
      <c r="AR16" s="318">
        <v>12242</v>
      </c>
      <c r="AS16" s="318">
        <v>12242</v>
      </c>
      <c r="AT16" s="318">
        <v>12242</v>
      </c>
      <c r="AU16" s="318">
        <v>12242</v>
      </c>
      <c r="AV16" s="318"/>
      <c r="AW16" s="318">
        <v>125178</v>
      </c>
    </row>
    <row r="17" spans="1:49" x14ac:dyDescent="0.2">
      <c r="A17" s="102" t="s">
        <v>432</v>
      </c>
      <c r="B17" s="184">
        <v>4125888</v>
      </c>
      <c r="C17" s="184">
        <v>1347333</v>
      </c>
      <c r="D17" s="184">
        <v>346034</v>
      </c>
      <c r="E17" s="184">
        <v>-1452</v>
      </c>
      <c r="F17" s="184">
        <v>64353</v>
      </c>
      <c r="G17" s="184">
        <v>287</v>
      </c>
      <c r="H17" s="184">
        <v>6839</v>
      </c>
      <c r="I17" s="184">
        <v>434500</v>
      </c>
      <c r="J17" s="183">
        <v>6323782</v>
      </c>
      <c r="K17" s="185">
        <v>477000</v>
      </c>
      <c r="L17" s="185">
        <v>252942</v>
      </c>
      <c r="M17" s="185">
        <v>11690</v>
      </c>
      <c r="N17" s="185">
        <v>119.28</v>
      </c>
      <c r="O17" s="185">
        <v>538</v>
      </c>
      <c r="P17" s="185">
        <v>4542</v>
      </c>
      <c r="Q17" s="185">
        <v>146307</v>
      </c>
      <c r="R17" s="185">
        <v>30944</v>
      </c>
      <c r="S17" s="185">
        <v>37500</v>
      </c>
      <c r="T17" s="185">
        <v>65178</v>
      </c>
      <c r="U17" s="183">
        <v>1026760.28</v>
      </c>
      <c r="V17" s="186">
        <v>5297021.72</v>
      </c>
      <c r="X17" s="102" t="s">
        <v>432</v>
      </c>
      <c r="Y17" s="267">
        <v>0</v>
      </c>
      <c r="Z17" s="267">
        <v>472000</v>
      </c>
      <c r="AA17" s="267">
        <v>0</v>
      </c>
      <c r="AB17" s="267">
        <v>0</v>
      </c>
      <c r="AC17" s="267">
        <v>65178</v>
      </c>
      <c r="AD17" s="267">
        <v>0</v>
      </c>
      <c r="AE17" s="267">
        <v>5000</v>
      </c>
      <c r="AF17" s="267">
        <v>0</v>
      </c>
      <c r="AG17" s="267">
        <v>537178</v>
      </c>
      <c r="AI17" s="317" t="s">
        <v>432</v>
      </c>
      <c r="AJ17" s="318">
        <v>46992</v>
      </c>
      <c r="AK17" s="318">
        <v>49992</v>
      </c>
      <c r="AL17" s="318">
        <v>46992</v>
      </c>
      <c r="AM17" s="318">
        <v>34750</v>
      </c>
      <c r="AN17" s="318">
        <v>39750</v>
      </c>
      <c r="AO17" s="318">
        <v>44750</v>
      </c>
      <c r="AP17" s="318">
        <v>46992</v>
      </c>
      <c r="AQ17" s="318">
        <v>46992</v>
      </c>
      <c r="AR17" s="318">
        <v>46992</v>
      </c>
      <c r="AS17" s="318">
        <v>53092</v>
      </c>
      <c r="AT17" s="318">
        <v>40892</v>
      </c>
      <c r="AU17" s="318">
        <v>43992</v>
      </c>
      <c r="AV17" s="318">
        <v>0</v>
      </c>
      <c r="AW17" s="318">
        <v>542178</v>
      </c>
    </row>
    <row r="31" spans="1:49" x14ac:dyDescent="0.2">
      <c r="A31" s="350" t="s">
        <v>822</v>
      </c>
      <c r="B31" s="350"/>
      <c r="E31" s="350" t="s">
        <v>825</v>
      </c>
      <c r="F31" s="350"/>
    </row>
    <row r="33" spans="1:6" x14ac:dyDescent="0.2">
      <c r="A33" s="310" t="s">
        <v>431</v>
      </c>
      <c r="B33" s="103" t="s">
        <v>821</v>
      </c>
      <c r="E33" s="310" t="s">
        <v>431</v>
      </c>
      <c r="F33" s="103" t="s">
        <v>824</v>
      </c>
    </row>
    <row r="34" spans="1:6" x14ac:dyDescent="0.2">
      <c r="A34" s="315" t="s">
        <v>629</v>
      </c>
      <c r="B34" s="316">
        <v>49109</v>
      </c>
      <c r="E34" s="315" t="s">
        <v>823</v>
      </c>
      <c r="F34" s="316">
        <v>49109</v>
      </c>
    </row>
    <row r="35" spans="1:6" x14ac:dyDescent="0.2">
      <c r="A35" s="319">
        <v>42668</v>
      </c>
      <c r="B35" s="316">
        <v>3387</v>
      </c>
      <c r="E35" s="319">
        <v>42668</v>
      </c>
      <c r="F35" s="316">
        <v>3387</v>
      </c>
    </row>
    <row r="36" spans="1:6" x14ac:dyDescent="0.2">
      <c r="A36" s="319">
        <v>43021</v>
      </c>
      <c r="B36" s="316">
        <v>6774</v>
      </c>
      <c r="E36" s="319">
        <v>43021</v>
      </c>
      <c r="F36" s="316">
        <v>6774</v>
      </c>
    </row>
    <row r="37" spans="1:6" x14ac:dyDescent="0.2">
      <c r="A37" s="319">
        <v>43407</v>
      </c>
      <c r="B37" s="316">
        <v>6774</v>
      </c>
      <c r="E37" s="319">
        <v>43407</v>
      </c>
      <c r="F37" s="316">
        <v>6774</v>
      </c>
    </row>
    <row r="38" spans="1:6" x14ac:dyDescent="0.2">
      <c r="A38" s="319">
        <v>43766</v>
      </c>
      <c r="B38" s="316">
        <v>6774</v>
      </c>
      <c r="E38" s="319">
        <v>43766</v>
      </c>
      <c r="F38" s="316">
        <v>6774</v>
      </c>
    </row>
    <row r="39" spans="1:6" x14ac:dyDescent="0.2">
      <c r="A39" s="319">
        <v>44153</v>
      </c>
      <c r="B39" s="316">
        <v>1693</v>
      </c>
      <c r="E39" s="319">
        <v>44153</v>
      </c>
      <c r="F39" s="316">
        <v>1693</v>
      </c>
    </row>
    <row r="40" spans="1:6" x14ac:dyDescent="0.2">
      <c r="A40" s="319">
        <v>44501</v>
      </c>
      <c r="B40" s="316">
        <v>3387</v>
      </c>
      <c r="E40" s="319">
        <v>44501</v>
      </c>
      <c r="F40" s="316">
        <v>3387</v>
      </c>
    </row>
    <row r="41" spans="1:6" x14ac:dyDescent="0.2">
      <c r="A41" s="319">
        <v>44854</v>
      </c>
      <c r="B41" s="316">
        <v>5080</v>
      </c>
      <c r="E41" s="319">
        <v>44854</v>
      </c>
      <c r="F41" s="316">
        <v>5080</v>
      </c>
    </row>
    <row r="42" spans="1:6" x14ac:dyDescent="0.2">
      <c r="A42" s="319">
        <v>45239</v>
      </c>
      <c r="B42" s="316">
        <v>5080</v>
      </c>
      <c r="E42" s="319">
        <v>45239</v>
      </c>
      <c r="F42" s="316">
        <v>5080</v>
      </c>
    </row>
    <row r="43" spans="1:6" x14ac:dyDescent="0.2">
      <c r="A43" s="319">
        <v>45589</v>
      </c>
      <c r="B43" s="316">
        <v>5080</v>
      </c>
      <c r="E43" s="319">
        <v>45589</v>
      </c>
      <c r="F43" s="316">
        <v>5080</v>
      </c>
    </row>
    <row r="44" spans="1:6" x14ac:dyDescent="0.2">
      <c r="A44" s="320">
        <v>45947</v>
      </c>
      <c r="B44" s="316">
        <v>5080</v>
      </c>
      <c r="E44" s="319">
        <v>45947</v>
      </c>
      <c r="F44" s="316">
        <v>5080</v>
      </c>
    </row>
    <row r="45" spans="1:6" x14ac:dyDescent="0.2">
      <c r="A45" s="315" t="s">
        <v>432</v>
      </c>
      <c r="B45" s="316">
        <v>49109</v>
      </c>
      <c r="E45" s="315" t="s">
        <v>432</v>
      </c>
      <c r="F45" s="316">
        <v>49109</v>
      </c>
    </row>
  </sheetData>
  <mergeCells count="7">
    <mergeCell ref="AM3:AQ4"/>
    <mergeCell ref="AZ3:BC4"/>
    <mergeCell ref="A31:B31"/>
    <mergeCell ref="E31:F31"/>
    <mergeCell ref="A1:C2"/>
    <mergeCell ref="X4:Z5"/>
    <mergeCell ref="AI3:AK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87249-19C1-45A6-8DF5-E68162D23EF5}">
  <dimension ref="A1:O729"/>
  <sheetViews>
    <sheetView topLeftCell="A198" workbookViewId="0">
      <selection activeCell="H150" sqref="H1:H1048576"/>
    </sheetView>
  </sheetViews>
  <sheetFormatPr defaultRowHeight="11.25" x14ac:dyDescent="0.2"/>
  <cols>
    <col min="1" max="1" width="8.28515625" style="231" customWidth="1"/>
    <col min="2" max="2" width="23.5703125" style="231" bestFit="1" customWidth="1"/>
    <col min="3" max="3" width="10.5703125" style="305" customWidth="1"/>
    <col min="4" max="4" width="8.42578125" style="231" customWidth="1"/>
    <col min="5" max="5" width="10.140625" style="305" bestFit="1" customWidth="1"/>
    <col min="6" max="6" width="9.7109375" style="231" bestFit="1" customWidth="1"/>
    <col min="7" max="7" width="41" style="231" bestFit="1" customWidth="1"/>
    <col min="8" max="8" width="6" style="231" bestFit="1" customWidth="1"/>
    <col min="9" max="10" width="9.140625" style="231"/>
    <col min="11" max="11" width="28.140625" style="231" bestFit="1" customWidth="1"/>
    <col min="12" max="13" width="9.140625" style="231"/>
    <col min="14" max="14" width="18" style="231" bestFit="1" customWidth="1"/>
    <col min="15" max="16384" width="9.140625" style="231"/>
  </cols>
  <sheetData>
    <row r="1" spans="1:15" ht="12.75" x14ac:dyDescent="0.2">
      <c r="K1" s="306" t="s">
        <v>628</v>
      </c>
      <c r="L1" s="134">
        <v>46110</v>
      </c>
      <c r="N1" s="231" t="s">
        <v>681</v>
      </c>
      <c r="O1" s="231">
        <f>IF(L5=0,0,1)</f>
        <v>0</v>
      </c>
    </row>
    <row r="3" spans="1:15" x14ac:dyDescent="0.2">
      <c r="G3" s="307" t="s">
        <v>750</v>
      </c>
    </row>
    <row r="4" spans="1:15" x14ac:dyDescent="0.2">
      <c r="K4" s="231" t="s">
        <v>679</v>
      </c>
      <c r="L4" s="231">
        <f>SUM(H:H)</f>
        <v>477000</v>
      </c>
    </row>
    <row r="5" spans="1:15" x14ac:dyDescent="0.2">
      <c r="K5" s="231" t="s">
        <v>680</v>
      </c>
      <c r="L5" s="231">
        <f>L4-GETPIVOTDATA(" SI",Pivots!$A$3)</f>
        <v>0</v>
      </c>
    </row>
    <row r="6" spans="1:15" s="308" customFormat="1" x14ac:dyDescent="0.2">
      <c r="A6" s="308" t="s">
        <v>0</v>
      </c>
      <c r="B6" s="308" t="s">
        <v>426</v>
      </c>
      <c r="C6" s="305" t="s">
        <v>427</v>
      </c>
      <c r="D6" s="308" t="s">
        <v>428</v>
      </c>
      <c r="E6" s="305" t="s">
        <v>429</v>
      </c>
      <c r="F6" s="308" t="s">
        <v>430</v>
      </c>
      <c r="G6" s="308" t="s">
        <v>1</v>
      </c>
      <c r="H6" s="308" t="s">
        <v>3</v>
      </c>
    </row>
    <row r="7" spans="1:15" x14ac:dyDescent="0.2">
      <c r="A7" s="231">
        <f>'GA55'!A3</f>
        <v>1</v>
      </c>
      <c r="B7" s="231">
        <f>'GA55'!B3</f>
        <v>91</v>
      </c>
      <c r="C7" s="305">
        <f>'GA55'!C3</f>
        <v>41711</v>
      </c>
      <c r="D7" s="231">
        <f>'GA55'!D3</f>
        <v>48188</v>
      </c>
      <c r="E7" s="305">
        <f>'GA55'!E3</f>
        <v>41713</v>
      </c>
      <c r="F7" s="231" t="str">
        <f>'GA55'!F3</f>
        <v>2013-2014</v>
      </c>
      <c r="G7" s="309">
        <f>'GA55'!G3</f>
        <v>41518</v>
      </c>
      <c r="H7" s="231">
        <f>'GA55'!Q3</f>
        <v>0</v>
      </c>
    </row>
    <row r="8" spans="1:15" x14ac:dyDescent="0.2">
      <c r="A8" s="231">
        <f>'GA55'!A4</f>
        <v>2</v>
      </c>
      <c r="B8" s="231">
        <f>'GA55'!B4</f>
        <v>92</v>
      </c>
      <c r="C8" s="305">
        <f>'GA55'!C4</f>
        <v>41711</v>
      </c>
      <c r="D8" s="231">
        <f>'GA55'!D4</f>
        <v>48189</v>
      </c>
      <c r="E8" s="305">
        <f>'GA55'!E4</f>
        <v>41713</v>
      </c>
      <c r="F8" s="231" t="str">
        <f>'GA55'!F4</f>
        <v>2013-2014</v>
      </c>
      <c r="G8" s="309">
        <f>'GA55'!G4</f>
        <v>41548</v>
      </c>
      <c r="H8" s="231">
        <f>'GA55'!Q4</f>
        <v>0</v>
      </c>
    </row>
    <row r="9" spans="1:15" x14ac:dyDescent="0.2">
      <c r="A9" s="231">
        <f>'GA55'!A5</f>
        <v>3</v>
      </c>
      <c r="B9" s="231">
        <f>'GA55'!B5</f>
        <v>93</v>
      </c>
      <c r="C9" s="305">
        <f>'GA55'!C5</f>
        <v>41711</v>
      </c>
      <c r="D9" s="231">
        <f>'GA55'!D5</f>
        <v>48190</v>
      </c>
      <c r="E9" s="305">
        <f>'GA55'!E5</f>
        <v>41713</v>
      </c>
      <c r="F9" s="231" t="str">
        <f>'GA55'!F5</f>
        <v>2013-2014</v>
      </c>
      <c r="G9" s="309">
        <f>'GA55'!G5</f>
        <v>41579</v>
      </c>
      <c r="H9" s="231">
        <f>'GA55'!Q5</f>
        <v>0</v>
      </c>
    </row>
    <row r="10" spans="1:15" x14ac:dyDescent="0.2">
      <c r="A10" s="231">
        <f>'GA55'!A6</f>
        <v>4</v>
      </c>
      <c r="B10" s="231">
        <f>'GA55'!B6</f>
        <v>94</v>
      </c>
      <c r="C10" s="305">
        <f>'GA55'!C6</f>
        <v>41711</v>
      </c>
      <c r="D10" s="231">
        <f>'GA55'!D6</f>
        <v>48191</v>
      </c>
      <c r="E10" s="305">
        <f>'GA55'!E6</f>
        <v>41713</v>
      </c>
      <c r="F10" s="231" t="str">
        <f>'GA55'!F6</f>
        <v>2013-2014</v>
      </c>
      <c r="G10" s="309">
        <f>'GA55'!G6</f>
        <v>41609</v>
      </c>
      <c r="H10" s="231">
        <f>'GA55'!Q6</f>
        <v>0</v>
      </c>
    </row>
    <row r="11" spans="1:15" x14ac:dyDescent="0.2">
      <c r="A11" s="231">
        <f>'GA55'!A7</f>
        <v>5</v>
      </c>
      <c r="B11" s="231">
        <f>'GA55'!B7</f>
        <v>95</v>
      </c>
      <c r="C11" s="305">
        <f>'GA55'!C7</f>
        <v>41711</v>
      </c>
      <c r="D11" s="231">
        <f>'GA55'!D7</f>
        <v>48174</v>
      </c>
      <c r="E11" s="305">
        <f>'GA55'!E7</f>
        <v>41713</v>
      </c>
      <c r="F11" s="231" t="str">
        <f>'GA55'!F7</f>
        <v>2013-2014</v>
      </c>
      <c r="G11" s="309">
        <f>'GA55'!G7</f>
        <v>41640</v>
      </c>
      <c r="H11" s="231">
        <f>'GA55'!Q7</f>
        <v>0</v>
      </c>
    </row>
    <row r="12" spans="1:15" x14ac:dyDescent="0.2">
      <c r="A12" s="231">
        <f>'GA55'!A8</f>
        <v>6</v>
      </c>
      <c r="B12" s="231">
        <f>'GA55'!B8</f>
        <v>96</v>
      </c>
      <c r="C12" s="305">
        <f>'GA55'!C8</f>
        <v>41711</v>
      </c>
      <c r="D12" s="231">
        <f>'GA55'!D8</f>
        <v>48175</v>
      </c>
      <c r="E12" s="305">
        <f>'GA55'!E8</f>
        <v>41713</v>
      </c>
      <c r="F12" s="231" t="str">
        <f>'GA55'!F8</f>
        <v>2013-2014</v>
      </c>
      <c r="G12" s="309">
        <f>'GA55'!G8</f>
        <v>41671</v>
      </c>
      <c r="H12" s="231">
        <f>'GA55'!Q8</f>
        <v>0</v>
      </c>
    </row>
    <row r="13" spans="1:15" x14ac:dyDescent="0.2">
      <c r="A13" s="231">
        <f>'GA55'!A9</f>
        <v>7</v>
      </c>
      <c r="B13" s="231">
        <f>'GA55'!B9</f>
        <v>2</v>
      </c>
      <c r="C13" s="305">
        <f>'GA55'!C9</f>
        <v>41732</v>
      </c>
      <c r="D13" s="231">
        <f>'GA55'!D9</f>
        <v>268</v>
      </c>
      <c r="E13" s="305">
        <f>'GA55'!E9</f>
        <v>41736</v>
      </c>
      <c r="F13" s="231" t="str">
        <f>'GA55'!F9</f>
        <v>2014-2015</v>
      </c>
      <c r="G13" s="309">
        <f>'GA55'!G9</f>
        <v>41699</v>
      </c>
      <c r="H13" s="231">
        <f>'GA55'!Q9</f>
        <v>0</v>
      </c>
    </row>
    <row r="14" spans="1:15" x14ac:dyDescent="0.2">
      <c r="A14" s="231">
        <f>'GA55'!A10</f>
        <v>8</v>
      </c>
      <c r="B14" s="231">
        <f>'GA55'!B10</f>
        <v>5</v>
      </c>
      <c r="C14" s="305">
        <f>'GA55'!C10</f>
        <v>41757</v>
      </c>
      <c r="D14" s="231">
        <f>'GA55'!D10</f>
        <v>3591</v>
      </c>
      <c r="E14" s="305">
        <f>'GA55'!E10</f>
        <v>41761</v>
      </c>
      <c r="F14" s="231" t="str">
        <f>'GA55'!F10</f>
        <v>2014-2015</v>
      </c>
      <c r="G14" s="309">
        <f>'GA55'!G10</f>
        <v>41730</v>
      </c>
      <c r="H14" s="231">
        <f>'GA55'!Q10</f>
        <v>0</v>
      </c>
    </row>
    <row r="15" spans="1:15" x14ac:dyDescent="0.2">
      <c r="A15" s="231">
        <f>'GA55'!A11</f>
        <v>9</v>
      </c>
      <c r="B15" s="231">
        <f>'GA55'!B11</f>
        <v>11</v>
      </c>
      <c r="C15" s="305">
        <f>'GA55'!C11</f>
        <v>41767</v>
      </c>
      <c r="D15" s="231">
        <f>'GA55'!D11</f>
        <v>11212</v>
      </c>
      <c r="E15" s="305">
        <f>'GA55'!E11</f>
        <v>41822</v>
      </c>
      <c r="F15" s="231" t="str">
        <f>'GA55'!F11</f>
        <v>2014-2015</v>
      </c>
      <c r="G15" s="309">
        <f>'GA55'!G11</f>
        <v>41760</v>
      </c>
      <c r="H15" s="231">
        <f>'GA55'!Q11</f>
        <v>0</v>
      </c>
    </row>
    <row r="16" spans="1:15" x14ac:dyDescent="0.2">
      <c r="A16" s="231">
        <f>'GA55'!A12</f>
        <v>10</v>
      </c>
      <c r="B16" s="231">
        <f>'GA55'!B12</f>
        <v>13</v>
      </c>
      <c r="C16" s="305">
        <f>'GA55'!C12</f>
        <v>41820</v>
      </c>
      <c r="D16" s="231">
        <f>'GA55'!D12</f>
        <v>17812</v>
      </c>
      <c r="E16" s="305">
        <f>'GA55'!E12</f>
        <v>41872</v>
      </c>
      <c r="F16" s="231" t="str">
        <f>'GA55'!F12</f>
        <v>2014-2015</v>
      </c>
      <c r="G16" s="309">
        <f>'GA55'!G12</f>
        <v>41791</v>
      </c>
      <c r="H16" s="231">
        <f>'GA55'!Q12</f>
        <v>0</v>
      </c>
    </row>
    <row r="17" spans="1:8" x14ac:dyDescent="0.2">
      <c r="A17" s="231">
        <f>'GA55'!A13</f>
        <v>11</v>
      </c>
      <c r="B17" s="231">
        <f>'GA55'!B13</f>
        <v>16</v>
      </c>
      <c r="C17" s="305">
        <f>'GA55'!C13</f>
        <v>41848</v>
      </c>
      <c r="D17" s="231">
        <f>'GA55'!D13</f>
        <v>14902</v>
      </c>
      <c r="E17" s="305">
        <f>'GA55'!E13</f>
        <v>41852</v>
      </c>
      <c r="F17" s="231" t="str">
        <f>'GA55'!F13</f>
        <v>2014-2015</v>
      </c>
      <c r="G17" s="309">
        <f>'GA55'!G13</f>
        <v>41821</v>
      </c>
      <c r="H17" s="231">
        <f>'GA55'!Q13</f>
        <v>0</v>
      </c>
    </row>
    <row r="18" spans="1:8" x14ac:dyDescent="0.2">
      <c r="A18" s="231">
        <f>'GA55'!A14</f>
        <v>12</v>
      </c>
      <c r="B18" s="231">
        <f>'GA55'!B14</f>
        <v>19</v>
      </c>
      <c r="C18" s="305">
        <f>'GA55'!C14</f>
        <v>41877</v>
      </c>
      <c r="D18" s="231">
        <f>'GA55'!D14</f>
        <v>19307</v>
      </c>
      <c r="E18" s="305">
        <f>'GA55'!E14</f>
        <v>41883</v>
      </c>
      <c r="F18" s="231" t="str">
        <f>'GA55'!F14</f>
        <v>2014-2015</v>
      </c>
      <c r="G18" s="309">
        <f>'GA55'!G14</f>
        <v>41852</v>
      </c>
      <c r="H18" s="231">
        <f>'GA55'!Q14</f>
        <v>0</v>
      </c>
    </row>
    <row r="19" spans="1:8" x14ac:dyDescent="0.2">
      <c r="A19" s="231">
        <f>'GA55'!A15</f>
        <v>13</v>
      </c>
      <c r="B19" s="231">
        <f>'GA55'!B15</f>
        <v>25</v>
      </c>
      <c r="C19" s="305">
        <f>'GA55'!C15</f>
        <v>41912</v>
      </c>
      <c r="D19" s="231">
        <f>'GA55'!D15</f>
        <v>25673</v>
      </c>
      <c r="E19" s="305">
        <f>'GA55'!E15</f>
        <v>41920</v>
      </c>
      <c r="F19" s="231" t="str">
        <f>'GA55'!F15</f>
        <v>2014-2015</v>
      </c>
      <c r="G19" s="309">
        <f>'GA55'!G15</f>
        <v>41883</v>
      </c>
      <c r="H19" s="231">
        <f>'GA55'!Q15</f>
        <v>0</v>
      </c>
    </row>
    <row r="20" spans="1:8" x14ac:dyDescent="0.2">
      <c r="A20" s="231">
        <f>'GA55'!A16</f>
        <v>14</v>
      </c>
      <c r="B20" s="231">
        <f>'GA55'!B16</f>
        <v>34</v>
      </c>
      <c r="C20" s="305">
        <f>'GA55'!C16</f>
        <v>41941</v>
      </c>
      <c r="D20" s="231">
        <f>'GA55'!D16</f>
        <v>30648</v>
      </c>
      <c r="E20" s="305">
        <f>'GA55'!E16</f>
        <v>41944</v>
      </c>
      <c r="F20" s="231" t="str">
        <f>'GA55'!F16</f>
        <v>2014-2015</v>
      </c>
      <c r="G20" s="309">
        <f>'GA55'!G16</f>
        <v>41913</v>
      </c>
      <c r="H20" s="231">
        <f>'GA55'!Q16</f>
        <v>0</v>
      </c>
    </row>
    <row r="21" spans="1:8" x14ac:dyDescent="0.2">
      <c r="A21" s="231">
        <f>'GA55'!A17</f>
        <v>15</v>
      </c>
      <c r="B21" s="231">
        <f>'GA55'!B17</f>
        <v>71</v>
      </c>
      <c r="C21" s="305">
        <f>'GA55'!C17</f>
        <v>42062</v>
      </c>
      <c r="D21" s="231">
        <f>'GA55'!D17</f>
        <v>43520</v>
      </c>
      <c r="E21" s="305">
        <f>'GA55'!E17</f>
        <v>42073</v>
      </c>
      <c r="F21" s="231" t="str">
        <f>'GA55'!F17</f>
        <v>2014-2015</v>
      </c>
      <c r="G21" s="309">
        <f>'GA55'!G17</f>
        <v>41944</v>
      </c>
      <c r="H21" s="231">
        <f>'GA55'!Q17</f>
        <v>0</v>
      </c>
    </row>
    <row r="22" spans="1:8" x14ac:dyDescent="0.2">
      <c r="A22" s="231">
        <f>'GA55'!A18</f>
        <v>16</v>
      </c>
      <c r="B22" s="231">
        <f>'GA55'!B18</f>
        <v>59</v>
      </c>
      <c r="C22" s="305">
        <f>'GA55'!C18</f>
        <v>41999</v>
      </c>
      <c r="D22" s="231">
        <f>'GA55'!D18</f>
        <v>36092</v>
      </c>
      <c r="E22" s="305">
        <f>'GA55'!E18</f>
        <v>42005</v>
      </c>
      <c r="F22" s="231" t="str">
        <f>'GA55'!F18</f>
        <v>2014-2015</v>
      </c>
      <c r="G22" s="309">
        <f>'GA55'!G18</f>
        <v>41974</v>
      </c>
      <c r="H22" s="231">
        <f>'GA55'!Q18</f>
        <v>0</v>
      </c>
    </row>
    <row r="23" spans="1:8" x14ac:dyDescent="0.2">
      <c r="A23" s="231">
        <f>'GA55'!A19</f>
        <v>17</v>
      </c>
      <c r="B23" s="231">
        <f>'GA55'!B19</f>
        <v>60</v>
      </c>
      <c r="C23" s="305">
        <f>'GA55'!C19</f>
        <v>42032</v>
      </c>
      <c r="D23" s="231">
        <f>'GA55'!D19</f>
        <v>38855</v>
      </c>
      <c r="E23" s="305">
        <f>'GA55'!E19</f>
        <v>42037</v>
      </c>
      <c r="F23" s="231" t="str">
        <f>'GA55'!F19</f>
        <v>2014-2015</v>
      </c>
      <c r="G23" s="309">
        <f>'GA55'!G19</f>
        <v>42005</v>
      </c>
      <c r="H23" s="231">
        <f>'GA55'!Q19</f>
        <v>0</v>
      </c>
    </row>
    <row r="24" spans="1:8" x14ac:dyDescent="0.2">
      <c r="A24" s="231">
        <f>'GA55'!A20</f>
        <v>18</v>
      </c>
      <c r="B24" s="231">
        <f>'GA55'!B20</f>
        <v>70</v>
      </c>
      <c r="C24" s="305">
        <f>'GA55'!C20</f>
        <v>42061</v>
      </c>
      <c r="D24" s="231">
        <f>'GA55'!D20</f>
        <v>42763</v>
      </c>
      <c r="E24" s="305">
        <f>'GA55'!E20</f>
        <v>42066</v>
      </c>
      <c r="F24" s="231" t="str">
        <f>'GA55'!F20</f>
        <v>2014-2015</v>
      </c>
      <c r="G24" s="309">
        <f>'GA55'!G20</f>
        <v>42036</v>
      </c>
      <c r="H24" s="231">
        <f>'GA55'!Q20</f>
        <v>0</v>
      </c>
    </row>
    <row r="25" spans="1:8" x14ac:dyDescent="0.2">
      <c r="A25" s="231">
        <f>'GA55'!A21</f>
        <v>19</v>
      </c>
      <c r="B25" s="231">
        <f>'GA55'!B21</f>
        <v>2</v>
      </c>
      <c r="C25" s="305">
        <f>'GA55'!C21</f>
        <v>42107</v>
      </c>
      <c r="D25" s="231">
        <f>'GA55'!D21</f>
        <v>2031</v>
      </c>
      <c r="E25" s="305">
        <f>'GA55'!E21</f>
        <v>42115</v>
      </c>
      <c r="F25" s="231" t="str">
        <f>'GA55'!F21</f>
        <v>2015-2016</v>
      </c>
      <c r="G25" s="309">
        <f>'GA55'!G21</f>
        <v>42064</v>
      </c>
      <c r="H25" s="231">
        <f>'GA55'!Q21</f>
        <v>0</v>
      </c>
    </row>
    <row r="26" spans="1:8" x14ac:dyDescent="0.2">
      <c r="A26" s="231">
        <f>'GA55'!A22</f>
        <v>20</v>
      </c>
      <c r="B26" s="231">
        <f>'GA55'!B22</f>
        <v>16</v>
      </c>
      <c r="C26" s="305">
        <f>'GA55'!C22</f>
        <v>42123</v>
      </c>
      <c r="D26" s="231">
        <f>'GA55'!D22</f>
        <v>4188</v>
      </c>
      <c r="E26" s="305">
        <f>'GA55'!E22</f>
        <v>42128</v>
      </c>
      <c r="F26" s="231" t="str">
        <f>'GA55'!F22</f>
        <v>2015-2016</v>
      </c>
      <c r="G26" s="309">
        <f>'GA55'!G22</f>
        <v>42095</v>
      </c>
      <c r="H26" s="231">
        <f>'GA55'!Q22</f>
        <v>0</v>
      </c>
    </row>
    <row r="27" spans="1:8" x14ac:dyDescent="0.2">
      <c r="A27" s="231">
        <f>'GA55'!A23</f>
        <v>21</v>
      </c>
      <c r="B27" s="231">
        <f>'GA55'!B23</f>
        <v>57</v>
      </c>
      <c r="C27" s="305">
        <f>'GA55'!C23</f>
        <v>42276</v>
      </c>
      <c r="D27" s="231">
        <f>'GA55'!D23</f>
        <v>23777</v>
      </c>
      <c r="E27" s="305">
        <f>'GA55'!E23</f>
        <v>42278</v>
      </c>
      <c r="F27" s="231" t="str">
        <f>'GA55'!F23</f>
        <v>2015-2016</v>
      </c>
      <c r="G27" s="309">
        <f>'GA55'!G23</f>
        <v>42125</v>
      </c>
      <c r="H27" s="231">
        <f>'GA55'!Q23</f>
        <v>0</v>
      </c>
    </row>
    <row r="28" spans="1:8" x14ac:dyDescent="0.2">
      <c r="A28" s="231">
        <f>'GA55'!A24</f>
        <v>22</v>
      </c>
      <c r="B28" s="231">
        <f>'GA55'!B24</f>
        <v>58</v>
      </c>
      <c r="C28" s="305">
        <f>'GA55'!C24</f>
        <v>42276</v>
      </c>
      <c r="D28" s="231">
        <f>'GA55'!D24</f>
        <v>23776</v>
      </c>
      <c r="E28" s="305">
        <f>'GA55'!E24</f>
        <v>42278</v>
      </c>
      <c r="F28" s="231" t="str">
        <f>'GA55'!F24</f>
        <v>2015-2016</v>
      </c>
      <c r="G28" s="309">
        <f>'GA55'!G24</f>
        <v>42156</v>
      </c>
      <c r="H28" s="231">
        <f>'GA55'!Q24</f>
        <v>0</v>
      </c>
    </row>
    <row r="29" spans="1:8" x14ac:dyDescent="0.2">
      <c r="A29" s="231">
        <f>'GA55'!A25</f>
        <v>23</v>
      </c>
      <c r="B29" s="231">
        <f>'GA55'!B25</f>
        <v>38</v>
      </c>
      <c r="C29" s="305">
        <f>'GA55'!C25</f>
        <v>42215</v>
      </c>
      <c r="D29" s="231">
        <f>'GA55'!D25</f>
        <v>15532</v>
      </c>
      <c r="E29" s="305">
        <f>'GA55'!E25</f>
        <v>42217</v>
      </c>
      <c r="F29" s="231" t="str">
        <f>'GA55'!F25</f>
        <v>2015-2016</v>
      </c>
      <c r="G29" s="309">
        <f>'GA55'!G25</f>
        <v>42186</v>
      </c>
      <c r="H29" s="231">
        <f>'GA55'!Q25</f>
        <v>0</v>
      </c>
    </row>
    <row r="30" spans="1:8" x14ac:dyDescent="0.2">
      <c r="A30" s="231">
        <f>'GA55'!A26</f>
        <v>24</v>
      </c>
      <c r="B30" s="231">
        <f>'GA55'!B26</f>
        <v>46</v>
      </c>
      <c r="C30" s="305">
        <f>'GA55'!C26</f>
        <v>42242</v>
      </c>
      <c r="D30" s="231">
        <f>'GA55'!D26</f>
        <v>21641</v>
      </c>
      <c r="E30" s="305">
        <f>'GA55'!E26</f>
        <v>43360</v>
      </c>
      <c r="F30" s="231" t="str">
        <f>'GA55'!F26</f>
        <v>2015-2016</v>
      </c>
      <c r="G30" s="309">
        <f>'GA55'!G26</f>
        <v>42217</v>
      </c>
      <c r="H30" s="231">
        <f>'GA55'!Q26</f>
        <v>0</v>
      </c>
    </row>
    <row r="31" spans="1:8" x14ac:dyDescent="0.2">
      <c r="A31" s="231">
        <f>'GA55'!A27</f>
        <v>25</v>
      </c>
      <c r="B31" s="231">
        <f>'GA55'!B27</f>
        <v>56</v>
      </c>
      <c r="C31" s="305">
        <f>'GA55'!C27</f>
        <v>42276</v>
      </c>
      <c r="D31" s="231">
        <f>'GA55'!D27</f>
        <v>23778</v>
      </c>
      <c r="E31" s="305">
        <f>'GA55'!E27</f>
        <v>42278</v>
      </c>
      <c r="F31" s="231" t="str">
        <f>'GA55'!F27</f>
        <v>2015-2016</v>
      </c>
      <c r="G31" s="309">
        <f>'GA55'!G27</f>
        <v>42248</v>
      </c>
      <c r="H31" s="231">
        <f>'GA55'!Q27</f>
        <v>0</v>
      </c>
    </row>
    <row r="32" spans="1:8" x14ac:dyDescent="0.2">
      <c r="A32" s="231">
        <f>'GA55'!A28</f>
        <v>26</v>
      </c>
      <c r="B32" s="231">
        <f>'GA55'!B28</f>
        <v>64</v>
      </c>
      <c r="C32" s="305">
        <f>'GA55'!C28</f>
        <v>42305</v>
      </c>
      <c r="D32" s="231">
        <f>'GA55'!D28</f>
        <v>42265</v>
      </c>
      <c r="E32" s="305">
        <f>'GA55'!E28</f>
        <v>42390</v>
      </c>
      <c r="F32" s="231" t="str">
        <f>'GA55'!F28</f>
        <v>2015-2016</v>
      </c>
      <c r="G32" s="309">
        <f>'GA55'!G28</f>
        <v>42278</v>
      </c>
      <c r="H32" s="231">
        <f>'GA55'!Q28</f>
        <v>0</v>
      </c>
    </row>
    <row r="33" spans="1:8" x14ac:dyDescent="0.2">
      <c r="A33" s="231">
        <f>'GA55'!A29</f>
        <v>27</v>
      </c>
      <c r="B33" s="231">
        <f>'GA55'!B29</f>
        <v>76</v>
      </c>
      <c r="C33" s="305">
        <f>'GA55'!C29</f>
        <v>42336</v>
      </c>
      <c r="D33" s="231">
        <f>'GA55'!D29</f>
        <v>36395</v>
      </c>
      <c r="E33" s="305">
        <f>'GA55'!E29</f>
        <v>42349</v>
      </c>
      <c r="F33" s="231" t="str">
        <f>'GA55'!F29</f>
        <v>2015-2016</v>
      </c>
      <c r="G33" s="309">
        <f>'GA55'!G29</f>
        <v>42309</v>
      </c>
      <c r="H33" s="231">
        <f>'GA55'!Q29</f>
        <v>0</v>
      </c>
    </row>
    <row r="34" spans="1:8" x14ac:dyDescent="0.2">
      <c r="A34" s="231">
        <f>'GA55'!A30</f>
        <v>28</v>
      </c>
      <c r="B34" s="231">
        <f>'GA55'!B30</f>
        <v>96</v>
      </c>
      <c r="C34" s="305">
        <f>'GA55'!C30</f>
        <v>42009</v>
      </c>
      <c r="D34" s="231">
        <f>'GA55'!D30</f>
        <v>49219</v>
      </c>
      <c r="E34" s="305">
        <f>'GA55'!E30</f>
        <v>42432</v>
      </c>
      <c r="F34" s="231" t="str">
        <f>'GA55'!F30</f>
        <v>2015-2016</v>
      </c>
      <c r="G34" s="309">
        <f>'GA55'!G30</f>
        <v>42339</v>
      </c>
      <c r="H34" s="231">
        <f>'GA55'!Q30</f>
        <v>0</v>
      </c>
    </row>
    <row r="35" spans="1:8" x14ac:dyDescent="0.2">
      <c r="A35" s="231">
        <f>'GA55'!A31</f>
        <v>29</v>
      </c>
      <c r="B35" s="231">
        <f>'GA55'!B31</f>
        <v>115</v>
      </c>
      <c r="C35" s="305">
        <f>'GA55'!C31</f>
        <v>42394</v>
      </c>
      <c r="D35" s="231">
        <f>'GA55'!D31</f>
        <v>43674</v>
      </c>
      <c r="E35" s="305">
        <f>'GA55'!E31</f>
        <v>42401</v>
      </c>
      <c r="F35" s="231" t="str">
        <f>'GA55'!F31</f>
        <v>2015-2016</v>
      </c>
      <c r="G35" s="309">
        <f>'GA55'!G31</f>
        <v>42370</v>
      </c>
      <c r="H35" s="231">
        <f>'GA55'!Q31</f>
        <v>0</v>
      </c>
    </row>
    <row r="36" spans="1:8" x14ac:dyDescent="0.2">
      <c r="A36" s="231">
        <f>'GA55'!A32</f>
        <v>30</v>
      </c>
      <c r="B36" s="231">
        <f>'GA55'!B32</f>
        <v>131</v>
      </c>
      <c r="C36" s="305">
        <f>'GA55'!C32</f>
        <v>42401</v>
      </c>
      <c r="D36" s="231">
        <f>'GA55'!D32</f>
        <v>48941</v>
      </c>
      <c r="E36" s="305">
        <f>'GA55'!E32</f>
        <v>42431</v>
      </c>
      <c r="F36" s="231" t="str">
        <f>'GA55'!F32</f>
        <v>2015-2016</v>
      </c>
      <c r="G36" s="309">
        <f>'GA55'!G32</f>
        <v>42401</v>
      </c>
      <c r="H36" s="231">
        <f>'GA55'!Q32</f>
        <v>0</v>
      </c>
    </row>
    <row r="37" spans="1:8" x14ac:dyDescent="0.2">
      <c r="A37" s="231">
        <f>'GA55'!A33</f>
        <v>31</v>
      </c>
      <c r="B37" s="231">
        <f>'GA55'!B33</f>
        <v>61</v>
      </c>
      <c r="C37" s="305">
        <f>'GA55'!C33</f>
        <v>42291</v>
      </c>
      <c r="D37" s="231">
        <f>'GA55'!D33</f>
        <v>26313</v>
      </c>
      <c r="E37" s="305">
        <f>'GA55'!E33</f>
        <v>42294</v>
      </c>
      <c r="F37" s="231" t="str">
        <f>'GA55'!F33</f>
        <v>2015-2016</v>
      </c>
      <c r="G37" s="309" t="str">
        <f>'GA55'!G33</f>
        <v>Oct-15 Salary Arrer</v>
      </c>
      <c r="H37" s="231">
        <f>'GA55'!Q33</f>
        <v>0</v>
      </c>
    </row>
    <row r="38" spans="1:8" x14ac:dyDescent="0.2">
      <c r="A38" s="231">
        <f>'GA55'!A34</f>
        <v>32</v>
      </c>
      <c r="B38" s="231">
        <f>'GA55'!B34</f>
        <v>137</v>
      </c>
      <c r="C38" s="305">
        <f>'GA55'!C34</f>
        <v>44270</v>
      </c>
      <c r="D38" s="231">
        <f>'GA55'!D34</f>
        <v>55291</v>
      </c>
      <c r="E38" s="305">
        <f>'GA55'!E34</f>
        <v>42460</v>
      </c>
      <c r="F38" s="231" t="str">
        <f>'GA55'!F34</f>
        <v>2015-2016</v>
      </c>
      <c r="G38" s="309" t="str">
        <f>'GA55'!G34</f>
        <v>Mar-16 Salary Arrer</v>
      </c>
      <c r="H38" s="231">
        <f>'GA55'!Q34</f>
        <v>0</v>
      </c>
    </row>
    <row r="39" spans="1:8" x14ac:dyDescent="0.2">
      <c r="A39" s="231">
        <f>'GA55'!A35</f>
        <v>33</v>
      </c>
      <c r="B39" s="231">
        <f>'GA55'!B35</f>
        <v>2</v>
      </c>
      <c r="C39" s="305">
        <f>'GA55'!C35</f>
        <v>42472</v>
      </c>
      <c r="D39" s="231">
        <f>'GA55'!D35</f>
        <v>2179</v>
      </c>
      <c r="E39" s="305">
        <f>'GA55'!E35</f>
        <v>42485</v>
      </c>
      <c r="F39" s="231" t="str">
        <f>'GA55'!F35</f>
        <v>2016-2017</v>
      </c>
      <c r="G39" s="309">
        <f>'GA55'!G35</f>
        <v>42430</v>
      </c>
      <c r="H39" s="231">
        <f>'GA55'!Q35</f>
        <v>1100</v>
      </c>
    </row>
    <row r="40" spans="1:8" x14ac:dyDescent="0.2">
      <c r="A40" s="231">
        <f>'GA55'!A36</f>
        <v>34</v>
      </c>
      <c r="B40" s="231">
        <f>'GA55'!B36</f>
        <v>12</v>
      </c>
      <c r="C40" s="305">
        <f>'GA55'!C36</f>
        <v>42487</v>
      </c>
      <c r="D40" s="231">
        <f>'GA55'!D36</f>
        <v>3158</v>
      </c>
      <c r="E40" s="305">
        <f>'GA55'!E36</f>
        <v>42492</v>
      </c>
      <c r="F40" s="231" t="str">
        <f>'GA55'!F36</f>
        <v>2016-2017</v>
      </c>
      <c r="G40" s="309">
        <f>'GA55'!G36</f>
        <v>42461</v>
      </c>
      <c r="H40" s="231">
        <f>'GA55'!Q36</f>
        <v>1100</v>
      </c>
    </row>
    <row r="41" spans="1:8" x14ac:dyDescent="0.2">
      <c r="A41" s="231">
        <f>'GA55'!A37</f>
        <v>35</v>
      </c>
      <c r="B41" s="231">
        <f>'GA55'!B37</f>
        <v>13</v>
      </c>
      <c r="C41" s="305">
        <f>'GA55'!C37</f>
        <v>42544</v>
      </c>
      <c r="D41" s="231">
        <f>'GA55'!D37</f>
        <v>13185</v>
      </c>
      <c r="E41" s="305">
        <f>'GA55'!E37</f>
        <v>42549</v>
      </c>
      <c r="F41" s="231" t="str">
        <f>'GA55'!F37</f>
        <v>2016-2017</v>
      </c>
      <c r="G41" s="309">
        <f>'GA55'!G37</f>
        <v>42491</v>
      </c>
      <c r="H41" s="231">
        <f>'GA55'!Q37</f>
        <v>1100</v>
      </c>
    </row>
    <row r="42" spans="1:8" x14ac:dyDescent="0.2">
      <c r="A42" s="231">
        <f>'GA55'!A38</f>
        <v>36</v>
      </c>
      <c r="B42" s="231">
        <f>'GA55'!B38</f>
        <v>14</v>
      </c>
      <c r="C42" s="305">
        <f>'GA55'!C38</f>
        <v>42548</v>
      </c>
      <c r="D42" s="231">
        <f>'GA55'!D38</f>
        <v>14705</v>
      </c>
      <c r="E42" s="305">
        <f>'GA55'!E38</f>
        <v>42553</v>
      </c>
      <c r="F42" s="231" t="str">
        <f>'GA55'!F38</f>
        <v>2016-2017</v>
      </c>
      <c r="G42" s="309">
        <f>'GA55'!G38</f>
        <v>42522</v>
      </c>
      <c r="H42" s="231">
        <f>'GA55'!Q38</f>
        <v>1100</v>
      </c>
    </row>
    <row r="43" spans="1:8" x14ac:dyDescent="0.2">
      <c r="A43" s="231">
        <f>'GA55'!A39</f>
        <v>37</v>
      </c>
      <c r="B43" s="231">
        <f>'GA55'!B39</f>
        <v>17</v>
      </c>
      <c r="C43" s="305">
        <f>'GA55'!C39</f>
        <v>42583</v>
      </c>
      <c r="D43" s="231">
        <f>'GA55'!D39</f>
        <v>19959</v>
      </c>
      <c r="E43" s="305">
        <f>'GA55'!E39</f>
        <v>42586</v>
      </c>
      <c r="F43" s="231" t="str">
        <f>'GA55'!F39</f>
        <v>2016-2017</v>
      </c>
      <c r="G43" s="309">
        <f>'GA55'!G39</f>
        <v>42552</v>
      </c>
      <c r="H43" s="231">
        <f>'GA55'!Q39</f>
        <v>1100</v>
      </c>
    </row>
    <row r="44" spans="1:8" x14ac:dyDescent="0.2">
      <c r="A44" s="231">
        <f>'GA55'!A40</f>
        <v>38</v>
      </c>
      <c r="B44" s="231">
        <f>'GA55'!B40</f>
        <v>28</v>
      </c>
      <c r="C44" s="305">
        <f>'GA55'!C40</f>
        <v>42605</v>
      </c>
      <c r="D44" s="231">
        <f>'GA55'!D40</f>
        <v>23893</v>
      </c>
      <c r="E44" s="305">
        <f>'GA55'!E40</f>
        <v>42614</v>
      </c>
      <c r="F44" s="231" t="str">
        <f>'GA55'!F40</f>
        <v>2016-2017</v>
      </c>
      <c r="G44" s="309">
        <f>'GA55'!G40</f>
        <v>42583</v>
      </c>
      <c r="H44" s="231">
        <f>'GA55'!Q40</f>
        <v>1100</v>
      </c>
    </row>
    <row r="45" spans="1:8" x14ac:dyDescent="0.2">
      <c r="A45" s="231">
        <f>'GA55'!A41</f>
        <v>39</v>
      </c>
      <c r="B45" s="231">
        <f>'GA55'!B41</f>
        <v>34</v>
      </c>
      <c r="C45" s="305">
        <f>'GA55'!C41</f>
        <v>42639</v>
      </c>
      <c r="D45" s="231">
        <f>'GA55'!D41</f>
        <v>28883</v>
      </c>
      <c r="E45" s="305">
        <f>'GA55'!E41</f>
        <v>42644</v>
      </c>
      <c r="F45" s="231" t="str">
        <f>'GA55'!F41</f>
        <v>2016-2017</v>
      </c>
      <c r="G45" s="309">
        <f>'GA55'!G41</f>
        <v>42614</v>
      </c>
      <c r="H45" s="231">
        <f>'GA55'!Q41</f>
        <v>1100</v>
      </c>
    </row>
    <row r="46" spans="1:8" x14ac:dyDescent="0.2">
      <c r="A46" s="231">
        <f>'GA55'!A42</f>
        <v>40</v>
      </c>
      <c r="B46" s="231">
        <f>'GA55'!B42</f>
        <v>47</v>
      </c>
      <c r="C46" s="305">
        <f>'GA55'!C42</f>
        <v>42667</v>
      </c>
      <c r="D46" s="231">
        <f>'GA55'!D42</f>
        <v>35248</v>
      </c>
      <c r="E46" s="305">
        <f>'GA55'!E42</f>
        <v>42671</v>
      </c>
      <c r="F46" s="231" t="str">
        <f>'GA55'!F42</f>
        <v>2016-2017</v>
      </c>
      <c r="G46" s="309">
        <f>'GA55'!G42</f>
        <v>42644</v>
      </c>
      <c r="H46" s="231">
        <f>'GA55'!Q42</f>
        <v>1100</v>
      </c>
    </row>
    <row r="47" spans="1:8" x14ac:dyDescent="0.2">
      <c r="A47" s="231">
        <f>'GA55'!A43</f>
        <v>41</v>
      </c>
      <c r="B47" s="231">
        <f>'GA55'!B43</f>
        <v>54</v>
      </c>
      <c r="C47" s="305">
        <f>'GA55'!C43</f>
        <v>42698</v>
      </c>
      <c r="D47" s="231">
        <f>'GA55'!D43</f>
        <v>40457</v>
      </c>
      <c r="E47" s="305">
        <f>'GA55'!E43</f>
        <v>42705</v>
      </c>
      <c r="F47" s="231" t="str">
        <f>'GA55'!F43</f>
        <v>2016-2017</v>
      </c>
      <c r="G47" s="309">
        <f>'GA55'!G43</f>
        <v>42675</v>
      </c>
      <c r="H47" s="231">
        <f>'GA55'!Q43</f>
        <v>1100</v>
      </c>
    </row>
    <row r="48" spans="1:8" x14ac:dyDescent="0.2">
      <c r="A48" s="231">
        <f>'GA55'!A44</f>
        <v>42</v>
      </c>
      <c r="B48" s="231">
        <f>'GA55'!B44</f>
        <v>59</v>
      </c>
      <c r="C48" s="305">
        <f>'GA55'!C44</f>
        <v>42732</v>
      </c>
      <c r="D48" s="231">
        <f>'GA55'!D44</f>
        <v>45844</v>
      </c>
      <c r="E48" s="305">
        <f>'GA55'!E44</f>
        <v>42739</v>
      </c>
      <c r="F48" s="231" t="str">
        <f>'GA55'!F44</f>
        <v>2016-2017</v>
      </c>
      <c r="G48" s="309">
        <f>'GA55'!G44</f>
        <v>42705</v>
      </c>
      <c r="H48" s="231">
        <f>'GA55'!Q44</f>
        <v>1100</v>
      </c>
    </row>
    <row r="49" spans="1:8" x14ac:dyDescent="0.2">
      <c r="A49" s="231">
        <f>'GA55'!A45</f>
        <v>43</v>
      </c>
      <c r="B49" s="231">
        <f>'GA55'!B45</f>
        <v>65</v>
      </c>
      <c r="C49" s="305">
        <f>'GA55'!C45</f>
        <v>42762</v>
      </c>
      <c r="D49" s="231">
        <f>'GA55'!D45</f>
        <v>50049</v>
      </c>
      <c r="E49" s="305">
        <f>'GA55'!E45</f>
        <v>42767</v>
      </c>
      <c r="F49" s="231" t="str">
        <f>'GA55'!F45</f>
        <v>2016-2017</v>
      </c>
      <c r="G49" s="309">
        <f>'GA55'!G45</f>
        <v>42736</v>
      </c>
      <c r="H49" s="231">
        <f>'GA55'!Q45</f>
        <v>1100</v>
      </c>
    </row>
    <row r="50" spans="1:8" x14ac:dyDescent="0.2">
      <c r="A50" s="231">
        <f>'GA55'!A46</f>
        <v>44</v>
      </c>
      <c r="B50" s="231">
        <f>'GA55'!B46</f>
        <v>71</v>
      </c>
      <c r="C50" s="305">
        <f>'GA55'!C46</f>
        <v>42795</v>
      </c>
      <c r="D50" s="231">
        <f>'GA55'!D46</f>
        <v>55694</v>
      </c>
      <c r="E50" s="305">
        <f>'GA55'!E46</f>
        <v>42797</v>
      </c>
      <c r="F50" s="231" t="str">
        <f>'GA55'!F46</f>
        <v>2016-2017</v>
      </c>
      <c r="G50" s="309">
        <f>'GA55'!G46</f>
        <v>42767</v>
      </c>
      <c r="H50" s="231">
        <f>'GA55'!Q46</f>
        <v>1100</v>
      </c>
    </row>
    <row r="51" spans="1:8" x14ac:dyDescent="0.2">
      <c r="A51" s="231">
        <f>'GA55'!A47</f>
        <v>45</v>
      </c>
      <c r="B51" s="231">
        <f>'GA55'!B47</f>
        <v>29</v>
      </c>
      <c r="C51" s="305">
        <f>'GA55'!C47</f>
        <v>42606</v>
      </c>
      <c r="D51" s="231">
        <f>'GA55'!D47</f>
        <v>26364</v>
      </c>
      <c r="E51" s="305">
        <f>'GA55'!E47</f>
        <v>42628</v>
      </c>
      <c r="F51" s="231" t="str">
        <f>'GA55'!F47</f>
        <v>2016-2017</v>
      </c>
      <c r="G51" s="309" t="str">
        <f>'GA55'!G47</f>
        <v>Aug-16 Salary Arrer</v>
      </c>
      <c r="H51" s="231">
        <f>'GA55'!Q47</f>
        <v>0</v>
      </c>
    </row>
    <row r="52" spans="1:8" x14ac:dyDescent="0.2">
      <c r="A52" s="231">
        <f>'GA55'!A48</f>
        <v>46</v>
      </c>
      <c r="B52" s="231">
        <f>'GA55'!B48</f>
        <v>43</v>
      </c>
      <c r="C52" s="305">
        <f>'GA55'!C48</f>
        <v>42663</v>
      </c>
      <c r="D52" s="231">
        <f>'GA55'!D48</f>
        <v>33239</v>
      </c>
      <c r="E52" s="305">
        <f>'GA55'!E48</f>
        <v>42668</v>
      </c>
      <c r="F52" s="231" t="str">
        <f>'GA55'!F48</f>
        <v>2016-2017</v>
      </c>
      <c r="G52" s="309" t="str">
        <f>'GA55'!G48</f>
        <v>Diwali  Bonus</v>
      </c>
      <c r="H52" s="231">
        <f>'GA55'!Q48</f>
        <v>0</v>
      </c>
    </row>
    <row r="53" spans="1:8" x14ac:dyDescent="0.2">
      <c r="A53" s="231">
        <f>'GA55'!A49</f>
        <v>47</v>
      </c>
      <c r="B53" s="231">
        <f>'GA55'!B49</f>
        <v>41</v>
      </c>
      <c r="C53" s="305">
        <f>'GA55'!C49</f>
        <v>42660</v>
      </c>
      <c r="D53" s="231">
        <f>'GA55'!D49</f>
        <v>37085</v>
      </c>
      <c r="E53" s="305">
        <f>'GA55'!E49</f>
        <v>42683</v>
      </c>
      <c r="F53" s="231" t="str">
        <f>'GA55'!F49</f>
        <v>2016-2017</v>
      </c>
      <c r="G53" s="309" t="str">
        <f>'GA55'!G49</f>
        <v>Oct-16 Salary Arrer</v>
      </c>
      <c r="H53" s="231">
        <f>'GA55'!Q49</f>
        <v>0</v>
      </c>
    </row>
    <row r="54" spans="1:8" x14ac:dyDescent="0.2">
      <c r="A54" s="231">
        <f>'GA55'!A50</f>
        <v>48</v>
      </c>
      <c r="B54" s="231">
        <f>'GA55'!B50</f>
        <v>72</v>
      </c>
      <c r="C54" s="305">
        <f>'GA55'!C50</f>
        <v>42797</v>
      </c>
      <c r="D54" s="231">
        <f>'GA55'!D50</f>
        <v>56302</v>
      </c>
      <c r="E54" s="305">
        <f>'GA55'!E50</f>
        <v>42801</v>
      </c>
      <c r="F54" s="231" t="str">
        <f>'GA55'!F50</f>
        <v>2016-2017</v>
      </c>
      <c r="G54" s="309" t="str">
        <f>'GA55'!G50</f>
        <v>Surrender Leave</v>
      </c>
      <c r="H54" s="231">
        <f>'GA55'!Q50</f>
        <v>0</v>
      </c>
    </row>
    <row r="55" spans="1:8" x14ac:dyDescent="0.2">
      <c r="A55" s="231">
        <f>'GA55'!A51</f>
        <v>49</v>
      </c>
      <c r="B55" s="231">
        <f>'GA55'!B51</f>
        <v>52</v>
      </c>
      <c r="C55" s="305">
        <f>'GA55'!C51</f>
        <v>42695</v>
      </c>
      <c r="D55" s="231">
        <f>'GA55'!D51</f>
        <v>41655</v>
      </c>
      <c r="E55" s="305">
        <f>'GA55'!E51</f>
        <v>42712</v>
      </c>
      <c r="F55" s="231" t="str">
        <f>'GA55'!F51</f>
        <v>2016-2017</v>
      </c>
      <c r="G55" s="309" t="str">
        <f>'GA55'!G51</f>
        <v>DA Arrer July to November</v>
      </c>
      <c r="H55" s="231">
        <f>'GA55'!Q51</f>
        <v>0</v>
      </c>
    </row>
    <row r="56" spans="1:8" x14ac:dyDescent="0.2">
      <c r="A56" s="231">
        <f>'GA55'!A52</f>
        <v>50</v>
      </c>
      <c r="B56" s="231">
        <f>'GA55'!B52</f>
        <v>1</v>
      </c>
      <c r="C56" s="305">
        <f>'GA55'!C52</f>
        <v>42831</v>
      </c>
      <c r="D56" s="231">
        <f>'GA55'!D52</f>
        <v>727</v>
      </c>
      <c r="E56" s="305">
        <f>'GA55'!E52</f>
        <v>42832</v>
      </c>
      <c r="F56" s="231" t="str">
        <f>'GA55'!F52</f>
        <v>2017-2018</v>
      </c>
      <c r="G56" s="309">
        <f>'GA55'!G52</f>
        <v>42795</v>
      </c>
      <c r="H56" s="231">
        <f>'GA55'!Q52</f>
        <v>2650</v>
      </c>
    </row>
    <row r="57" spans="1:8" x14ac:dyDescent="0.2">
      <c r="A57" s="231">
        <f>'GA55'!A53</f>
        <v>51</v>
      </c>
      <c r="B57" s="231">
        <f>'GA55'!B53</f>
        <v>5</v>
      </c>
      <c r="C57" s="305">
        <f>'GA55'!C53</f>
        <v>42856</v>
      </c>
      <c r="D57" s="231">
        <f>'GA55'!D53</f>
        <v>5192</v>
      </c>
      <c r="E57" s="305">
        <f>'GA55'!E53</f>
        <v>42858</v>
      </c>
      <c r="F57" s="231" t="str">
        <f>'GA55'!F53</f>
        <v>2017-2018</v>
      </c>
      <c r="G57" s="309">
        <f>'GA55'!G53</f>
        <v>42826</v>
      </c>
      <c r="H57" s="231">
        <f>'GA55'!Q53</f>
        <v>2650</v>
      </c>
    </row>
    <row r="58" spans="1:8" x14ac:dyDescent="0.2">
      <c r="A58" s="231">
        <f>'GA55'!A54</f>
        <v>52</v>
      </c>
      <c r="B58" s="231">
        <f>'GA55'!B54</f>
        <v>11</v>
      </c>
      <c r="C58" s="305">
        <f>'GA55'!C54</f>
        <v>42884</v>
      </c>
      <c r="D58" s="231">
        <f>'GA55'!D54</f>
        <v>10350</v>
      </c>
      <c r="E58" s="305">
        <f>'GA55'!E54</f>
        <v>42887</v>
      </c>
      <c r="F58" s="231" t="str">
        <f>'GA55'!F54</f>
        <v>2017-2018</v>
      </c>
      <c r="G58" s="309">
        <f>'GA55'!G54</f>
        <v>42856</v>
      </c>
      <c r="H58" s="231">
        <f>'GA55'!Q54</f>
        <v>2650</v>
      </c>
    </row>
    <row r="59" spans="1:8" x14ac:dyDescent="0.2">
      <c r="A59" s="231">
        <f>'GA55'!A55</f>
        <v>53</v>
      </c>
      <c r="B59" s="231">
        <f>'GA55'!B55</f>
        <v>18</v>
      </c>
      <c r="C59" s="305">
        <f>'GA55'!C55</f>
        <v>42915</v>
      </c>
      <c r="D59" s="231">
        <f>'GA55'!D55</f>
        <v>15103</v>
      </c>
      <c r="E59" s="305">
        <f>'GA55'!E55</f>
        <v>42917</v>
      </c>
      <c r="F59" s="231" t="str">
        <f>'GA55'!F55</f>
        <v>2017-2018</v>
      </c>
      <c r="G59" s="309">
        <f>'GA55'!G55</f>
        <v>42887</v>
      </c>
      <c r="H59" s="231">
        <f>'GA55'!Q55</f>
        <v>2650</v>
      </c>
    </row>
    <row r="60" spans="1:8" x14ac:dyDescent="0.2">
      <c r="A60" s="231">
        <f>'GA55'!A56</f>
        <v>54</v>
      </c>
      <c r="B60" s="231">
        <f>'GA55'!B56</f>
        <v>25</v>
      </c>
      <c r="C60" s="305">
        <f>'GA55'!C56</f>
        <v>42944</v>
      </c>
      <c r="D60" s="231">
        <f>'GA55'!D56</f>
        <v>20970</v>
      </c>
      <c r="E60" s="305">
        <f>'GA55'!E56</f>
        <v>42951</v>
      </c>
      <c r="F60" s="231" t="str">
        <f>'GA55'!F56</f>
        <v>2017-2018</v>
      </c>
      <c r="G60" s="309">
        <f>'GA55'!G56</f>
        <v>42917</v>
      </c>
      <c r="H60" s="231">
        <f>'GA55'!Q56</f>
        <v>2650</v>
      </c>
    </row>
    <row r="61" spans="1:8" x14ac:dyDescent="0.2">
      <c r="A61" s="231">
        <f>'GA55'!A57</f>
        <v>55</v>
      </c>
      <c r="B61" s="231">
        <f>'GA55'!B57</f>
        <v>32</v>
      </c>
      <c r="C61" s="305">
        <f>'GA55'!C57</f>
        <v>42979</v>
      </c>
      <c r="D61" s="231">
        <f>'GA55'!D57</f>
        <v>24832</v>
      </c>
      <c r="E61" s="305">
        <f>'GA55'!E57</f>
        <v>42984</v>
      </c>
      <c r="F61" s="231" t="str">
        <f>'GA55'!F57</f>
        <v>2017-2018</v>
      </c>
      <c r="G61" s="309">
        <f>'GA55'!G57</f>
        <v>42948</v>
      </c>
      <c r="H61" s="231">
        <f>'GA55'!Q57</f>
        <v>2650</v>
      </c>
    </row>
    <row r="62" spans="1:8" x14ac:dyDescent="0.2">
      <c r="A62" s="231">
        <f>'GA55'!A58</f>
        <v>56</v>
      </c>
      <c r="B62" s="231">
        <f>'GA55'!B58</f>
        <v>36</v>
      </c>
      <c r="C62" s="305">
        <f>'GA55'!C58</f>
        <v>43011</v>
      </c>
      <c r="D62" s="231">
        <f>'GA55'!D58</f>
        <v>29089</v>
      </c>
      <c r="E62" s="305">
        <f>'GA55'!E58</f>
        <v>43014</v>
      </c>
      <c r="F62" s="231" t="str">
        <f>'GA55'!F58</f>
        <v>2017-2018</v>
      </c>
      <c r="G62" s="309">
        <f>'GA55'!G58</f>
        <v>42979</v>
      </c>
      <c r="H62" s="231">
        <f>'GA55'!Q58</f>
        <v>2650</v>
      </c>
    </row>
    <row r="63" spans="1:8" x14ac:dyDescent="0.2">
      <c r="A63" s="231">
        <f>'GA55'!A59</f>
        <v>57</v>
      </c>
      <c r="B63" s="231">
        <f>'GA55'!B59</f>
        <v>45</v>
      </c>
      <c r="C63" s="305">
        <f>'GA55'!C59</f>
        <v>43041</v>
      </c>
      <c r="D63" s="231">
        <f>'GA55'!D59</f>
        <v>37958</v>
      </c>
      <c r="E63" s="305">
        <f>'GA55'!E59</f>
        <v>43045</v>
      </c>
      <c r="F63" s="231" t="str">
        <f>'GA55'!F59</f>
        <v>2017-2018</v>
      </c>
      <c r="G63" s="309">
        <f>'GA55'!G59</f>
        <v>43009</v>
      </c>
      <c r="H63" s="231">
        <f>'GA55'!Q59</f>
        <v>2650</v>
      </c>
    </row>
    <row r="64" spans="1:8" x14ac:dyDescent="0.2">
      <c r="A64" s="231">
        <f>'GA55'!A60</f>
        <v>58</v>
      </c>
      <c r="B64" s="231">
        <f>'GA55'!B60</f>
        <v>50</v>
      </c>
      <c r="C64" s="305">
        <f>'GA55'!C60</f>
        <v>43067</v>
      </c>
      <c r="D64" s="231">
        <f>'GA55'!D60</f>
        <v>41798</v>
      </c>
      <c r="E64" s="305">
        <f>'GA55'!E60</f>
        <v>43070</v>
      </c>
      <c r="F64" s="231" t="str">
        <f>'GA55'!F60</f>
        <v>2017-2018</v>
      </c>
      <c r="G64" s="309">
        <f>'GA55'!G60</f>
        <v>43040</v>
      </c>
      <c r="H64" s="231">
        <f>'GA55'!Q60</f>
        <v>2650</v>
      </c>
    </row>
    <row r="65" spans="1:8" x14ac:dyDescent="0.2">
      <c r="A65" s="231">
        <f>'GA55'!A61</f>
        <v>59</v>
      </c>
      <c r="B65" s="231">
        <f>'GA55'!B61</f>
        <v>54</v>
      </c>
      <c r="C65" s="305">
        <f>'GA55'!C61</f>
        <v>43098</v>
      </c>
      <c r="D65" s="231">
        <f>'GA55'!D61</f>
        <v>47622</v>
      </c>
      <c r="E65" s="305">
        <f>'GA55'!E61</f>
        <v>43103</v>
      </c>
      <c r="F65" s="231" t="str">
        <f>'GA55'!F61</f>
        <v>2017-2018</v>
      </c>
      <c r="G65" s="309">
        <f>'GA55'!G61</f>
        <v>43070</v>
      </c>
      <c r="H65" s="231">
        <f>'GA55'!Q61</f>
        <v>2650</v>
      </c>
    </row>
    <row r="66" spans="1:8" x14ac:dyDescent="0.2">
      <c r="A66" s="231">
        <f>'GA55'!A62</f>
        <v>60</v>
      </c>
      <c r="B66" s="231">
        <f>'GA55'!B62</f>
        <v>58</v>
      </c>
      <c r="C66" s="305">
        <f>'GA55'!C62</f>
        <v>43125</v>
      </c>
      <c r="D66" s="231">
        <f>'GA55'!D62</f>
        <v>52864</v>
      </c>
      <c r="E66" s="305">
        <f>'GA55'!E62</f>
        <v>43134</v>
      </c>
      <c r="F66" s="231" t="str">
        <f>'GA55'!F62</f>
        <v>2017-2018</v>
      </c>
      <c r="G66" s="309">
        <f>'GA55'!G62</f>
        <v>43101</v>
      </c>
      <c r="H66" s="231">
        <f>'GA55'!Q62</f>
        <v>2650</v>
      </c>
    </row>
    <row r="67" spans="1:8" x14ac:dyDescent="0.2">
      <c r="A67" s="231">
        <f>'GA55'!A63</f>
        <v>61</v>
      </c>
      <c r="B67" s="231">
        <f>'GA55'!B63</f>
        <v>67</v>
      </c>
      <c r="C67" s="305">
        <f>'GA55'!C63</f>
        <v>43159</v>
      </c>
      <c r="D67" s="231">
        <f>'GA55'!D63</f>
        <v>59059</v>
      </c>
      <c r="E67" s="305">
        <f>'GA55'!E63</f>
        <v>43166</v>
      </c>
      <c r="F67" s="231" t="str">
        <f>'GA55'!F63</f>
        <v>2017-2018</v>
      </c>
      <c r="G67" s="309">
        <f>'GA55'!G63</f>
        <v>43132</v>
      </c>
      <c r="H67" s="231">
        <f>'GA55'!Q63</f>
        <v>2650</v>
      </c>
    </row>
    <row r="68" spans="1:8" x14ac:dyDescent="0.2">
      <c r="A68" s="231">
        <f>'GA55'!A64</f>
        <v>62</v>
      </c>
      <c r="B68" s="231">
        <f>'GA55'!B64</f>
        <v>4</v>
      </c>
      <c r="C68" s="305">
        <f>'GA55'!C64</f>
        <v>42846</v>
      </c>
      <c r="D68" s="231">
        <f>'GA55'!D64</f>
        <v>3532</v>
      </c>
      <c r="E68" s="305">
        <f>'GA55'!E64</f>
        <v>42852</v>
      </c>
      <c r="F68" s="231" t="str">
        <f>'GA55'!F64</f>
        <v>2017-2018</v>
      </c>
      <c r="G68" s="309" t="str">
        <f>'GA55'!G64</f>
        <v>Salary Arrer Jan to March</v>
      </c>
      <c r="H68" s="231">
        <f>'GA55'!Q64</f>
        <v>0</v>
      </c>
    </row>
    <row r="69" spans="1:8" x14ac:dyDescent="0.2">
      <c r="A69" s="231">
        <f>'GA55'!A65</f>
        <v>63</v>
      </c>
      <c r="B69" s="231">
        <f>'GA55'!B65</f>
        <v>4</v>
      </c>
      <c r="C69" s="305">
        <f>'GA55'!C65</f>
        <v>42846</v>
      </c>
      <c r="D69" s="231">
        <f>'GA55'!D65</f>
        <v>3532</v>
      </c>
      <c r="E69" s="305">
        <f>'GA55'!E65</f>
        <v>42852</v>
      </c>
      <c r="F69" s="231" t="str">
        <f>'GA55'!F65</f>
        <v>2017-2018</v>
      </c>
      <c r="G69" s="309" t="str">
        <f>'GA55'!G65</f>
        <v>Surrender Leave Arrer</v>
      </c>
      <c r="H69" s="231">
        <f>'GA55'!Q65</f>
        <v>0</v>
      </c>
    </row>
    <row r="70" spans="1:8" x14ac:dyDescent="0.2">
      <c r="A70" s="231">
        <f>'GA55'!A66</f>
        <v>64</v>
      </c>
      <c r="B70" s="231">
        <f>'GA55'!B66</f>
        <v>39</v>
      </c>
      <c r="C70" s="305">
        <f>'GA55'!C66</f>
        <v>43019</v>
      </c>
      <c r="D70" s="231">
        <f>'GA55'!D66</f>
        <v>32674</v>
      </c>
      <c r="E70" s="305">
        <f>'GA55'!E66</f>
        <v>43021</v>
      </c>
      <c r="F70" s="231" t="str">
        <f>'GA55'!F66</f>
        <v>2017-2018</v>
      </c>
      <c r="G70" s="309" t="str">
        <f>'GA55'!G66</f>
        <v>Diwali  Bonus</v>
      </c>
      <c r="H70" s="231">
        <f>'GA55'!Q66</f>
        <v>0</v>
      </c>
    </row>
    <row r="71" spans="1:8" x14ac:dyDescent="0.2">
      <c r="A71" s="231">
        <f>'GA55'!A67</f>
        <v>65</v>
      </c>
      <c r="B71" s="231">
        <f>'GA55'!B67</f>
        <v>38</v>
      </c>
      <c r="C71" s="305">
        <f>'GA55'!C67</f>
        <v>43019</v>
      </c>
      <c r="D71" s="231">
        <f>'GA55'!D67</f>
        <v>32614</v>
      </c>
      <c r="E71" s="305">
        <f>'GA55'!E67</f>
        <v>43021</v>
      </c>
      <c r="F71" s="231" t="str">
        <f>'GA55'!F67</f>
        <v>2017-2018</v>
      </c>
      <c r="G71" s="309" t="str">
        <f>'GA55'!G67</f>
        <v>Salary Arrer Jul to Sep</v>
      </c>
      <c r="H71" s="231">
        <f>'GA55'!Q67</f>
        <v>0</v>
      </c>
    </row>
    <row r="72" spans="1:8" x14ac:dyDescent="0.2">
      <c r="A72" s="231">
        <f>'GA55'!A68</f>
        <v>66</v>
      </c>
      <c r="B72" s="231">
        <f>'GA55'!B68</f>
        <v>60</v>
      </c>
      <c r="C72" s="305">
        <f>'GA55'!C68</f>
        <v>43137</v>
      </c>
      <c r="D72" s="231">
        <f>'GA55'!D68</f>
        <v>54288</v>
      </c>
      <c r="E72" s="305">
        <f>'GA55'!E68</f>
        <v>43146</v>
      </c>
      <c r="F72" s="231" t="str">
        <f>'GA55'!F68</f>
        <v>2017-2018</v>
      </c>
      <c r="G72" s="309" t="str">
        <f>'GA55'!G68</f>
        <v>Salary Arrer from Oct to Dec (7th Pay Comm)</v>
      </c>
      <c r="H72" s="231">
        <f>'GA55'!Q68</f>
        <v>0</v>
      </c>
    </row>
    <row r="73" spans="1:8" x14ac:dyDescent="0.2">
      <c r="A73" s="231">
        <f>'GA55'!A69</f>
        <v>67</v>
      </c>
      <c r="B73" s="231">
        <f>'GA55'!B69</f>
        <v>66</v>
      </c>
      <c r="C73" s="305">
        <f>'GA55'!C69</f>
        <v>43159</v>
      </c>
      <c r="D73" s="231">
        <f>'GA55'!D69</f>
        <v>58697</v>
      </c>
      <c r="E73" s="305">
        <f>'GA55'!E69</f>
        <v>43165</v>
      </c>
      <c r="F73" s="231" t="str">
        <f>'GA55'!F69</f>
        <v>2017-2018</v>
      </c>
      <c r="G73" s="309" t="str">
        <f>'GA55'!G69</f>
        <v>Surrender Leave</v>
      </c>
      <c r="H73" s="231">
        <f>'GA55'!Q69</f>
        <v>0</v>
      </c>
    </row>
    <row r="74" spans="1:8" x14ac:dyDescent="0.2">
      <c r="A74" s="231">
        <f>'GA55'!A70</f>
        <v>68</v>
      </c>
      <c r="B74" s="231">
        <f>'GA55'!B70</f>
        <v>1</v>
      </c>
      <c r="C74" s="305">
        <f>'GA55'!C70</f>
        <v>43200</v>
      </c>
      <c r="D74" s="231">
        <f>'GA55'!D70</f>
        <v>2261</v>
      </c>
      <c r="E74" s="305">
        <f>'GA55'!E70</f>
        <v>43206</v>
      </c>
      <c r="F74" s="231" t="str">
        <f>'GA55'!F70</f>
        <v>2018-2019</v>
      </c>
      <c r="G74" s="309">
        <f>'GA55'!G70</f>
        <v>43160</v>
      </c>
      <c r="H74" s="231">
        <f>'GA55'!Q70</f>
        <v>3000</v>
      </c>
    </row>
    <row r="75" spans="1:8" x14ac:dyDescent="0.2">
      <c r="A75" s="231">
        <f>'GA55'!A71</f>
        <v>69</v>
      </c>
      <c r="B75" s="231">
        <f>'GA55'!B71</f>
        <v>13</v>
      </c>
      <c r="C75" s="305">
        <f>'GA55'!C71</f>
        <v>43249</v>
      </c>
      <c r="D75" s="231">
        <f>'GA55'!D71</f>
        <v>12293</v>
      </c>
      <c r="E75" s="305">
        <f>'GA55'!E71</f>
        <v>43249</v>
      </c>
      <c r="F75" s="231" t="str">
        <f>'GA55'!F71</f>
        <v>2018-2019</v>
      </c>
      <c r="G75" s="309">
        <f>'GA55'!G71</f>
        <v>43191</v>
      </c>
      <c r="H75" s="231">
        <f>'GA55'!Q71</f>
        <v>3000</v>
      </c>
    </row>
    <row r="76" spans="1:8" x14ac:dyDescent="0.2">
      <c r="A76" s="231">
        <f>'GA55'!A72</f>
        <v>70</v>
      </c>
      <c r="B76" s="231">
        <f>'GA55'!B72</f>
        <v>14</v>
      </c>
      <c r="C76" s="305">
        <f>'GA55'!C72</f>
        <v>43249</v>
      </c>
      <c r="D76" s="231">
        <f>'GA55'!D72</f>
        <v>14665</v>
      </c>
      <c r="E76" s="305">
        <f>'GA55'!E72</f>
        <v>43252</v>
      </c>
      <c r="F76" s="231" t="str">
        <f>'GA55'!F72</f>
        <v>2018-2019</v>
      </c>
      <c r="G76" s="309">
        <f>'GA55'!G72</f>
        <v>43221</v>
      </c>
      <c r="H76" s="231">
        <f>'GA55'!Q72</f>
        <v>3000</v>
      </c>
    </row>
    <row r="77" spans="1:8" x14ac:dyDescent="0.2">
      <c r="A77" s="231">
        <f>'GA55'!A73</f>
        <v>71</v>
      </c>
      <c r="B77" s="231">
        <f>'GA55'!B73</f>
        <v>22</v>
      </c>
      <c r="C77" s="305">
        <f>'GA55'!C73</f>
        <v>43276</v>
      </c>
      <c r="D77" s="231">
        <f>'GA55'!D73</f>
        <v>20799</v>
      </c>
      <c r="E77" s="305">
        <f>'GA55'!E73</f>
        <v>43283</v>
      </c>
      <c r="F77" s="231" t="str">
        <f>'GA55'!F73</f>
        <v>2018-2019</v>
      </c>
      <c r="G77" s="309">
        <f>'GA55'!G73</f>
        <v>43252</v>
      </c>
      <c r="H77" s="231">
        <f>'GA55'!Q73</f>
        <v>3000</v>
      </c>
    </row>
    <row r="78" spans="1:8" x14ac:dyDescent="0.2">
      <c r="A78" s="231">
        <f>'GA55'!A74</f>
        <v>72</v>
      </c>
      <c r="B78" s="231">
        <f>'GA55'!B74</f>
        <v>29</v>
      </c>
      <c r="C78" s="305">
        <f>'GA55'!C74</f>
        <v>43307</v>
      </c>
      <c r="D78" s="231">
        <f>'GA55'!D74</f>
        <v>28948</v>
      </c>
      <c r="E78" s="305">
        <f>'GA55'!E74</f>
        <v>43313</v>
      </c>
      <c r="F78" s="231" t="str">
        <f>'GA55'!F74</f>
        <v>2018-2019</v>
      </c>
      <c r="G78" s="309">
        <f>'GA55'!G74</f>
        <v>43282</v>
      </c>
      <c r="H78" s="231">
        <f>'GA55'!Q74</f>
        <v>3000</v>
      </c>
    </row>
    <row r="79" spans="1:8" x14ac:dyDescent="0.2">
      <c r="A79" s="231">
        <f>'GA55'!A75</f>
        <v>73</v>
      </c>
      <c r="B79" s="231">
        <f>'GA55'!B75</f>
        <v>37</v>
      </c>
      <c r="C79" s="305">
        <f>'GA55'!C75</f>
        <v>43340</v>
      </c>
      <c r="D79" s="231">
        <f>'GA55'!D75</f>
        <v>38148</v>
      </c>
      <c r="E79" s="305">
        <f>'GA55'!E75</f>
        <v>43344</v>
      </c>
      <c r="F79" s="231" t="str">
        <f>'GA55'!F75</f>
        <v>2018-2019</v>
      </c>
      <c r="G79" s="309">
        <f>'GA55'!G75</f>
        <v>43313</v>
      </c>
      <c r="H79" s="231">
        <f>'GA55'!Q75</f>
        <v>3000</v>
      </c>
    </row>
    <row r="80" spans="1:8" x14ac:dyDescent="0.2">
      <c r="A80" s="231">
        <f>'GA55'!A76</f>
        <v>74</v>
      </c>
      <c r="B80" s="231">
        <f>'GA55'!B76</f>
        <v>42</v>
      </c>
      <c r="C80" s="305">
        <f>'GA55'!C76</f>
        <v>43378</v>
      </c>
      <c r="D80" s="231">
        <f>'GA55'!D76</f>
        <v>45759</v>
      </c>
      <c r="E80" s="305">
        <f>'GA55'!E76</f>
        <v>43382</v>
      </c>
      <c r="F80" s="231" t="str">
        <f>'GA55'!F76</f>
        <v>2018-2019</v>
      </c>
      <c r="G80" s="309">
        <f>'GA55'!G76</f>
        <v>43344</v>
      </c>
      <c r="H80" s="231">
        <f>'GA55'!Q76</f>
        <v>3000</v>
      </c>
    </row>
    <row r="81" spans="1:8" x14ac:dyDescent="0.2">
      <c r="A81" s="231">
        <f>'GA55'!A77</f>
        <v>75</v>
      </c>
      <c r="B81" s="231">
        <f>'GA55'!B77</f>
        <v>52</v>
      </c>
      <c r="C81" s="305">
        <f>'GA55'!C77</f>
        <v>43409</v>
      </c>
      <c r="D81" s="231">
        <f>'GA55'!D77</f>
        <v>64791</v>
      </c>
      <c r="E81" s="305">
        <f>'GA55'!E77</f>
        <v>43412</v>
      </c>
      <c r="F81" s="231" t="str">
        <f>'GA55'!F77</f>
        <v>2018-2019</v>
      </c>
      <c r="G81" s="309">
        <f>'GA55'!G77</f>
        <v>43374</v>
      </c>
      <c r="H81" s="231">
        <f>'GA55'!Q77</f>
        <v>3000</v>
      </c>
    </row>
    <row r="82" spans="1:8" x14ac:dyDescent="0.2">
      <c r="A82" s="231">
        <f>'GA55'!A78</f>
        <v>76</v>
      </c>
      <c r="B82" s="231">
        <f>'GA55'!B78</f>
        <v>56</v>
      </c>
      <c r="C82" s="305">
        <f>'GA55'!C78</f>
        <v>43440</v>
      </c>
      <c r="D82" s="231">
        <f>'GA55'!D78</f>
        <v>78389</v>
      </c>
      <c r="E82" s="305">
        <f>'GA55'!E78</f>
        <v>43470</v>
      </c>
      <c r="F82" s="231" t="str">
        <f>'GA55'!F78</f>
        <v>2018-2019</v>
      </c>
      <c r="G82" s="309">
        <f>'GA55'!G78</f>
        <v>43405</v>
      </c>
      <c r="H82" s="231">
        <f>'GA55'!Q78</f>
        <v>3000</v>
      </c>
    </row>
    <row r="83" spans="1:8" x14ac:dyDescent="0.2">
      <c r="A83" s="231">
        <f>'GA55'!A79</f>
        <v>77</v>
      </c>
      <c r="B83" s="231">
        <f>'GA55'!B79</f>
        <v>64</v>
      </c>
      <c r="C83" s="305">
        <f>'GA55'!C79</f>
        <v>43500</v>
      </c>
      <c r="D83" s="231">
        <f>'GA55'!D79</f>
        <v>84676</v>
      </c>
      <c r="E83" s="305">
        <f>'GA55'!E79</f>
        <v>43503</v>
      </c>
      <c r="F83" s="231" t="str">
        <f>'GA55'!F79</f>
        <v>2018-2019</v>
      </c>
      <c r="G83" s="309">
        <f>'GA55'!G79</f>
        <v>43435</v>
      </c>
      <c r="H83" s="231">
        <f>'GA55'!Q79</f>
        <v>3000</v>
      </c>
    </row>
    <row r="84" spans="1:8" x14ac:dyDescent="0.2">
      <c r="A84" s="231">
        <f>'GA55'!A80</f>
        <v>78</v>
      </c>
      <c r="B84" s="231">
        <f>'GA55'!B80</f>
        <v>66</v>
      </c>
      <c r="C84" s="305">
        <f>'GA55'!C80</f>
        <v>43500</v>
      </c>
      <c r="D84" s="231">
        <f>'GA55'!D80</f>
        <v>84675</v>
      </c>
      <c r="E84" s="305">
        <f>'GA55'!E80</f>
        <v>43503</v>
      </c>
      <c r="F84" s="231" t="str">
        <f>'GA55'!F80</f>
        <v>2018-2019</v>
      </c>
      <c r="G84" s="309">
        <f>'GA55'!G80</f>
        <v>43466</v>
      </c>
      <c r="H84" s="231">
        <f>'GA55'!Q80</f>
        <v>3000</v>
      </c>
    </row>
    <row r="85" spans="1:8" x14ac:dyDescent="0.2">
      <c r="A85" s="231">
        <f>'GA55'!A81</f>
        <v>79</v>
      </c>
      <c r="B85" s="231">
        <f>'GA55'!B81</f>
        <v>77</v>
      </c>
      <c r="C85" s="305">
        <f>'GA55'!C81</f>
        <v>43524</v>
      </c>
      <c r="D85" s="231">
        <f>'GA55'!D81</f>
        <v>89654</v>
      </c>
      <c r="E85" s="305">
        <f>'GA55'!E81</f>
        <v>43526</v>
      </c>
      <c r="F85" s="231" t="str">
        <f>'GA55'!F81</f>
        <v>2018-2019</v>
      </c>
      <c r="G85" s="309">
        <f>'GA55'!G81</f>
        <v>43497</v>
      </c>
      <c r="H85" s="231">
        <f>'GA55'!Q81</f>
        <v>3000</v>
      </c>
    </row>
    <row r="86" spans="1:8" x14ac:dyDescent="0.2">
      <c r="A86" s="231">
        <f>'GA55'!A82</f>
        <v>80</v>
      </c>
      <c r="B86" s="231">
        <f>'GA55'!B82</f>
        <v>2</v>
      </c>
      <c r="C86" s="305">
        <f>'GA55'!C82</f>
        <v>44305</v>
      </c>
      <c r="D86" s="231">
        <f>'GA55'!D82</f>
        <v>4380</v>
      </c>
      <c r="E86" s="305">
        <f>'GA55'!E82</f>
        <v>43215</v>
      </c>
      <c r="F86" s="231" t="str">
        <f>'GA55'!F82</f>
        <v>2018-2019</v>
      </c>
      <c r="G86" s="309" t="str">
        <f>'GA55'!G82</f>
        <v>Salary Arrer Jan to March</v>
      </c>
      <c r="H86" s="231">
        <f>'GA55'!Q82</f>
        <v>0</v>
      </c>
    </row>
    <row r="87" spans="1:8" x14ac:dyDescent="0.2">
      <c r="A87" s="231">
        <f>'GA55'!A83</f>
        <v>81</v>
      </c>
      <c r="B87" s="231">
        <f>'GA55'!B83</f>
        <v>2</v>
      </c>
      <c r="C87" s="305">
        <f>'GA55'!C83</f>
        <v>44305</v>
      </c>
      <c r="D87" s="231">
        <f>'GA55'!D83</f>
        <v>4380</v>
      </c>
      <c r="E87" s="305">
        <f>'GA55'!E83</f>
        <v>43215</v>
      </c>
      <c r="F87" s="231" t="str">
        <f>'GA55'!F83</f>
        <v>2018-2019</v>
      </c>
      <c r="G87" s="309" t="str">
        <f>'GA55'!G83</f>
        <v>Surrender Leave Arrer</v>
      </c>
      <c r="H87" s="231">
        <f>'GA55'!Q83</f>
        <v>0</v>
      </c>
    </row>
    <row r="88" spans="1:8" x14ac:dyDescent="0.2">
      <c r="A88" s="231">
        <f>'GA55'!A84</f>
        <v>82</v>
      </c>
      <c r="B88" s="231">
        <f>'GA55'!B84</f>
        <v>49</v>
      </c>
      <c r="C88" s="305">
        <f>'GA55'!C84</f>
        <v>43405</v>
      </c>
      <c r="D88" s="231">
        <f>'GA55'!D84</f>
        <v>57763</v>
      </c>
      <c r="E88" s="305">
        <f>'GA55'!E84</f>
        <v>43407</v>
      </c>
      <c r="F88" s="231" t="str">
        <f>'GA55'!F84</f>
        <v>2018-2019</v>
      </c>
      <c r="G88" s="309" t="str">
        <f>'GA55'!G84</f>
        <v>Diwali  Bonus</v>
      </c>
      <c r="H88" s="231">
        <f>'GA55'!Q84</f>
        <v>0</v>
      </c>
    </row>
    <row r="89" spans="1:8" x14ac:dyDescent="0.2">
      <c r="A89" s="231">
        <f>'GA55'!A85</f>
        <v>83</v>
      </c>
      <c r="B89" s="231">
        <f>'GA55'!B85</f>
        <v>43</v>
      </c>
      <c r="C89" s="305">
        <f>'GA55'!C85</f>
        <v>43382</v>
      </c>
      <c r="D89" s="231">
        <f>'GA55'!D85</f>
        <v>51682</v>
      </c>
      <c r="E89" s="305">
        <f>'GA55'!E85</f>
        <v>43403</v>
      </c>
      <c r="F89" s="231" t="str">
        <f>'GA55'!F85</f>
        <v>2018-2019</v>
      </c>
      <c r="G89" s="309" t="str">
        <f>'GA55'!G85</f>
        <v>DA Salary Arrer Jul to Sep</v>
      </c>
      <c r="H89" s="231">
        <f>'GA55'!Q85</f>
        <v>0</v>
      </c>
    </row>
    <row r="90" spans="1:8" x14ac:dyDescent="0.2">
      <c r="A90" s="231">
        <f>'GA55'!A86</f>
        <v>84</v>
      </c>
      <c r="B90" s="231">
        <f>'GA55'!B86</f>
        <v>7</v>
      </c>
      <c r="C90" s="305">
        <f>'GA55'!C86</f>
        <v>43229</v>
      </c>
      <c r="D90" s="231">
        <f>'GA55'!D86</f>
        <v>10650</v>
      </c>
      <c r="E90" s="305">
        <f>'GA55'!E86</f>
        <v>43239</v>
      </c>
      <c r="F90" s="231" t="str">
        <f>'GA55'!F86</f>
        <v>2018-2019</v>
      </c>
      <c r="G90" s="309" t="str">
        <f>'GA55'!G86</f>
        <v>Salary Arrer (7th Pay Comm 2nd Installment)</v>
      </c>
      <c r="H90" s="231">
        <f>'GA55'!Q86</f>
        <v>0</v>
      </c>
    </row>
    <row r="91" spans="1:8" x14ac:dyDescent="0.2">
      <c r="A91" s="231">
        <f>'GA55'!A87</f>
        <v>85</v>
      </c>
      <c r="B91" s="231">
        <f>'GA55'!B87</f>
        <v>25</v>
      </c>
      <c r="C91" s="305">
        <f>'GA55'!C87</f>
        <v>43298</v>
      </c>
      <c r="D91" s="231">
        <f>'GA55'!D87</f>
        <v>27703</v>
      </c>
      <c r="E91" s="305">
        <f>'GA55'!E87</f>
        <v>43312</v>
      </c>
      <c r="F91" s="231" t="str">
        <f>'GA55'!F87</f>
        <v>2018-2019</v>
      </c>
      <c r="G91" s="309" t="str">
        <f>'GA55'!G87</f>
        <v>Salary Arrer (7th Pay Comm 3rd Installment)</v>
      </c>
      <c r="H91" s="231">
        <f>'GA55'!Q87</f>
        <v>0</v>
      </c>
    </row>
    <row r="92" spans="1:8" x14ac:dyDescent="0.2">
      <c r="A92" s="231">
        <f>'GA55'!A88</f>
        <v>86</v>
      </c>
      <c r="B92" s="231">
        <f>'GA55'!B88</f>
        <v>61</v>
      </c>
      <c r="C92" s="305">
        <f>'GA55'!C88</f>
        <v>43487</v>
      </c>
      <c r="D92" s="231">
        <f>'GA55'!D88</f>
        <v>81940</v>
      </c>
      <c r="E92" s="305">
        <f>'GA55'!E88</f>
        <v>43496</v>
      </c>
      <c r="F92" s="231" t="str">
        <f>'GA55'!F88</f>
        <v>2018-2019</v>
      </c>
      <c r="G92" s="309" t="str">
        <f>'GA55'!G88</f>
        <v>Surrender Leave</v>
      </c>
      <c r="H92" s="231">
        <f>'GA55'!Q88</f>
        <v>0</v>
      </c>
    </row>
    <row r="93" spans="1:8" x14ac:dyDescent="0.2">
      <c r="A93" s="231">
        <f>'GA55'!A89</f>
        <v>87</v>
      </c>
      <c r="B93" s="231">
        <f>'GA55'!B89</f>
        <v>45</v>
      </c>
      <c r="C93" s="305">
        <f>'GA55'!C89</f>
        <v>43388</v>
      </c>
      <c r="D93" s="231">
        <f>'GA55'!D89</f>
        <v>61581</v>
      </c>
      <c r="E93" s="305">
        <f>'GA55'!E89</f>
        <v>43409</v>
      </c>
      <c r="F93" s="231" t="str">
        <f>'GA55'!F89</f>
        <v>2018-2019</v>
      </c>
      <c r="G93" s="309" t="str">
        <f>'GA55'!G89</f>
        <v>Salary Arrer (7th Pay Comm 4th Installment)</v>
      </c>
      <c r="H93" s="231">
        <f>'GA55'!Q89</f>
        <v>0</v>
      </c>
    </row>
    <row r="94" spans="1:8" x14ac:dyDescent="0.2">
      <c r="A94" s="231">
        <f>'GA55'!A90</f>
        <v>88</v>
      </c>
      <c r="B94" s="231">
        <f>'GA55'!B90</f>
        <v>1</v>
      </c>
      <c r="C94" s="305">
        <f>'GA55'!C90</f>
        <v>43558</v>
      </c>
      <c r="D94" s="231">
        <f>'GA55'!D90</f>
        <v>2067</v>
      </c>
      <c r="E94" s="305">
        <f>'GA55'!E90</f>
        <v>43567</v>
      </c>
      <c r="F94" s="231" t="str">
        <f>'GA55'!F90</f>
        <v>2019-2020</v>
      </c>
      <c r="G94" s="309">
        <f>'GA55'!G90</f>
        <v>43525</v>
      </c>
      <c r="H94" s="231">
        <f>'GA55'!Q90</f>
        <v>3000</v>
      </c>
    </row>
    <row r="95" spans="1:8" x14ac:dyDescent="0.2">
      <c r="A95" s="231">
        <f>'GA55'!A91</f>
        <v>89</v>
      </c>
      <c r="B95" s="231">
        <f>'GA55'!B91</f>
        <v>3</v>
      </c>
      <c r="C95" s="305">
        <f>'GA55'!C91</f>
        <v>43584</v>
      </c>
      <c r="D95" s="231">
        <f>'GA55'!D91</f>
        <v>7783</v>
      </c>
      <c r="E95" s="305">
        <f>'GA55'!E91</f>
        <v>43586</v>
      </c>
      <c r="F95" s="231" t="str">
        <f>'GA55'!F91</f>
        <v>2019-2020</v>
      </c>
      <c r="G95" s="309">
        <f>'GA55'!G91</f>
        <v>43556</v>
      </c>
      <c r="H95" s="231">
        <f>'GA55'!Q91</f>
        <v>3000</v>
      </c>
    </row>
    <row r="96" spans="1:8" x14ac:dyDescent="0.2">
      <c r="A96" s="231">
        <f>'GA55'!A92</f>
        <v>90</v>
      </c>
      <c r="B96" s="231">
        <f>'GA55'!B92</f>
        <v>10</v>
      </c>
      <c r="C96" s="305">
        <f>'GA55'!C92</f>
        <v>43626</v>
      </c>
      <c r="D96" s="231">
        <f>'GA55'!D92</f>
        <v>13083</v>
      </c>
      <c r="E96" s="305">
        <f>'GA55'!E92</f>
        <v>43626</v>
      </c>
      <c r="F96" s="231" t="str">
        <f>'GA55'!F92</f>
        <v>2019-2020</v>
      </c>
      <c r="G96" s="309">
        <f>'GA55'!G92</f>
        <v>43586</v>
      </c>
      <c r="H96" s="231">
        <f>'GA55'!Q92</f>
        <v>3000</v>
      </c>
    </row>
    <row r="97" spans="1:8" x14ac:dyDescent="0.2">
      <c r="A97" s="231">
        <f>'GA55'!A93</f>
        <v>91</v>
      </c>
      <c r="B97" s="231">
        <f>'GA55'!B93</f>
        <v>16</v>
      </c>
      <c r="C97" s="305">
        <f>'GA55'!C93</f>
        <v>43643</v>
      </c>
      <c r="D97" s="231">
        <f>'GA55'!D93</f>
        <v>17962</v>
      </c>
      <c r="E97" s="305">
        <f>'GA55'!E93</f>
        <v>43648</v>
      </c>
      <c r="F97" s="231" t="str">
        <f>'GA55'!F93</f>
        <v>2019-2020</v>
      </c>
      <c r="G97" s="309">
        <f>'GA55'!G93</f>
        <v>43617</v>
      </c>
      <c r="H97" s="231">
        <f>'GA55'!Q93</f>
        <v>3000</v>
      </c>
    </row>
    <row r="98" spans="1:8" x14ac:dyDescent="0.2">
      <c r="A98" s="231">
        <f>'GA55'!A94</f>
        <v>92</v>
      </c>
      <c r="B98" s="231">
        <f>'GA55'!B94</f>
        <v>21</v>
      </c>
      <c r="C98" s="305">
        <f>'GA55'!C94</f>
        <v>43679</v>
      </c>
      <c r="D98" s="231">
        <f>'GA55'!D94</f>
        <v>22832</v>
      </c>
      <c r="E98" s="305">
        <f>'GA55'!E94</f>
        <v>43683</v>
      </c>
      <c r="F98" s="231" t="str">
        <f>'GA55'!F94</f>
        <v>2019-2020</v>
      </c>
      <c r="G98" s="309">
        <f>'GA55'!G94</f>
        <v>43647</v>
      </c>
      <c r="H98" s="231">
        <f>'GA55'!Q94</f>
        <v>3000</v>
      </c>
    </row>
    <row r="99" spans="1:8" x14ac:dyDescent="0.2">
      <c r="A99" s="231">
        <f>'GA55'!A95</f>
        <v>93</v>
      </c>
      <c r="B99" s="231">
        <f>'GA55'!B95</f>
        <v>25</v>
      </c>
      <c r="C99" s="305">
        <f>'GA55'!C95</f>
        <v>43704</v>
      </c>
      <c r="D99" s="231">
        <f>'GA55'!D95</f>
        <v>28118</v>
      </c>
      <c r="E99" s="305">
        <f>'GA55'!E95</f>
        <v>43710</v>
      </c>
      <c r="F99" s="231" t="str">
        <f>'GA55'!F95</f>
        <v>2019-2020</v>
      </c>
      <c r="G99" s="309">
        <f>'GA55'!G95</f>
        <v>43678</v>
      </c>
      <c r="H99" s="231">
        <f>'GA55'!Q95</f>
        <v>3000</v>
      </c>
    </row>
    <row r="100" spans="1:8" x14ac:dyDescent="0.2">
      <c r="A100" s="231">
        <f>'GA55'!A96</f>
        <v>94</v>
      </c>
      <c r="B100" s="231">
        <f>'GA55'!B96</f>
        <v>31</v>
      </c>
      <c r="C100" s="305">
        <f>'GA55'!C96</f>
        <v>43734</v>
      </c>
      <c r="D100" s="231">
        <f>'GA55'!D96</f>
        <v>35390</v>
      </c>
      <c r="E100" s="305">
        <f>'GA55'!E96</f>
        <v>43739</v>
      </c>
      <c r="F100" s="231" t="str">
        <f>'GA55'!F96</f>
        <v>2019-2020</v>
      </c>
      <c r="G100" s="309">
        <f>'GA55'!G96</f>
        <v>43709</v>
      </c>
      <c r="H100" s="231">
        <f>'GA55'!Q96</f>
        <v>3000</v>
      </c>
    </row>
    <row r="101" spans="1:8" x14ac:dyDescent="0.2">
      <c r="A101" s="231">
        <f>'GA55'!A97</f>
        <v>95</v>
      </c>
      <c r="B101" s="231">
        <f>'GA55'!B97</f>
        <v>40</v>
      </c>
      <c r="C101" s="305">
        <f>'GA55'!C97</f>
        <v>43763</v>
      </c>
      <c r="D101" s="231">
        <f>'GA55'!D97</f>
        <v>41375</v>
      </c>
      <c r="E101" s="305">
        <f>'GA55'!E97</f>
        <v>43770</v>
      </c>
      <c r="F101" s="231" t="str">
        <f>'GA55'!F97</f>
        <v>2019-2020</v>
      </c>
      <c r="G101" s="309">
        <f>'GA55'!G97</f>
        <v>43739</v>
      </c>
      <c r="H101" s="231">
        <f>'GA55'!Q97</f>
        <v>3000</v>
      </c>
    </row>
    <row r="102" spans="1:8" x14ac:dyDescent="0.2">
      <c r="A102" s="231">
        <f>'GA55'!A98</f>
        <v>96</v>
      </c>
      <c r="B102" s="231">
        <f>'GA55'!B98</f>
        <v>43</v>
      </c>
      <c r="C102" s="305">
        <f>'GA55'!C98</f>
        <v>43796</v>
      </c>
      <c r="D102" s="231">
        <f>'GA55'!D98</f>
        <v>48035</v>
      </c>
      <c r="E102" s="305">
        <f>'GA55'!E98</f>
        <v>43802</v>
      </c>
      <c r="F102" s="231" t="str">
        <f>'GA55'!F98</f>
        <v>2019-2020</v>
      </c>
      <c r="G102" s="309">
        <f>'GA55'!G98</f>
        <v>43770</v>
      </c>
      <c r="H102" s="231">
        <f>'GA55'!Q98</f>
        <v>3000</v>
      </c>
    </row>
    <row r="103" spans="1:8" x14ac:dyDescent="0.2">
      <c r="A103" s="231">
        <f>'GA55'!A99</f>
        <v>97</v>
      </c>
      <c r="B103" s="231">
        <f>'GA55'!B99</f>
        <v>48</v>
      </c>
      <c r="C103" s="305">
        <f>'GA55'!C99</f>
        <v>43829</v>
      </c>
      <c r="D103" s="231">
        <f>'GA55'!D99</f>
        <v>53590</v>
      </c>
      <c r="E103" s="305">
        <f>'GA55'!E99</f>
        <v>43833</v>
      </c>
      <c r="F103" s="231" t="str">
        <f>'GA55'!F99</f>
        <v>2019-2020</v>
      </c>
      <c r="G103" s="309">
        <f>'GA55'!G99</f>
        <v>43800</v>
      </c>
      <c r="H103" s="231">
        <f>'GA55'!Q99</f>
        <v>3000</v>
      </c>
    </row>
    <row r="104" spans="1:8" x14ac:dyDescent="0.2">
      <c r="A104" s="231">
        <f>'GA55'!A100</f>
        <v>98</v>
      </c>
      <c r="B104" s="231">
        <f>'GA55'!B100</f>
        <v>53</v>
      </c>
      <c r="C104" s="305">
        <f>'GA55'!C100</f>
        <v>43859</v>
      </c>
      <c r="D104" s="231">
        <f>'GA55'!D100</f>
        <v>58674</v>
      </c>
      <c r="E104" s="305">
        <f>'GA55'!E100</f>
        <v>43862</v>
      </c>
      <c r="F104" s="231" t="str">
        <f>'GA55'!F100</f>
        <v>2019-2020</v>
      </c>
      <c r="G104" s="309">
        <f>'GA55'!G100</f>
        <v>43831</v>
      </c>
      <c r="H104" s="231">
        <f>'GA55'!Q100</f>
        <v>3000</v>
      </c>
    </row>
    <row r="105" spans="1:8" x14ac:dyDescent="0.2">
      <c r="A105" s="231">
        <f>'GA55'!A101</f>
        <v>99</v>
      </c>
      <c r="B105" s="231">
        <f>'GA55'!B101</f>
        <v>62</v>
      </c>
      <c r="C105" s="305">
        <f>'GA55'!C101</f>
        <v>43889</v>
      </c>
      <c r="D105" s="231">
        <f>'GA55'!D101</f>
        <v>65112</v>
      </c>
      <c r="E105" s="305">
        <f>'GA55'!E101</f>
        <v>43894</v>
      </c>
      <c r="F105" s="231" t="str">
        <f>'GA55'!F101</f>
        <v>2019-2020</v>
      </c>
      <c r="G105" s="309">
        <f>'GA55'!G101</f>
        <v>43862</v>
      </c>
      <c r="H105" s="231">
        <f>'GA55'!Q101</f>
        <v>3000</v>
      </c>
    </row>
    <row r="106" spans="1:8" x14ac:dyDescent="0.2">
      <c r="A106" s="231">
        <f>'GA55'!A102</f>
        <v>100</v>
      </c>
      <c r="B106" s="231">
        <f>'GA55'!B102</f>
        <v>4</v>
      </c>
      <c r="C106" s="305">
        <f>'GA55'!C102</f>
        <v>43585</v>
      </c>
      <c r="D106" s="231">
        <f>'GA55'!D102</f>
        <v>8498</v>
      </c>
      <c r="E106" s="305">
        <f>'GA55'!E102</f>
        <v>43589</v>
      </c>
      <c r="F106" s="231" t="str">
        <f>'GA55'!F102</f>
        <v>2019-2020</v>
      </c>
      <c r="G106" s="309" t="str">
        <f>'GA55'!G102</f>
        <v>DA Arrer Jan to Feb</v>
      </c>
      <c r="H106" s="231">
        <f>'GA55'!Q102</f>
        <v>0</v>
      </c>
    </row>
    <row r="107" spans="1:8" x14ac:dyDescent="0.2">
      <c r="A107" s="231">
        <f>'GA55'!A103</f>
        <v>101</v>
      </c>
      <c r="B107" s="231">
        <f>'GA55'!B103</f>
        <v>54</v>
      </c>
      <c r="C107" s="305">
        <f>'GA55'!C103</f>
        <v>43865</v>
      </c>
      <c r="D107" s="231">
        <f>'GA55'!D103</f>
        <v>61348</v>
      </c>
      <c r="E107" s="305">
        <f>'GA55'!E103</f>
        <v>43879</v>
      </c>
      <c r="F107" s="231" t="str">
        <f>'GA55'!F103</f>
        <v>2019-2020</v>
      </c>
      <c r="G107" s="309" t="str">
        <f>'GA55'!G103</f>
        <v>Surrender Leave</v>
      </c>
      <c r="H107" s="231">
        <f>'GA55'!Q103</f>
        <v>0</v>
      </c>
    </row>
    <row r="108" spans="1:8" x14ac:dyDescent="0.2">
      <c r="A108" s="231">
        <f>'GA55'!A104</f>
        <v>102</v>
      </c>
      <c r="B108" s="231">
        <f>'GA55'!B104</f>
        <v>39</v>
      </c>
      <c r="C108" s="305">
        <f>'GA55'!C104</f>
        <v>43761</v>
      </c>
      <c r="D108" s="231">
        <f>'GA55'!D104</f>
        <v>40610</v>
      </c>
      <c r="E108" s="305">
        <f>'GA55'!E104</f>
        <v>43766</v>
      </c>
      <c r="F108" s="231" t="str">
        <f>'GA55'!F104</f>
        <v>2019-2020</v>
      </c>
      <c r="G108" s="309" t="str">
        <f>'GA55'!G104</f>
        <v>Diwali  Bonus</v>
      </c>
      <c r="H108" s="231">
        <f>'GA55'!Q104</f>
        <v>0</v>
      </c>
    </row>
    <row r="109" spans="1:8" x14ac:dyDescent="0.2">
      <c r="A109" s="231">
        <f>'GA55'!A105</f>
        <v>103</v>
      </c>
      <c r="B109" s="231">
        <f>'GA55'!B105</f>
        <v>1</v>
      </c>
      <c r="C109" s="305">
        <f>'GA55'!C105</f>
        <v>43924</v>
      </c>
      <c r="D109" s="231">
        <f>'GA55'!D105</f>
        <v>291</v>
      </c>
      <c r="E109" s="305">
        <f>'GA55'!E105</f>
        <v>43929</v>
      </c>
      <c r="F109" s="231" t="str">
        <f>'GA55'!F105</f>
        <v>2020-2021</v>
      </c>
      <c r="G109" s="309">
        <f>'GA55'!G105</f>
        <v>43891</v>
      </c>
      <c r="H109" s="231">
        <f>'GA55'!Q105</f>
        <v>0</v>
      </c>
    </row>
    <row r="110" spans="1:8" x14ac:dyDescent="0.2">
      <c r="A110" s="231">
        <f>'GA55'!A106</f>
        <v>104</v>
      </c>
      <c r="B110" s="231">
        <f>'GA55'!B106</f>
        <v>5</v>
      </c>
      <c r="C110" s="305">
        <f>'GA55'!C106</f>
        <v>43952</v>
      </c>
      <c r="D110" s="231">
        <f>'GA55'!D106</f>
        <v>4971</v>
      </c>
      <c r="E110" s="305">
        <f>'GA55'!E106</f>
        <v>43956</v>
      </c>
      <c r="F110" s="231" t="str">
        <f>'GA55'!F106</f>
        <v>2020-2021</v>
      </c>
      <c r="G110" s="309">
        <f>'GA55'!G106</f>
        <v>43922</v>
      </c>
      <c r="H110" s="231">
        <f>'GA55'!Q106</f>
        <v>5000</v>
      </c>
    </row>
    <row r="111" spans="1:8" x14ac:dyDescent="0.2">
      <c r="A111" s="231">
        <f>'GA55'!A107</f>
        <v>105</v>
      </c>
      <c r="B111" s="231">
        <f>'GA55'!B107</f>
        <v>13</v>
      </c>
      <c r="C111" s="305">
        <f>'GA55'!C107</f>
        <v>43978</v>
      </c>
      <c r="D111" s="231">
        <f>'GA55'!D107</f>
        <v>10260</v>
      </c>
      <c r="E111" s="305">
        <f>'GA55'!E107</f>
        <v>43983</v>
      </c>
      <c r="F111" s="231" t="str">
        <f>'GA55'!F107</f>
        <v>2020-2021</v>
      </c>
      <c r="G111" s="309">
        <f>'GA55'!G107</f>
        <v>43952</v>
      </c>
      <c r="H111" s="231">
        <f>'GA55'!Q107</f>
        <v>10000</v>
      </c>
    </row>
    <row r="112" spans="1:8" x14ac:dyDescent="0.2">
      <c r="A112" s="231">
        <f>'GA55'!A108</f>
        <v>106</v>
      </c>
      <c r="B112" s="231">
        <f>'GA55'!B108</f>
        <v>17</v>
      </c>
      <c r="C112" s="305">
        <f>'GA55'!C108</f>
        <v>44011</v>
      </c>
      <c r="D112" s="231">
        <f>'GA55'!D108</f>
        <v>17622</v>
      </c>
      <c r="E112" s="305">
        <f>'GA55'!E108</f>
        <v>44015</v>
      </c>
      <c r="F112" s="231" t="str">
        <f>'GA55'!F108</f>
        <v>2020-2021</v>
      </c>
      <c r="G112" s="309">
        <f>'GA55'!G108</f>
        <v>43983</v>
      </c>
      <c r="H112" s="231">
        <f>'GA55'!Q108</f>
        <v>5000</v>
      </c>
    </row>
    <row r="113" spans="1:8" x14ac:dyDescent="0.2">
      <c r="A113" s="231">
        <f>'GA55'!A109</f>
        <v>107</v>
      </c>
      <c r="B113" s="231">
        <f>'GA55'!B109</f>
        <v>19</v>
      </c>
      <c r="C113" s="305">
        <f>'GA55'!C109</f>
        <v>44041</v>
      </c>
      <c r="D113" s="231">
        <f>'GA55'!D109</f>
        <v>23350</v>
      </c>
      <c r="E113" s="305">
        <f>'GA55'!E109</f>
        <v>44048</v>
      </c>
      <c r="F113" s="231" t="str">
        <f>'GA55'!F109</f>
        <v>2020-2021</v>
      </c>
      <c r="G113" s="309">
        <f>'GA55'!G109</f>
        <v>44013</v>
      </c>
      <c r="H113" s="231">
        <f>'GA55'!Q109</f>
        <v>5000</v>
      </c>
    </row>
    <row r="114" spans="1:8" x14ac:dyDescent="0.2">
      <c r="A114" s="231">
        <f>'GA55'!A110</f>
        <v>108</v>
      </c>
      <c r="B114" s="231">
        <f>'GA55'!B110</f>
        <v>24</v>
      </c>
      <c r="C114" s="305">
        <f>'GA55'!C110</f>
        <v>44074</v>
      </c>
      <c r="D114" s="231">
        <f>'GA55'!D110</f>
        <v>28462</v>
      </c>
      <c r="E114" s="305">
        <f>'GA55'!E110</f>
        <v>44077</v>
      </c>
      <c r="F114" s="231" t="str">
        <f>'GA55'!F110</f>
        <v>2020-2021</v>
      </c>
      <c r="G114" s="309">
        <f>'GA55'!G110</f>
        <v>44044</v>
      </c>
      <c r="H114" s="231">
        <f>'GA55'!Q110</f>
        <v>5000</v>
      </c>
    </row>
    <row r="115" spans="1:8" x14ac:dyDescent="0.2">
      <c r="A115" s="231">
        <f>'GA55'!A111</f>
        <v>109</v>
      </c>
      <c r="B115" s="231">
        <f>'GA55'!B111</f>
        <v>30</v>
      </c>
      <c r="C115" s="305">
        <f>'GA55'!C111</f>
        <v>44104</v>
      </c>
      <c r="D115" s="231">
        <f>'GA55'!D111</f>
        <v>33490</v>
      </c>
      <c r="E115" s="305">
        <f>'GA55'!E111</f>
        <v>44109</v>
      </c>
      <c r="F115" s="231" t="str">
        <f>'GA55'!F111</f>
        <v>2020-2021</v>
      </c>
      <c r="G115" s="309">
        <f>'GA55'!G111</f>
        <v>44075</v>
      </c>
      <c r="H115" s="231">
        <f>'GA55'!Q111</f>
        <v>5000</v>
      </c>
    </row>
    <row r="116" spans="1:8" x14ac:dyDescent="0.2">
      <c r="A116" s="231">
        <f>'GA55'!A112</f>
        <v>110</v>
      </c>
      <c r="B116" s="231">
        <f>'GA55'!B112</f>
        <v>33</v>
      </c>
      <c r="C116" s="305">
        <f>'GA55'!C112</f>
        <v>44132</v>
      </c>
      <c r="D116" s="231">
        <f>'GA55'!D112</f>
        <v>38388</v>
      </c>
      <c r="E116" s="305">
        <f>'GA55'!E112</f>
        <v>44137</v>
      </c>
      <c r="F116" s="231" t="str">
        <f>'GA55'!F112</f>
        <v>2020-2021</v>
      </c>
      <c r="G116" s="309">
        <f>'GA55'!G112</f>
        <v>44105</v>
      </c>
      <c r="H116" s="231">
        <f>'GA55'!Q112</f>
        <v>5000</v>
      </c>
    </row>
    <row r="117" spans="1:8" x14ac:dyDescent="0.2">
      <c r="A117" s="231">
        <f>'GA55'!A113</f>
        <v>111</v>
      </c>
      <c r="B117" s="231">
        <f>'GA55'!B113</f>
        <v>37</v>
      </c>
      <c r="C117" s="305">
        <f>'GA55'!C113</f>
        <v>44160</v>
      </c>
      <c r="D117" s="231">
        <f>'GA55'!D113</f>
        <v>45971</v>
      </c>
      <c r="E117" s="305">
        <f>'GA55'!E113</f>
        <v>44169</v>
      </c>
      <c r="F117" s="231" t="str">
        <f>'GA55'!F113</f>
        <v>2020-2021</v>
      </c>
      <c r="G117" s="309">
        <f>'GA55'!G113</f>
        <v>44136</v>
      </c>
      <c r="H117" s="231">
        <f>'GA55'!Q113</f>
        <v>5000</v>
      </c>
    </row>
    <row r="118" spans="1:8" x14ac:dyDescent="0.2">
      <c r="A118" s="231">
        <f>'GA55'!A114</f>
        <v>112</v>
      </c>
      <c r="B118" s="231">
        <f>'GA55'!B114</f>
        <v>40</v>
      </c>
      <c r="C118" s="305">
        <f>'GA55'!C114</f>
        <v>44193</v>
      </c>
      <c r="D118" s="231">
        <f>'GA55'!D114</f>
        <v>52244</v>
      </c>
      <c r="E118" s="305">
        <f>'GA55'!E114</f>
        <v>44197</v>
      </c>
      <c r="F118" s="231" t="str">
        <f>'GA55'!F114</f>
        <v>2020-2021</v>
      </c>
      <c r="G118" s="309">
        <f>'GA55'!G114</f>
        <v>44166</v>
      </c>
      <c r="H118" s="231">
        <f>'GA55'!Q114</f>
        <v>5000</v>
      </c>
    </row>
    <row r="119" spans="1:8" x14ac:dyDescent="0.2">
      <c r="A119" s="231">
        <f>'GA55'!A115</f>
        <v>113</v>
      </c>
      <c r="B119" s="231">
        <f>'GA55'!B115</f>
        <v>42</v>
      </c>
      <c r="C119" s="305">
        <f>'GA55'!C115</f>
        <v>44223</v>
      </c>
      <c r="D119" s="231">
        <f>'GA55'!D115</f>
        <v>58485</v>
      </c>
      <c r="E119" s="305">
        <f>'GA55'!E115</f>
        <v>44231</v>
      </c>
      <c r="F119" s="231" t="str">
        <f>'GA55'!F115</f>
        <v>2020-2021</v>
      </c>
      <c r="G119" s="309">
        <f>'GA55'!G115</f>
        <v>44197</v>
      </c>
      <c r="H119" s="231">
        <f>'GA55'!Q115</f>
        <v>5000</v>
      </c>
    </row>
    <row r="120" spans="1:8" x14ac:dyDescent="0.2">
      <c r="A120" s="231">
        <f>'GA55'!A116</f>
        <v>114</v>
      </c>
      <c r="B120" s="231">
        <f>'GA55'!B116</f>
        <v>45</v>
      </c>
      <c r="C120" s="305">
        <f>'GA55'!C116</f>
        <v>44253</v>
      </c>
      <c r="D120" s="231">
        <f>'GA55'!D116</f>
        <v>63803</v>
      </c>
      <c r="E120" s="305">
        <f>'GA55'!E116</f>
        <v>44258</v>
      </c>
      <c r="F120" s="231" t="str">
        <f>'GA55'!F116</f>
        <v>2020-2021</v>
      </c>
      <c r="G120" s="309">
        <f>'GA55'!G116</f>
        <v>44228</v>
      </c>
      <c r="H120" s="231">
        <f>'GA55'!Q116</f>
        <v>5000</v>
      </c>
    </row>
    <row r="121" spans="1:8" x14ac:dyDescent="0.2">
      <c r="A121" s="231">
        <f>'GA55'!A117</f>
        <v>115</v>
      </c>
      <c r="B121" s="231">
        <f>'GA55'!B117</f>
        <v>47</v>
      </c>
      <c r="C121" s="305">
        <f>'GA55'!C117</f>
        <v>44260</v>
      </c>
      <c r="D121" s="231">
        <f>'GA55'!D117</f>
        <v>66693</v>
      </c>
      <c r="E121" s="305">
        <f>'GA55'!E117</f>
        <v>44270</v>
      </c>
      <c r="F121" s="231" t="str">
        <f>'GA55'!F117</f>
        <v>2020-2021</v>
      </c>
      <c r="G121" s="309">
        <f>'GA55'!G117</f>
        <v>43891</v>
      </c>
      <c r="H121" s="231">
        <f>'GA55'!Q117</f>
        <v>0</v>
      </c>
    </row>
    <row r="122" spans="1:8" x14ac:dyDescent="0.2">
      <c r="A122" s="231">
        <f>'GA55'!A118</f>
        <v>116</v>
      </c>
      <c r="B122" s="231">
        <f>'GA55'!B118</f>
        <v>2</v>
      </c>
      <c r="C122" s="305">
        <f>'GA55'!C118</f>
        <v>43932</v>
      </c>
      <c r="D122" s="231">
        <f>'GA55'!D118</f>
        <v>4819</v>
      </c>
      <c r="E122" s="305">
        <f>'GA55'!E118</f>
        <v>43955</v>
      </c>
      <c r="F122" s="231" t="str">
        <f>'GA55'!F118</f>
        <v>2020-2021</v>
      </c>
      <c r="G122" s="309" t="str">
        <f>'GA55'!G118</f>
        <v>DA Arrer</v>
      </c>
      <c r="H122" s="231">
        <f>'GA55'!Q118</f>
        <v>0</v>
      </c>
    </row>
    <row r="123" spans="1:8" x14ac:dyDescent="0.2">
      <c r="A123" s="231">
        <f>'GA55'!A119</f>
        <v>117</v>
      </c>
      <c r="B123" s="231">
        <f>'GA55'!B119</f>
        <v>3</v>
      </c>
      <c r="C123" s="305">
        <f>'GA55'!C119</f>
        <v>43934</v>
      </c>
      <c r="D123" s="231">
        <f>'GA55'!D119</f>
        <v>4811</v>
      </c>
      <c r="E123" s="305">
        <f>'GA55'!E119</f>
        <v>43955</v>
      </c>
      <c r="F123" s="231" t="str">
        <f>'GA55'!F119</f>
        <v>2020-2021</v>
      </c>
      <c r="G123" s="309" t="str">
        <f>'GA55'!G119</f>
        <v>DA Arrer</v>
      </c>
      <c r="H123" s="231">
        <f>'GA55'!Q119</f>
        <v>0</v>
      </c>
    </row>
    <row r="124" spans="1:8" x14ac:dyDescent="0.2">
      <c r="A124" s="231">
        <f>'GA55'!A120</f>
        <v>118</v>
      </c>
      <c r="B124" s="231">
        <f>'GA55'!B120</f>
        <v>23</v>
      </c>
      <c r="C124" s="305">
        <f>'GA55'!C120</f>
        <v>44062</v>
      </c>
      <c r="D124" s="231">
        <f>'GA55'!D120</f>
        <v>31858</v>
      </c>
      <c r="E124" s="305">
        <f>'GA55'!E120</f>
        <v>44098</v>
      </c>
      <c r="F124" s="231" t="str">
        <f>'GA55'!F120</f>
        <v>2020-2021</v>
      </c>
      <c r="G124" s="309" t="str">
        <f>'GA55'!G120</f>
        <v>Surrender Leave</v>
      </c>
      <c r="H124" s="231">
        <f>'GA55'!Q120</f>
        <v>0</v>
      </c>
    </row>
    <row r="125" spans="1:8" x14ac:dyDescent="0.2">
      <c r="A125" s="231">
        <f>'GA55'!A121</f>
        <v>119</v>
      </c>
      <c r="B125" s="231">
        <f>'GA55'!B121</f>
        <v>34</v>
      </c>
      <c r="C125" s="305">
        <f>'GA55'!C121</f>
        <v>44148</v>
      </c>
      <c r="D125" s="231">
        <f>'GA55'!D121</f>
        <v>42173</v>
      </c>
      <c r="E125" s="305">
        <f>'GA55'!E121</f>
        <v>44153</v>
      </c>
      <c r="F125" s="231" t="str">
        <f>'GA55'!F121</f>
        <v>2020-2021</v>
      </c>
      <c r="G125" s="309" t="str">
        <f>'GA55'!G121</f>
        <v>Diwali  Bonus</v>
      </c>
      <c r="H125" s="231">
        <f>'GA55'!Q121</f>
        <v>0</v>
      </c>
    </row>
    <row r="126" spans="1:8" x14ac:dyDescent="0.2">
      <c r="A126" s="231">
        <f>'GA55'!A122</f>
        <v>120</v>
      </c>
      <c r="B126" s="231">
        <f>'GA55'!B122</f>
        <v>1</v>
      </c>
      <c r="C126" s="305">
        <f>'GA55'!C122</f>
        <v>44292</v>
      </c>
      <c r="D126" s="231">
        <f>'GA55'!D122</f>
        <v>1971</v>
      </c>
      <c r="E126" s="305">
        <f>'GA55'!E122</f>
        <v>44294</v>
      </c>
      <c r="F126" s="231" t="str">
        <f>'GA55'!F122</f>
        <v>2021-2022</v>
      </c>
      <c r="G126" s="309">
        <f>'GA55'!G122</f>
        <v>44256</v>
      </c>
      <c r="H126" s="231">
        <f>'GA55'!Q122</f>
        <v>5000</v>
      </c>
    </row>
    <row r="127" spans="1:8" x14ac:dyDescent="0.2">
      <c r="A127" s="231">
        <f>'GA55'!A123</f>
        <v>121</v>
      </c>
      <c r="B127" s="231">
        <f>'GA55'!B123</f>
        <v>4</v>
      </c>
      <c r="C127" s="305">
        <f>'GA55'!C123</f>
        <v>44316</v>
      </c>
      <c r="D127" s="231">
        <f>'GA55'!D123</f>
        <v>6836</v>
      </c>
      <c r="E127" s="305">
        <f>'GA55'!E123</f>
        <v>44320</v>
      </c>
      <c r="F127" s="231" t="str">
        <f>'GA55'!F123</f>
        <v>2021-2022</v>
      </c>
      <c r="G127" s="309">
        <f>'GA55'!G123</f>
        <v>44287</v>
      </c>
      <c r="H127" s="231">
        <f>'GA55'!Q123</f>
        <v>5000</v>
      </c>
    </row>
    <row r="128" spans="1:8" x14ac:dyDescent="0.2">
      <c r="A128" s="231">
        <f>'GA55'!A124</f>
        <v>122</v>
      </c>
      <c r="B128" s="231">
        <f>'GA55'!B124</f>
        <v>7</v>
      </c>
      <c r="C128" s="305">
        <f>'GA55'!C124</f>
        <v>44350</v>
      </c>
      <c r="D128" s="231">
        <f>'GA55'!D124</f>
        <v>12477</v>
      </c>
      <c r="E128" s="305">
        <f>'GA55'!E124</f>
        <v>44354</v>
      </c>
      <c r="F128" s="231" t="str">
        <f>'GA55'!F124</f>
        <v>2021-2022</v>
      </c>
      <c r="G128" s="309">
        <f>'GA55'!G124</f>
        <v>44317</v>
      </c>
      <c r="H128" s="231">
        <f>'GA55'!Q124</f>
        <v>5000</v>
      </c>
    </row>
    <row r="129" spans="1:8" x14ac:dyDescent="0.2">
      <c r="A129" s="231">
        <f>'GA55'!A125</f>
        <v>123</v>
      </c>
      <c r="B129" s="231">
        <f>'GA55'!B125</f>
        <v>9</v>
      </c>
      <c r="C129" s="305">
        <f>'GA55'!C125</f>
        <v>44362</v>
      </c>
      <c r="D129" s="231">
        <f>'GA55'!D125</f>
        <v>16676</v>
      </c>
      <c r="E129" s="305">
        <f>'GA55'!E125</f>
        <v>44378</v>
      </c>
      <c r="F129" s="231" t="str">
        <f>'GA55'!F125</f>
        <v>2021-2022</v>
      </c>
      <c r="G129" s="309" t="str">
        <f>'GA55'!G125</f>
        <v>Surrender Leave</v>
      </c>
      <c r="H129" s="231">
        <f>'GA55'!Q125</f>
        <v>0</v>
      </c>
    </row>
    <row r="130" spans="1:8" x14ac:dyDescent="0.2">
      <c r="A130" s="231">
        <f>'GA55'!A126</f>
        <v>124</v>
      </c>
      <c r="B130" s="231">
        <f>'GA55'!B126</f>
        <v>12</v>
      </c>
      <c r="C130" s="305">
        <f>'GA55'!C126</f>
        <v>44378</v>
      </c>
      <c r="D130" s="231">
        <f>'GA55'!D126</f>
        <v>17505</v>
      </c>
      <c r="E130" s="305">
        <f>'GA55'!E126</f>
        <v>44383</v>
      </c>
      <c r="F130" s="231" t="str">
        <f>'GA55'!F126</f>
        <v>2021-2022</v>
      </c>
      <c r="G130" s="309">
        <f>'GA55'!G126</f>
        <v>44348</v>
      </c>
      <c r="H130" s="231">
        <f>'GA55'!Q126</f>
        <v>5000</v>
      </c>
    </row>
    <row r="131" spans="1:8" x14ac:dyDescent="0.2">
      <c r="A131" s="231">
        <f>'GA55'!A127</f>
        <v>125</v>
      </c>
      <c r="B131" s="231">
        <f>'GA55'!B127</f>
        <v>404</v>
      </c>
      <c r="C131" s="305">
        <f>'GA55'!C127</f>
        <v>44406</v>
      </c>
      <c r="D131" s="231">
        <f>'GA55'!D127</f>
        <v>22702</v>
      </c>
      <c r="E131" s="305">
        <f>'GA55'!E127</f>
        <v>44411</v>
      </c>
      <c r="F131" s="231" t="str">
        <f>'GA55'!F127</f>
        <v>2021-2022</v>
      </c>
      <c r="G131" s="309">
        <f>'GA55'!G127</f>
        <v>44378</v>
      </c>
      <c r="H131" s="231">
        <f>'GA55'!Q127</f>
        <v>5000</v>
      </c>
    </row>
    <row r="132" spans="1:8" x14ac:dyDescent="0.2">
      <c r="A132" s="231">
        <f>'GA55'!A128</f>
        <v>126</v>
      </c>
      <c r="B132" s="231">
        <f>'GA55'!B128</f>
        <v>407</v>
      </c>
      <c r="C132" s="305">
        <f>'GA55'!C128</f>
        <v>44418</v>
      </c>
      <c r="D132" s="231">
        <f>'GA55'!D128</f>
        <v>26318</v>
      </c>
      <c r="E132" s="305">
        <f>'GA55'!E128</f>
        <v>44427</v>
      </c>
      <c r="F132" s="231" t="str">
        <f>'GA55'!F128</f>
        <v>2021-2022</v>
      </c>
      <c r="G132" s="309" t="str">
        <f>'GA55'!G128</f>
        <v>Salary Arrer  Aug</v>
      </c>
      <c r="H132" s="231">
        <f>'GA55'!Q128</f>
        <v>0</v>
      </c>
    </row>
    <row r="133" spans="1:8" x14ac:dyDescent="0.2">
      <c r="A133" s="231">
        <f>'GA55'!A129</f>
        <v>127</v>
      </c>
      <c r="B133" s="231">
        <f>'GA55'!B129</f>
        <v>411</v>
      </c>
      <c r="C133" s="305">
        <f>'GA55'!C129</f>
        <v>44434</v>
      </c>
      <c r="D133" s="231">
        <f>'GA55'!D129</f>
        <v>28815</v>
      </c>
      <c r="E133" s="305">
        <f>'GA55'!E129</f>
        <v>44440</v>
      </c>
      <c r="F133" s="231" t="str">
        <f>'GA55'!F129</f>
        <v>2021-2022</v>
      </c>
      <c r="G133" s="309">
        <f>'GA55'!G129</f>
        <v>44409</v>
      </c>
      <c r="H133" s="231">
        <f>'GA55'!Q129</f>
        <v>5000</v>
      </c>
    </row>
    <row r="134" spans="1:8" x14ac:dyDescent="0.2">
      <c r="A134" s="231">
        <f>'GA55'!A130</f>
        <v>128</v>
      </c>
      <c r="B134" s="231">
        <f>'GA55'!B130</f>
        <v>414</v>
      </c>
      <c r="C134" s="305">
        <f>'GA55'!C130</f>
        <v>44475</v>
      </c>
      <c r="D134" s="231">
        <f>'GA55'!D130</f>
        <v>36889</v>
      </c>
      <c r="E134" s="305">
        <f>'GA55'!E130</f>
        <v>44480</v>
      </c>
      <c r="F134" s="231" t="str">
        <f>'GA55'!F130</f>
        <v>2021-2022</v>
      </c>
      <c r="G134" s="309">
        <f>'GA55'!G130</f>
        <v>44440</v>
      </c>
      <c r="H134" s="231">
        <f>'GA55'!Q130</f>
        <v>5000</v>
      </c>
    </row>
    <row r="135" spans="1:8" x14ac:dyDescent="0.2">
      <c r="A135" s="231">
        <f>'GA55'!A131</f>
        <v>129</v>
      </c>
      <c r="B135" s="231">
        <f>'GA55'!B131</f>
        <v>415</v>
      </c>
      <c r="C135" s="305">
        <f>'GA55'!C131</f>
        <v>44496</v>
      </c>
      <c r="D135" s="231">
        <f>'GA55'!D131</f>
        <v>40146</v>
      </c>
      <c r="E135" s="305">
        <f>'GA55'!E131</f>
        <v>44501</v>
      </c>
      <c r="F135" s="231" t="str">
        <f>'GA55'!F131</f>
        <v>2021-2022</v>
      </c>
      <c r="G135" s="309">
        <f>'GA55'!G131</f>
        <v>44470</v>
      </c>
      <c r="H135" s="231">
        <f>'GA55'!Q131</f>
        <v>5000</v>
      </c>
    </row>
    <row r="136" spans="1:8" x14ac:dyDescent="0.2">
      <c r="A136" s="231">
        <f>'GA55'!A132</f>
        <v>130</v>
      </c>
      <c r="B136" s="231">
        <f>'GA55'!B132</f>
        <v>23</v>
      </c>
      <c r="C136" s="305">
        <f>'GA55'!C132</f>
        <v>44495</v>
      </c>
      <c r="D136" s="231">
        <f>'GA55'!D132</f>
        <v>42420</v>
      </c>
      <c r="E136" s="305">
        <f>'GA55'!E132</f>
        <v>44501</v>
      </c>
      <c r="F136" s="231" t="str">
        <f>'GA55'!F132</f>
        <v>2021-2022</v>
      </c>
      <c r="G136" s="309" t="str">
        <f>'GA55'!G132</f>
        <v>Diwali  Bonus</v>
      </c>
      <c r="H136" s="231">
        <f>'GA55'!Q132</f>
        <v>0</v>
      </c>
    </row>
    <row r="137" spans="1:8" x14ac:dyDescent="0.2">
      <c r="A137" s="231">
        <f>'GA55'!A133</f>
        <v>131</v>
      </c>
      <c r="B137" s="231">
        <f>'GA55'!B133</f>
        <v>418</v>
      </c>
      <c r="C137" s="305">
        <f>'GA55'!C133</f>
        <v>44516</v>
      </c>
      <c r="D137" s="231">
        <f>'GA55'!D133</f>
        <v>48467</v>
      </c>
      <c r="E137" s="305">
        <f>'GA55'!E133</f>
        <v>44531</v>
      </c>
      <c r="F137" s="231" t="str">
        <f>'GA55'!F133</f>
        <v>2021-2022</v>
      </c>
      <c r="G137" s="309">
        <f>'GA55'!G133</f>
        <v>44501</v>
      </c>
      <c r="H137" s="231">
        <f>'GA55'!Q133</f>
        <v>5000</v>
      </c>
    </row>
    <row r="138" spans="1:8" x14ac:dyDescent="0.2">
      <c r="A138" s="231">
        <f>'GA55'!A134</f>
        <v>132</v>
      </c>
      <c r="B138" s="231">
        <f>'GA55'!B134</f>
        <v>417</v>
      </c>
      <c r="C138" s="305">
        <f>'GA55'!C134</f>
        <v>44514</v>
      </c>
      <c r="D138" s="231">
        <f>'GA55'!D134</f>
        <v>52725</v>
      </c>
      <c r="E138" s="305">
        <f>'GA55'!E134</f>
        <v>44546</v>
      </c>
      <c r="F138" s="231" t="str">
        <f>'GA55'!F134</f>
        <v>2021-2022</v>
      </c>
      <c r="G138" s="309">
        <f>'GA55'!G134</f>
        <v>44501</v>
      </c>
      <c r="H138" s="231">
        <f>'GA55'!Q134</f>
        <v>0</v>
      </c>
    </row>
    <row r="139" spans="1:8" x14ac:dyDescent="0.2">
      <c r="A139" s="231">
        <f>'GA55'!A135</f>
        <v>133</v>
      </c>
      <c r="B139" s="231">
        <f>'GA55'!B135</f>
        <v>419</v>
      </c>
      <c r="C139" s="305">
        <f>'GA55'!C135</f>
        <v>44546</v>
      </c>
      <c r="D139" s="231">
        <f>'GA55'!D135</f>
        <v>55697</v>
      </c>
      <c r="E139" s="305">
        <f>'GA55'!E135</f>
        <v>44562</v>
      </c>
      <c r="F139" s="231" t="str">
        <f>'GA55'!F135</f>
        <v>2021-2022</v>
      </c>
      <c r="G139" s="309">
        <f>'GA55'!G135</f>
        <v>44531</v>
      </c>
      <c r="H139" s="231">
        <f>'GA55'!Q135</f>
        <v>5000</v>
      </c>
    </row>
    <row r="140" spans="1:8" x14ac:dyDescent="0.2">
      <c r="A140" s="231">
        <f>'GA55'!A136</f>
        <v>134</v>
      </c>
      <c r="B140" s="231">
        <f>'GA55'!B136</f>
        <v>423</v>
      </c>
      <c r="C140" s="305">
        <f>'GA55'!C136</f>
        <v>44588</v>
      </c>
      <c r="D140" s="231">
        <f>'GA55'!D136</f>
        <v>63392</v>
      </c>
      <c r="E140" s="305">
        <f>'GA55'!E136</f>
        <v>44593</v>
      </c>
      <c r="F140" s="231" t="str">
        <f>'GA55'!F136</f>
        <v>2021-2022</v>
      </c>
      <c r="G140" s="309">
        <f>'GA55'!G136</f>
        <v>44562</v>
      </c>
      <c r="H140" s="231">
        <f>'GA55'!Q136</f>
        <v>5000</v>
      </c>
    </row>
    <row r="141" spans="1:8" x14ac:dyDescent="0.2">
      <c r="A141" s="231">
        <f>'GA55'!A137</f>
        <v>135</v>
      </c>
      <c r="B141" s="231">
        <f>'GA55'!B137</f>
        <v>424</v>
      </c>
      <c r="C141" s="305">
        <f>'GA55'!C137</f>
        <v>44612</v>
      </c>
      <c r="D141" s="231">
        <f>'GA55'!D137</f>
        <v>69267</v>
      </c>
      <c r="E141" s="305">
        <f>'GA55'!E137</f>
        <v>44621</v>
      </c>
      <c r="F141" s="231" t="str">
        <f>'GA55'!F137</f>
        <v>2021-2022</v>
      </c>
      <c r="G141" s="309">
        <f>'GA55'!G137</f>
        <v>44593</v>
      </c>
      <c r="H141" s="231">
        <f>'GA55'!Q137</f>
        <v>5000</v>
      </c>
    </row>
    <row r="142" spans="1:8" x14ac:dyDescent="0.2">
      <c r="A142" s="231">
        <f>'GA55'!A138</f>
        <v>136</v>
      </c>
      <c r="B142" s="231">
        <f>'GA55'!B138</f>
        <v>38098991</v>
      </c>
      <c r="C142" s="305">
        <f>'GA55'!C138</f>
        <v>44652</v>
      </c>
      <c r="D142" s="231">
        <f>'GA55'!D138</f>
        <v>1076</v>
      </c>
      <c r="E142" s="305">
        <f>'GA55'!E138</f>
        <v>44653</v>
      </c>
      <c r="F142" s="231" t="str">
        <f>'GA55'!F138</f>
        <v>2022-2023</v>
      </c>
      <c r="G142" s="309">
        <f>'GA55'!G138</f>
        <v>44621</v>
      </c>
      <c r="H142" s="231">
        <f>'GA55'!Q138</f>
        <v>5000</v>
      </c>
    </row>
    <row r="143" spans="1:8" x14ac:dyDescent="0.2">
      <c r="A143" s="231">
        <f>'GA55'!A139</f>
        <v>137</v>
      </c>
      <c r="B143" s="231">
        <f>'GA55'!B139</f>
        <v>39242038</v>
      </c>
      <c r="C143" s="305">
        <f>'GA55'!C139</f>
        <v>44678</v>
      </c>
      <c r="D143" s="231">
        <f>'GA55'!D139</f>
        <v>6842</v>
      </c>
      <c r="E143" s="305">
        <f>'GA55'!E139</f>
        <v>44685</v>
      </c>
      <c r="F143" s="231" t="str">
        <f>'GA55'!F139</f>
        <v>2022-2023</v>
      </c>
      <c r="G143" s="309">
        <f>'GA55'!G139</f>
        <v>44652</v>
      </c>
      <c r="H143" s="231">
        <f>'GA55'!Q139</f>
        <v>5000</v>
      </c>
    </row>
    <row r="144" spans="1:8" x14ac:dyDescent="0.2">
      <c r="A144" s="231">
        <f>'GA55'!A140</f>
        <v>138</v>
      </c>
      <c r="B144" s="231">
        <f>'GA55'!B140</f>
        <v>39593330</v>
      </c>
      <c r="C144" s="305">
        <f>'GA55'!C140</f>
        <v>44693</v>
      </c>
      <c r="D144" s="231">
        <f>'GA55'!D140</f>
        <v>10069</v>
      </c>
      <c r="E144" s="305">
        <f>'GA55'!E140</f>
        <v>44704</v>
      </c>
      <c r="F144" s="231" t="str">
        <f>'GA55'!F140</f>
        <v>2022-2023</v>
      </c>
      <c r="G144" s="309" t="str">
        <f>'GA55'!G140</f>
        <v>Surrender Leave</v>
      </c>
      <c r="H144" s="231">
        <f>'GA55'!Q140</f>
        <v>0</v>
      </c>
    </row>
    <row r="145" spans="1:8" x14ac:dyDescent="0.2">
      <c r="A145" s="231">
        <f>'GA55'!A141</f>
        <v>139</v>
      </c>
      <c r="B145" s="231">
        <f>'GA55'!B141</f>
        <v>39905433</v>
      </c>
      <c r="C145" s="305">
        <f>'GA55'!C141</f>
        <v>44710</v>
      </c>
      <c r="D145" s="231">
        <f>'GA55'!D141</f>
        <v>12278</v>
      </c>
      <c r="E145" s="305">
        <f>'GA55'!E141</f>
        <v>44713</v>
      </c>
      <c r="F145" s="231" t="str">
        <f>'GA55'!F141</f>
        <v>2022-2023</v>
      </c>
      <c r="G145" s="309">
        <f>'GA55'!G141</f>
        <v>44682</v>
      </c>
      <c r="H145" s="231">
        <f>'GA55'!Q141</f>
        <v>5000</v>
      </c>
    </row>
    <row r="146" spans="1:8" x14ac:dyDescent="0.2">
      <c r="A146" s="231">
        <f>'GA55'!A142</f>
        <v>140</v>
      </c>
      <c r="B146" s="231">
        <f>'GA55'!B142</f>
        <v>40304752</v>
      </c>
      <c r="C146" s="305">
        <f>'GA55'!C142</f>
        <v>44735</v>
      </c>
      <c r="D146" s="231">
        <f>'GA55'!D142</f>
        <v>19496</v>
      </c>
      <c r="E146" s="305">
        <f>'GA55'!E142</f>
        <v>44743</v>
      </c>
      <c r="F146" s="231" t="str">
        <f>'GA55'!F142</f>
        <v>2022-2023</v>
      </c>
      <c r="G146" s="309">
        <f>'GA55'!G142</f>
        <v>44713</v>
      </c>
      <c r="H146" s="231">
        <f>'GA55'!Q142</f>
        <v>5000</v>
      </c>
    </row>
    <row r="147" spans="1:8" x14ac:dyDescent="0.2">
      <c r="A147" s="231">
        <f>'GA55'!A143</f>
        <v>141</v>
      </c>
      <c r="B147" s="231">
        <f>'GA55'!B143</f>
        <v>40160448</v>
      </c>
      <c r="C147" s="305">
        <f>'GA55'!C143</f>
        <v>44728</v>
      </c>
      <c r="D147" s="231">
        <f>'GA55'!D143</f>
        <v>17326</v>
      </c>
      <c r="E147" s="305">
        <f>'GA55'!E143</f>
        <v>44739</v>
      </c>
      <c r="F147" s="231" t="str">
        <f>'GA55'!F143</f>
        <v>2022-2023</v>
      </c>
      <c r="G147" s="309" t="str">
        <f>'GA55'!G143</f>
        <v>DA arrer jan to march</v>
      </c>
      <c r="H147" s="231">
        <f>'GA55'!Q143</f>
        <v>0</v>
      </c>
    </row>
    <row r="148" spans="1:8" x14ac:dyDescent="0.2">
      <c r="A148" s="231">
        <f>'GA55'!A144</f>
        <v>142</v>
      </c>
      <c r="B148" s="231">
        <f>'GA55'!B144</f>
        <v>40693185</v>
      </c>
      <c r="C148" s="305">
        <f>'GA55'!C144</f>
        <v>44762</v>
      </c>
      <c r="D148" s="231">
        <f>'GA55'!D144</f>
        <v>25322</v>
      </c>
      <c r="E148" s="305">
        <f>'GA55'!E144</f>
        <v>44774</v>
      </c>
      <c r="F148" s="231" t="str">
        <f>'GA55'!F144</f>
        <v>2022-2023</v>
      </c>
      <c r="G148" s="309">
        <f>'GA55'!G144</f>
        <v>44743</v>
      </c>
      <c r="H148" s="231">
        <f>'GA55'!Q144</f>
        <v>5000</v>
      </c>
    </row>
    <row r="149" spans="1:8" x14ac:dyDescent="0.2">
      <c r="A149" s="231">
        <f>'GA55'!A145</f>
        <v>143</v>
      </c>
      <c r="B149" s="231">
        <f>'GA55'!B145</f>
        <v>41095681</v>
      </c>
      <c r="C149" s="305">
        <f>'GA55'!C145</f>
        <v>44792</v>
      </c>
      <c r="D149" s="231">
        <f>'GA55'!D145</f>
        <v>31626</v>
      </c>
      <c r="E149" s="305">
        <f>'GA55'!E145</f>
        <v>44805</v>
      </c>
      <c r="F149" s="231" t="str">
        <f>'GA55'!F145</f>
        <v>2022-2023</v>
      </c>
      <c r="G149" s="309">
        <f>'GA55'!G145</f>
        <v>44774</v>
      </c>
      <c r="H149" s="231">
        <f>'GA55'!Q145</f>
        <v>5000</v>
      </c>
    </row>
    <row r="150" spans="1:8" x14ac:dyDescent="0.2">
      <c r="A150" s="231">
        <f>'GA55'!A146</f>
        <v>144</v>
      </c>
      <c r="B150" s="231">
        <f>'GA55'!B146</f>
        <v>41591732</v>
      </c>
      <c r="C150" s="305">
        <f>'GA55'!C146</f>
        <v>44823</v>
      </c>
      <c r="D150" s="231">
        <f>'GA55'!D146</f>
        <v>38533</v>
      </c>
      <c r="E150" s="305">
        <f>'GA55'!E146</f>
        <v>44835</v>
      </c>
      <c r="F150" s="231" t="str">
        <f>'GA55'!F146</f>
        <v>2022-2023</v>
      </c>
      <c r="G150" s="309">
        <f>'GA55'!G146</f>
        <v>44805</v>
      </c>
      <c r="H150" s="231">
        <f>'GA55'!Q146</f>
        <v>5000</v>
      </c>
    </row>
    <row r="151" spans="1:8" x14ac:dyDescent="0.2">
      <c r="A151" s="231">
        <f>'GA55'!A147</f>
        <v>145</v>
      </c>
      <c r="B151" s="231">
        <f>'GA55'!B147</f>
        <v>42065399</v>
      </c>
      <c r="C151" s="305">
        <f>'GA55'!C147</f>
        <v>44852</v>
      </c>
      <c r="D151" s="231">
        <f>'GA55'!D147</f>
        <v>42574</v>
      </c>
      <c r="E151" s="305">
        <f>'GA55'!E147</f>
        <v>44854</v>
      </c>
      <c r="F151" s="231" t="str">
        <f>'GA55'!F147</f>
        <v>2022-2023</v>
      </c>
      <c r="G151" s="309" t="str">
        <f>'GA55'!G147</f>
        <v>Diwali  Bonus</v>
      </c>
      <c r="H151" s="231">
        <f>'GA55'!Q147</f>
        <v>0</v>
      </c>
    </row>
    <row r="152" spans="1:8" x14ac:dyDescent="0.2">
      <c r="A152" s="231">
        <f>'GA55'!A148</f>
        <v>146</v>
      </c>
      <c r="B152" s="231">
        <f>'GA55'!B148</f>
        <v>42338085</v>
      </c>
      <c r="C152" s="305">
        <f>'GA55'!C148</f>
        <v>44861</v>
      </c>
      <c r="D152" s="231">
        <f>'GA55'!D148</f>
        <v>47806</v>
      </c>
      <c r="E152" s="305">
        <f>'GA55'!E148</f>
        <v>44866</v>
      </c>
      <c r="F152" s="231" t="str">
        <f>'GA55'!F148</f>
        <v>2022-2023</v>
      </c>
      <c r="G152" s="309">
        <f>'GA55'!G148</f>
        <v>44835</v>
      </c>
      <c r="H152" s="231">
        <f>'GA55'!Q148</f>
        <v>5000</v>
      </c>
    </row>
    <row r="153" spans="1:8" x14ac:dyDescent="0.2">
      <c r="A153" s="231">
        <f>'GA55'!A149</f>
        <v>147</v>
      </c>
      <c r="B153" s="231">
        <f>'GA55'!B149</f>
        <v>42672230</v>
      </c>
      <c r="C153" s="305">
        <f>'GA55'!C149</f>
        <v>44882</v>
      </c>
      <c r="D153" s="231">
        <f>'GA55'!D149</f>
        <v>52784</v>
      </c>
      <c r="E153" s="305">
        <f>'GA55'!E149</f>
        <v>44896</v>
      </c>
      <c r="F153" s="231" t="str">
        <f>'GA55'!F149</f>
        <v>2022-2023</v>
      </c>
      <c r="G153" s="309">
        <f>'GA55'!G149</f>
        <v>44866</v>
      </c>
      <c r="H153" s="231">
        <f>'GA55'!Q149</f>
        <v>5000</v>
      </c>
    </row>
    <row r="154" spans="1:8" x14ac:dyDescent="0.2">
      <c r="A154" s="231">
        <f>'GA55'!A150</f>
        <v>148</v>
      </c>
      <c r="B154" s="231">
        <f>'GA55'!B150</f>
        <v>43353029</v>
      </c>
      <c r="C154" s="305">
        <f>'GA55'!C150</f>
        <v>44918</v>
      </c>
      <c r="D154" s="231">
        <f>'GA55'!D150</f>
        <v>60602</v>
      </c>
      <c r="E154" s="305">
        <f>'GA55'!E150</f>
        <v>44928</v>
      </c>
      <c r="F154" s="231" t="str">
        <f>'GA55'!F150</f>
        <v>2022-2023</v>
      </c>
      <c r="G154" s="309">
        <f>'GA55'!G150</f>
        <v>44896</v>
      </c>
      <c r="H154" s="231">
        <f>'GA55'!Q150</f>
        <v>5000</v>
      </c>
    </row>
    <row r="155" spans="1:8" x14ac:dyDescent="0.2">
      <c r="A155" s="231">
        <f>'GA55'!A151</f>
        <v>149</v>
      </c>
      <c r="B155" s="231">
        <f>'GA55'!B151</f>
        <v>43105964</v>
      </c>
      <c r="C155" s="305">
        <f>'GA55'!C151</f>
        <v>44908</v>
      </c>
      <c r="D155" s="231">
        <f>'GA55'!D151</f>
        <v>57161</v>
      </c>
      <c r="E155" s="305">
        <f>'GA55'!E151</f>
        <v>44909</v>
      </c>
      <c r="F155" s="231" t="str">
        <f>'GA55'!F151</f>
        <v>2022-2023</v>
      </c>
      <c r="G155" s="309" t="str">
        <f>'GA55'!G151</f>
        <v>DA Arrer</v>
      </c>
      <c r="H155" s="231">
        <f>'GA55'!Q151</f>
        <v>0</v>
      </c>
    </row>
    <row r="156" spans="1:8" x14ac:dyDescent="0.2">
      <c r="A156" s="231">
        <f>'GA55'!A152</f>
        <v>150</v>
      </c>
      <c r="B156" s="231">
        <f>'GA55'!B152</f>
        <v>43739170</v>
      </c>
      <c r="C156" s="305">
        <f>'GA55'!C152</f>
        <v>44944</v>
      </c>
      <c r="D156" s="231">
        <f>'GA55'!D152</f>
        <v>64998</v>
      </c>
      <c r="E156" s="305">
        <f>'GA55'!E152</f>
        <v>44946</v>
      </c>
      <c r="F156" s="231" t="str">
        <f>'GA55'!F152</f>
        <v>2022-2023</v>
      </c>
      <c r="G156" s="309" t="str">
        <f>'GA55'!G152</f>
        <v>Salary Arrer</v>
      </c>
      <c r="H156" s="231">
        <f>'GA55'!Q152</f>
        <v>0</v>
      </c>
    </row>
    <row r="157" spans="1:8" x14ac:dyDescent="0.2">
      <c r="A157" s="231">
        <f>'GA55'!A153</f>
        <v>151</v>
      </c>
      <c r="B157" s="231">
        <f>'GA55'!B153</f>
        <v>43878587</v>
      </c>
      <c r="C157" s="305">
        <f>'GA55'!C153</f>
        <v>44949</v>
      </c>
      <c r="D157" s="231">
        <f>'GA55'!D153</f>
        <v>68683</v>
      </c>
      <c r="E157" s="305">
        <f>'GA55'!E153</f>
        <v>44958</v>
      </c>
      <c r="F157" s="231" t="str">
        <f>'GA55'!F153</f>
        <v>2022-2023</v>
      </c>
      <c r="G157" s="309">
        <f>'GA55'!G153</f>
        <v>44927</v>
      </c>
      <c r="H157" s="231">
        <f>'GA55'!Q153</f>
        <v>5000</v>
      </c>
    </row>
    <row r="158" spans="1:8" x14ac:dyDescent="0.2">
      <c r="A158" s="231">
        <f>'GA55'!A154</f>
        <v>152</v>
      </c>
      <c r="B158" s="231">
        <f>'GA55'!B154</f>
        <v>44472500</v>
      </c>
      <c r="C158" s="305">
        <f>'GA55'!C154</f>
        <v>44977</v>
      </c>
      <c r="D158" s="231">
        <f>'GA55'!D154</f>
        <v>77782</v>
      </c>
      <c r="E158" s="305">
        <f>'GA55'!E154</f>
        <v>44986</v>
      </c>
      <c r="F158" s="231" t="str">
        <f>'GA55'!F154</f>
        <v>2022-2023</v>
      </c>
      <c r="G158" s="309">
        <f>'GA55'!G154</f>
        <v>44958</v>
      </c>
      <c r="H158" s="231">
        <f>'GA55'!Q154</f>
        <v>5000</v>
      </c>
    </row>
    <row r="159" spans="1:8" x14ac:dyDescent="0.2">
      <c r="A159" s="231">
        <f>'GA55'!A155</f>
        <v>153</v>
      </c>
      <c r="B159" s="231">
        <f>'GA55'!B155</f>
        <v>45133785</v>
      </c>
      <c r="C159" s="305">
        <f>'GA55'!C155</f>
        <v>45017</v>
      </c>
      <c r="D159" s="231">
        <f>'GA55'!D155</f>
        <v>763</v>
      </c>
      <c r="E159" s="305">
        <f>'GA55'!E155</f>
        <v>45019</v>
      </c>
      <c r="F159" s="231" t="str">
        <f>'GA55'!F155</f>
        <v>2023-2024</v>
      </c>
      <c r="G159" s="309">
        <f>'GA55'!G155</f>
        <v>44986</v>
      </c>
      <c r="H159" s="231">
        <f>'GA55'!Q155</f>
        <v>5000</v>
      </c>
    </row>
    <row r="160" spans="1:8" x14ac:dyDescent="0.2">
      <c r="A160" s="231">
        <f>'GA55'!A156</f>
        <v>154</v>
      </c>
      <c r="B160" s="231">
        <f>'GA55'!B156</f>
        <v>46031314</v>
      </c>
      <c r="C160" s="305">
        <f>'GA55'!C156</f>
        <v>45058</v>
      </c>
      <c r="D160" s="231">
        <f>'GA55'!D156</f>
        <v>11389</v>
      </c>
      <c r="E160" s="305">
        <f>'GA55'!E156</f>
        <v>45061</v>
      </c>
      <c r="F160" s="231" t="str">
        <f>'GA55'!F156</f>
        <v>2023-2024</v>
      </c>
      <c r="G160" s="309">
        <f>'GA55'!G156</f>
        <v>45017</v>
      </c>
      <c r="H160" s="231">
        <f>'GA55'!Q156</f>
        <v>5000</v>
      </c>
    </row>
    <row r="161" spans="1:8" x14ac:dyDescent="0.2">
      <c r="A161" s="231">
        <f>'GA55'!A157</f>
        <v>155</v>
      </c>
      <c r="B161" s="231">
        <f>'GA55'!B157</f>
        <v>46331842</v>
      </c>
      <c r="C161" s="305">
        <f>'GA55'!C157</f>
        <v>45077</v>
      </c>
      <c r="D161" s="231">
        <f>'GA55'!D157</f>
        <v>15727</v>
      </c>
      <c r="E161" s="305">
        <f>'GA55'!E157</f>
        <v>45078</v>
      </c>
      <c r="F161" s="231" t="str">
        <f>'GA55'!F157</f>
        <v>2023-2024</v>
      </c>
      <c r="G161" s="309">
        <f>'GA55'!G157</f>
        <v>45047</v>
      </c>
      <c r="H161" s="231">
        <f>'GA55'!Q157</f>
        <v>5000</v>
      </c>
    </row>
    <row r="162" spans="1:8" x14ac:dyDescent="0.2">
      <c r="A162" s="231">
        <f>'GA55'!A158</f>
        <v>156</v>
      </c>
      <c r="B162" s="231">
        <f>'GA55'!B158</f>
        <v>46899463</v>
      </c>
      <c r="C162" s="305">
        <f>'GA55'!C158</f>
        <v>45117</v>
      </c>
      <c r="D162" s="231">
        <f>'GA55'!D158</f>
        <v>23938</v>
      </c>
      <c r="E162" s="305">
        <f>'GA55'!E158</f>
        <v>45118</v>
      </c>
      <c r="F162" s="231" t="str">
        <f>'GA55'!F158</f>
        <v>2023-2024</v>
      </c>
      <c r="G162" s="309">
        <f>'GA55'!G158</f>
        <v>45017</v>
      </c>
      <c r="H162" s="231">
        <f>'GA55'!Q158</f>
        <v>0</v>
      </c>
    </row>
    <row r="163" spans="1:8" x14ac:dyDescent="0.2">
      <c r="A163" s="231">
        <f>'GA55'!A159</f>
        <v>157</v>
      </c>
      <c r="B163" s="231">
        <f>'GA55'!B159</f>
        <v>46616223</v>
      </c>
      <c r="C163" s="305">
        <f>'GA55'!C159</f>
        <v>45101</v>
      </c>
      <c r="D163" s="231">
        <f>'GA55'!D159</f>
        <v>19972</v>
      </c>
      <c r="E163" s="305">
        <f>'GA55'!E159</f>
        <v>45108</v>
      </c>
      <c r="F163" s="231" t="str">
        <f>'GA55'!F159</f>
        <v>2023-2024</v>
      </c>
      <c r="G163" s="309">
        <f>'GA55'!G159</f>
        <v>45078</v>
      </c>
      <c r="H163" s="231">
        <f>'GA55'!Q159</f>
        <v>5000</v>
      </c>
    </row>
    <row r="164" spans="1:8" x14ac:dyDescent="0.2">
      <c r="A164" s="231">
        <f>'GA55'!A160</f>
        <v>158</v>
      </c>
      <c r="B164" s="231">
        <f>'GA55'!B160</f>
        <v>47362967</v>
      </c>
      <c r="C164" s="305">
        <f>'GA55'!C160</f>
        <v>45142</v>
      </c>
      <c r="D164" s="231">
        <f>'GA55'!D160</f>
        <v>30437</v>
      </c>
      <c r="E164" s="305">
        <f>'GA55'!E160</f>
        <v>45145</v>
      </c>
      <c r="F164" s="231" t="str">
        <f>'GA55'!F160</f>
        <v>2023-2024</v>
      </c>
      <c r="G164" s="309">
        <f>'GA55'!G160</f>
        <v>45108</v>
      </c>
      <c r="H164" s="231">
        <f>'GA55'!Q160</f>
        <v>5000</v>
      </c>
    </row>
    <row r="165" spans="1:8" x14ac:dyDescent="0.2">
      <c r="A165" s="231">
        <f>'GA55'!A161</f>
        <v>159</v>
      </c>
      <c r="B165" s="231">
        <f>'GA55'!B161</f>
        <v>47086106</v>
      </c>
      <c r="C165" s="305">
        <f>'GA55'!C161</f>
        <v>45128</v>
      </c>
      <c r="D165" s="231">
        <f>'GA55'!D161</f>
        <v>29256</v>
      </c>
      <c r="E165" s="305">
        <f>'GA55'!E161</f>
        <v>45139</v>
      </c>
      <c r="F165" s="231" t="str">
        <f>'GA55'!F161</f>
        <v>2023-2024</v>
      </c>
      <c r="G165" s="309">
        <f>'GA55'!G161</f>
        <v>45047</v>
      </c>
      <c r="H165" s="231">
        <f>'GA55'!Q161</f>
        <v>0</v>
      </c>
    </row>
    <row r="166" spans="1:8" x14ac:dyDescent="0.2">
      <c r="A166" s="231">
        <f>'GA55'!A162</f>
        <v>160</v>
      </c>
      <c r="B166" s="231">
        <f>'GA55'!B162</f>
        <v>47617195</v>
      </c>
      <c r="C166" s="305">
        <f>'GA55'!C162</f>
        <v>45161</v>
      </c>
      <c r="D166" s="231">
        <f>'GA55'!D162</f>
        <v>34957</v>
      </c>
      <c r="E166" s="305">
        <f>'GA55'!E162</f>
        <v>45170</v>
      </c>
      <c r="F166" s="231" t="str">
        <f>'GA55'!F162</f>
        <v>2023-2024</v>
      </c>
      <c r="G166" s="309">
        <f>'GA55'!G162</f>
        <v>45139</v>
      </c>
      <c r="H166" s="231">
        <f>'GA55'!Q162</f>
        <v>5000</v>
      </c>
    </row>
    <row r="167" spans="1:8" x14ac:dyDescent="0.2">
      <c r="A167" s="231">
        <f>'GA55'!A163</f>
        <v>161</v>
      </c>
      <c r="B167" s="231">
        <f>'GA55'!B163</f>
        <v>47511795</v>
      </c>
      <c r="C167" s="305">
        <f>'GA55'!C163</f>
        <v>45154</v>
      </c>
      <c r="D167" s="231">
        <f>'GA55'!D163</f>
        <v>31886</v>
      </c>
      <c r="E167" s="305">
        <f>'GA55'!E163</f>
        <v>45154</v>
      </c>
      <c r="F167" s="231" t="str">
        <f>'GA55'!F163</f>
        <v>2023-2024</v>
      </c>
      <c r="G167" s="309" t="str">
        <f>'GA55'!G163</f>
        <v>DA Arrer (Jan to Mar 2023) (Da rate 38 to 42%)</v>
      </c>
      <c r="H167" s="231">
        <f>'GA55'!Q163</f>
        <v>0</v>
      </c>
    </row>
    <row r="168" spans="1:8" x14ac:dyDescent="0.2">
      <c r="A168" s="231">
        <f>'GA55'!A164</f>
        <v>162</v>
      </c>
      <c r="B168" s="231">
        <f>'GA55'!B164</f>
        <v>48065579</v>
      </c>
      <c r="C168" s="305">
        <f>'GA55'!C164</f>
        <v>45192</v>
      </c>
      <c r="D168" s="231">
        <f>'GA55'!D164</f>
        <v>40520</v>
      </c>
      <c r="E168" s="305">
        <f>'GA55'!E164</f>
        <v>45202</v>
      </c>
      <c r="F168" s="231" t="str">
        <f>'GA55'!F164</f>
        <v>2023-2024</v>
      </c>
      <c r="G168" s="309">
        <f>'GA55'!G164</f>
        <v>45170</v>
      </c>
      <c r="H168" s="231">
        <f>'GA55'!Q164</f>
        <v>5000</v>
      </c>
    </row>
    <row r="169" spans="1:8" x14ac:dyDescent="0.2">
      <c r="A169" s="231">
        <f>'GA55'!A165</f>
        <v>163</v>
      </c>
      <c r="B169" s="231">
        <f>'GA55'!B165</f>
        <v>48627195</v>
      </c>
      <c r="C169" s="305">
        <f>'GA55'!C165</f>
        <v>45226</v>
      </c>
      <c r="D169" s="231">
        <f>'GA55'!D165</f>
        <v>45911</v>
      </c>
      <c r="E169" s="305">
        <f>'GA55'!E165</f>
        <v>45231</v>
      </c>
      <c r="F169" s="231" t="str">
        <f>'GA55'!F165</f>
        <v>2023-2024</v>
      </c>
      <c r="G169" s="309">
        <f>'GA55'!G165</f>
        <v>45200</v>
      </c>
      <c r="H169" s="231">
        <f>'GA55'!Q165</f>
        <v>5000</v>
      </c>
    </row>
    <row r="170" spans="1:8" x14ac:dyDescent="0.2">
      <c r="A170" s="231">
        <f>'GA55'!A166</f>
        <v>164</v>
      </c>
      <c r="B170" s="231">
        <f>'GA55'!B166</f>
        <v>48896643</v>
      </c>
      <c r="C170" s="305">
        <f>'GA55'!C166</f>
        <v>45237</v>
      </c>
      <c r="D170" s="231">
        <f>'GA55'!D166</f>
        <v>50640</v>
      </c>
      <c r="E170" s="305">
        <f>'GA55'!E166</f>
        <v>45239</v>
      </c>
      <c r="F170" s="231" t="str">
        <f>'GA55'!F166</f>
        <v>2023-2024</v>
      </c>
      <c r="G170" s="309" t="str">
        <f>'GA55'!G166</f>
        <v>Diwali  Bonus</v>
      </c>
      <c r="H170" s="231">
        <f>'GA55'!Q166</f>
        <v>0</v>
      </c>
    </row>
    <row r="171" spans="1:8" x14ac:dyDescent="0.2">
      <c r="A171" s="231">
        <f>'GA55'!A167</f>
        <v>165</v>
      </c>
      <c r="B171" s="231">
        <f>'GA55'!B167</f>
        <v>49199160</v>
      </c>
      <c r="C171" s="305">
        <f>'GA55'!C167</f>
        <v>45255</v>
      </c>
      <c r="D171" s="231">
        <f>'GA55'!D167</f>
        <v>54122</v>
      </c>
      <c r="E171" s="305">
        <f>'GA55'!E167</f>
        <v>45261</v>
      </c>
      <c r="F171" s="231" t="str">
        <f>'GA55'!F167</f>
        <v>2023-2024</v>
      </c>
      <c r="G171" s="309">
        <f>'GA55'!G167</f>
        <v>45231</v>
      </c>
      <c r="H171" s="231">
        <f>'GA55'!Q167</f>
        <v>5000</v>
      </c>
    </row>
    <row r="172" spans="1:8" x14ac:dyDescent="0.2">
      <c r="A172" s="231">
        <f>'GA55'!A168</f>
        <v>166</v>
      </c>
      <c r="B172" s="231">
        <f>'GA55'!B168</f>
        <v>49721966</v>
      </c>
      <c r="C172" s="305">
        <f>'GA55'!C168</f>
        <v>45283</v>
      </c>
      <c r="D172" s="231">
        <f>'GA55'!D168</f>
        <v>61348</v>
      </c>
      <c r="E172" s="305">
        <f>'GA55'!E168</f>
        <v>45292</v>
      </c>
      <c r="F172" s="231" t="str">
        <f>'GA55'!F168</f>
        <v>2023-2024</v>
      </c>
      <c r="G172" s="309">
        <f>'GA55'!G168</f>
        <v>45261</v>
      </c>
      <c r="H172" s="231">
        <f>'GA55'!Q168</f>
        <v>5000</v>
      </c>
    </row>
    <row r="173" spans="1:8" x14ac:dyDescent="0.2">
      <c r="A173" s="231">
        <f>'GA55'!A169</f>
        <v>167</v>
      </c>
      <c r="B173" s="231">
        <f>'GA55'!B169</f>
        <v>50288389</v>
      </c>
      <c r="C173" s="305">
        <f>'GA55'!C169</f>
        <v>45317</v>
      </c>
      <c r="D173" s="231">
        <f>'GA55'!D169</f>
        <v>70303</v>
      </c>
      <c r="E173" s="305">
        <f>'GA55'!E169</f>
        <v>45323</v>
      </c>
      <c r="F173" s="231" t="str">
        <f>'GA55'!F169</f>
        <v>2023-2024</v>
      </c>
      <c r="G173" s="309">
        <f>'GA55'!G169</f>
        <v>45292</v>
      </c>
      <c r="H173" s="231">
        <f>'GA55'!Q169</f>
        <v>5000</v>
      </c>
    </row>
    <row r="174" spans="1:8" x14ac:dyDescent="0.2">
      <c r="A174" s="231">
        <f>'GA55'!A170</f>
        <v>168</v>
      </c>
      <c r="B174" s="231">
        <f>'GA55'!B170</f>
        <v>50080221</v>
      </c>
      <c r="C174" s="305">
        <f>'GA55'!C170</f>
        <v>45307</v>
      </c>
      <c r="D174" s="231">
        <f>'GA55'!D170</f>
        <v>67485</v>
      </c>
      <c r="E174" s="305">
        <f>'GA55'!E170</f>
        <v>45315</v>
      </c>
      <c r="F174" s="231" t="str">
        <f>'GA55'!F170</f>
        <v>2023-2024</v>
      </c>
      <c r="G174" s="309" t="str">
        <f>'GA55'!G170</f>
        <v>DA Arrer (jul to oct 2023) (Da rate 42 to 46%)</v>
      </c>
      <c r="H174" s="231">
        <f>'GA55'!Q170</f>
        <v>0</v>
      </c>
    </row>
    <row r="175" spans="1:8" x14ac:dyDescent="0.2">
      <c r="A175" s="231">
        <f>'GA55'!A171</f>
        <v>169</v>
      </c>
      <c r="B175" s="231">
        <f>'GA55'!B171</f>
        <v>500253174</v>
      </c>
      <c r="C175" s="305">
        <f>'GA55'!C171</f>
        <v>45349</v>
      </c>
      <c r="D175" s="231">
        <f>'GA55'!D171</f>
        <v>77719</v>
      </c>
      <c r="E175" s="305">
        <f>'GA55'!E171</f>
        <v>45355</v>
      </c>
      <c r="F175" s="231" t="str">
        <f>'GA55'!F171</f>
        <v>2023-2024</v>
      </c>
      <c r="G175" s="309">
        <f>'GA55'!G171</f>
        <v>45323</v>
      </c>
      <c r="H175" s="231">
        <f>'GA55'!Q171</f>
        <v>5000</v>
      </c>
    </row>
    <row r="176" spans="1:8" x14ac:dyDescent="0.2">
      <c r="A176" s="231">
        <f>'GA55'!A172</f>
        <v>170</v>
      </c>
      <c r="B176" s="231">
        <f>'GA55'!B172</f>
        <v>500441461</v>
      </c>
      <c r="C176" s="305">
        <f>'GA55'!C172</f>
        <v>45379</v>
      </c>
      <c r="D176" s="231">
        <f>'GA55'!D172</f>
        <v>859</v>
      </c>
      <c r="E176" s="305">
        <f>'GA55'!E172</f>
        <v>45384</v>
      </c>
      <c r="F176" s="231" t="str">
        <f>'GA55'!F172</f>
        <v>2024-2025</v>
      </c>
      <c r="G176" s="309">
        <f>'GA55'!G172</f>
        <v>45352</v>
      </c>
      <c r="H176" s="231">
        <f>'GA55'!Q172</f>
        <v>5000</v>
      </c>
    </row>
    <row r="177" spans="1:8" x14ac:dyDescent="0.2">
      <c r="A177" s="231">
        <f>'GA55'!A173</f>
        <v>171</v>
      </c>
      <c r="B177" s="231">
        <f>'GA55'!B173</f>
        <v>500732006</v>
      </c>
      <c r="C177" s="305">
        <f>'GA55'!C173</f>
        <v>45418</v>
      </c>
      <c r="D177" s="231">
        <f>'GA55'!D173</f>
        <v>8364</v>
      </c>
      <c r="E177" s="305">
        <f>'GA55'!E173</f>
        <v>45419</v>
      </c>
      <c r="F177" s="231" t="str">
        <f>'GA55'!F173</f>
        <v>2024-2025</v>
      </c>
      <c r="G177" s="309">
        <f>'GA55'!G173</f>
        <v>45383</v>
      </c>
      <c r="H177" s="231">
        <f>'GA55'!Q173</f>
        <v>5000</v>
      </c>
    </row>
    <row r="178" spans="1:8" x14ac:dyDescent="0.2">
      <c r="A178" s="231">
        <f>'GA55'!A174</f>
        <v>172</v>
      </c>
      <c r="B178" s="231">
        <f>'GA55'!B174</f>
        <v>500935824</v>
      </c>
      <c r="C178" s="305">
        <f>'GA55'!C174</f>
        <v>45440</v>
      </c>
      <c r="D178" s="231">
        <f>'GA55'!D174</f>
        <v>12316</v>
      </c>
      <c r="E178" s="305">
        <f>'GA55'!E174</f>
        <v>45442</v>
      </c>
      <c r="F178" s="231" t="str">
        <f>'GA55'!F174</f>
        <v>2024-2025</v>
      </c>
      <c r="G178" s="309" t="str">
        <f>'GA55'!G174</f>
        <v>DA Arrer (Jan to Feb 2024) (DA rate 46 to 50%)</v>
      </c>
      <c r="H178" s="231">
        <f>'GA55'!Q174</f>
        <v>0</v>
      </c>
    </row>
    <row r="179" spans="1:8" x14ac:dyDescent="0.2">
      <c r="A179" s="231">
        <f>'GA55'!A175</f>
        <v>173</v>
      </c>
      <c r="B179" s="231">
        <f>'GA55'!B175</f>
        <v>500943161</v>
      </c>
      <c r="C179" s="305">
        <f>'GA55'!C175</f>
        <v>45441</v>
      </c>
      <c r="D179" s="231">
        <f>'GA55'!D175</f>
        <v>13029</v>
      </c>
      <c r="E179" s="305">
        <f>'GA55'!E175</f>
        <v>45444</v>
      </c>
      <c r="F179" s="231" t="str">
        <f>'GA55'!F175</f>
        <v>2024-2025</v>
      </c>
      <c r="G179" s="309">
        <f>'GA55'!G175</f>
        <v>45413</v>
      </c>
      <c r="H179" s="231">
        <f>'GA55'!Q175</f>
        <v>5000</v>
      </c>
    </row>
    <row r="180" spans="1:8" x14ac:dyDescent="0.2">
      <c r="A180" s="231">
        <f>'GA55'!A176</f>
        <v>174</v>
      </c>
      <c r="B180" s="231">
        <f>'GA55'!B176</f>
        <v>501141373</v>
      </c>
      <c r="C180" s="305">
        <f>'GA55'!C176</f>
        <v>45470</v>
      </c>
      <c r="D180" s="231">
        <f>'GA55'!D176</f>
        <v>19255</v>
      </c>
      <c r="E180" s="305">
        <f>'GA55'!E176</f>
        <v>45474</v>
      </c>
      <c r="F180" s="231" t="str">
        <f>'GA55'!F176</f>
        <v>2024-2025</v>
      </c>
      <c r="G180" s="309">
        <f>'GA55'!G176</f>
        <v>45444</v>
      </c>
      <c r="H180" s="231">
        <f>'GA55'!Q176</f>
        <v>5000</v>
      </c>
    </row>
    <row r="181" spans="1:8" x14ac:dyDescent="0.2">
      <c r="A181" s="231">
        <f>'GA55'!A177</f>
        <v>175</v>
      </c>
      <c r="B181" s="231">
        <f>'GA55'!B177</f>
        <v>501387157</v>
      </c>
      <c r="C181" s="305">
        <f>'GA55'!C177</f>
        <v>45503</v>
      </c>
      <c r="D181" s="231">
        <f>'GA55'!D177</f>
        <v>25295</v>
      </c>
      <c r="E181" s="305">
        <f>'GA55'!E177</f>
        <v>45505</v>
      </c>
      <c r="F181" s="231" t="str">
        <f>'GA55'!F177</f>
        <v>2024-2025</v>
      </c>
      <c r="G181" s="309">
        <f>'GA55'!G177</f>
        <v>45474</v>
      </c>
      <c r="H181" s="231">
        <f>'GA55'!Q177</f>
        <v>5000</v>
      </c>
    </row>
    <row r="182" spans="1:8" x14ac:dyDescent="0.2">
      <c r="A182" s="231">
        <f>'GA55'!A178</f>
        <v>176</v>
      </c>
      <c r="B182" s="231">
        <f>'GA55'!B178</f>
        <v>501602639</v>
      </c>
      <c r="C182" s="305">
        <f>'GA55'!C178</f>
        <v>45527</v>
      </c>
      <c r="D182" s="231">
        <f>'GA55'!D178</f>
        <v>31671</v>
      </c>
      <c r="E182" s="305">
        <f>'GA55'!E178</f>
        <v>45537</v>
      </c>
      <c r="F182" s="231" t="str">
        <f>'GA55'!F178</f>
        <v>2024-2025</v>
      </c>
      <c r="G182" s="309">
        <f>'GA55'!G178</f>
        <v>45505</v>
      </c>
      <c r="H182" s="231">
        <f>'GA55'!Q178</f>
        <v>5000</v>
      </c>
    </row>
    <row r="183" spans="1:8" x14ac:dyDescent="0.2">
      <c r="A183" s="231">
        <f>'GA55'!A179</f>
        <v>177</v>
      </c>
      <c r="B183" s="231">
        <f>'GA55'!B179</f>
        <v>501860136</v>
      </c>
      <c r="C183" s="305">
        <f>'GA55'!C179</f>
        <v>45561</v>
      </c>
      <c r="D183" s="231">
        <f>'GA55'!D179</f>
        <v>37968</v>
      </c>
      <c r="E183" s="305">
        <f>'GA55'!E179</f>
        <v>45566</v>
      </c>
      <c r="F183" s="231" t="str">
        <f>'GA55'!F179</f>
        <v>2024-2025</v>
      </c>
      <c r="G183" s="309">
        <f>'GA55'!G179</f>
        <v>45536</v>
      </c>
      <c r="H183" s="231">
        <f>'GA55'!Q179</f>
        <v>5000</v>
      </c>
    </row>
    <row r="184" spans="1:8" x14ac:dyDescent="0.2">
      <c r="A184" s="231">
        <f>'GA55'!A180</f>
        <v>178</v>
      </c>
      <c r="B184" s="231">
        <f>'GA55'!B180</f>
        <v>502140454</v>
      </c>
      <c r="C184" s="305">
        <f>'GA55'!C180</f>
        <v>45588</v>
      </c>
      <c r="D184" s="231">
        <f>'GA55'!D180</f>
        <v>49705</v>
      </c>
      <c r="E184" s="305">
        <f>'GA55'!E180</f>
        <v>45595</v>
      </c>
      <c r="F184" s="231" t="str">
        <f>'GA55'!F180</f>
        <v>2024-2025</v>
      </c>
      <c r="G184" s="309">
        <f>'GA55'!G180</f>
        <v>45566</v>
      </c>
      <c r="H184" s="231">
        <f>'GA55'!Q180</f>
        <v>5000</v>
      </c>
    </row>
    <row r="185" spans="1:8" x14ac:dyDescent="0.2">
      <c r="A185" s="231">
        <f>'GA55'!A181</f>
        <v>179</v>
      </c>
      <c r="B185" s="231">
        <f>'GA55'!B181</f>
        <v>502179884</v>
      </c>
      <c r="C185" s="305">
        <f>'GA55'!C181</f>
        <v>45588</v>
      </c>
      <c r="D185" s="231">
        <f>'GA55'!D181</f>
        <v>44955</v>
      </c>
      <c r="E185" s="305">
        <f>'GA55'!E181</f>
        <v>45589</v>
      </c>
      <c r="F185" s="231" t="str">
        <f>'GA55'!F181</f>
        <v>2024-2025</v>
      </c>
      <c r="G185" s="309" t="str">
        <f>'GA55'!G181</f>
        <v>Diwali  Bonus</v>
      </c>
      <c r="H185" s="231">
        <f>'GA55'!Q181</f>
        <v>0</v>
      </c>
    </row>
    <row r="186" spans="1:8" x14ac:dyDescent="0.2">
      <c r="A186" s="231">
        <f>'GA55'!A182</f>
        <v>180</v>
      </c>
      <c r="B186" s="231">
        <f>'GA55'!B182</f>
        <v>502532171</v>
      </c>
      <c r="C186" s="305">
        <f>'GA55'!C182</f>
        <v>45622</v>
      </c>
      <c r="D186" s="231">
        <f>'GA55'!D182</f>
        <v>54666</v>
      </c>
      <c r="E186" s="305">
        <f>'GA55'!E182</f>
        <v>45624</v>
      </c>
      <c r="F186" s="231" t="str">
        <f>'GA55'!F182</f>
        <v>2024-2025</v>
      </c>
      <c r="G186" s="309" t="str">
        <f>'GA55'!G182</f>
        <v>DA Arrer (Jul toAug 2024) (DA rate 50 to 53%)</v>
      </c>
      <c r="H186" s="231">
        <f>'GA55'!Q182</f>
        <v>0</v>
      </c>
    </row>
    <row r="187" spans="1:8" x14ac:dyDescent="0.2">
      <c r="A187" s="231">
        <f>'GA55'!A183</f>
        <v>181</v>
      </c>
      <c r="B187" s="231">
        <f>'GA55'!B183</f>
        <v>502535967</v>
      </c>
      <c r="C187" s="305">
        <f>'GA55'!C183</f>
        <v>45623</v>
      </c>
      <c r="D187" s="231">
        <f>'GA55'!D183</f>
        <v>57448</v>
      </c>
      <c r="E187" s="305">
        <f>'GA55'!E183</f>
        <v>45628</v>
      </c>
      <c r="F187" s="231" t="str">
        <f>'GA55'!F183</f>
        <v>2024-2025</v>
      </c>
      <c r="G187" s="309">
        <f>'GA55'!G183</f>
        <v>45597</v>
      </c>
      <c r="H187" s="231">
        <f>'GA55'!Q183</f>
        <v>5000</v>
      </c>
    </row>
    <row r="188" spans="1:8" x14ac:dyDescent="0.2">
      <c r="A188" s="231">
        <f>'GA55'!A184</f>
        <v>182</v>
      </c>
      <c r="B188" s="231">
        <f>'GA55'!B184</f>
        <v>502837951</v>
      </c>
      <c r="C188" s="305">
        <f>'GA55'!C184</f>
        <v>45653</v>
      </c>
      <c r="D188" s="231">
        <f>'GA55'!D184</f>
        <v>63222</v>
      </c>
      <c r="E188" s="305">
        <f>'GA55'!E184</f>
        <v>45658</v>
      </c>
      <c r="F188" s="231" t="str">
        <f>'GA55'!F184</f>
        <v>2024-2025</v>
      </c>
      <c r="G188" s="309">
        <f>'GA55'!G184</f>
        <v>45627</v>
      </c>
      <c r="H188" s="231">
        <f>'GA55'!Q184</f>
        <v>5000</v>
      </c>
    </row>
    <row r="189" spans="1:8" x14ac:dyDescent="0.2">
      <c r="A189" s="231">
        <f>'GA55'!A185</f>
        <v>183</v>
      </c>
      <c r="B189" s="231">
        <f>'GA55'!B185</f>
        <v>503130202</v>
      </c>
      <c r="C189" s="305">
        <f>'GA55'!C185</f>
        <v>45691</v>
      </c>
      <c r="D189" s="231">
        <f>'GA55'!D185</f>
        <v>72172</v>
      </c>
      <c r="E189" s="305">
        <f>'GA55'!E185</f>
        <v>45693</v>
      </c>
      <c r="F189" s="231" t="str">
        <f>'GA55'!F185</f>
        <v>2024-2025</v>
      </c>
      <c r="G189" s="309">
        <f>'GA55'!G185</f>
        <v>45658</v>
      </c>
      <c r="H189" s="231">
        <f>'GA55'!Q185</f>
        <v>5000</v>
      </c>
    </row>
    <row r="190" spans="1:8" x14ac:dyDescent="0.2">
      <c r="A190" s="231">
        <f>'GA55'!A186</f>
        <v>184</v>
      </c>
      <c r="B190" s="231">
        <f>'GA55'!B186</f>
        <v>503359800</v>
      </c>
      <c r="C190" s="305">
        <f>'GA55'!C186</f>
        <v>45715</v>
      </c>
      <c r="D190" s="231">
        <f>'GA55'!D186</f>
        <v>77782</v>
      </c>
      <c r="E190" s="305">
        <f>'GA55'!E186</f>
        <v>45717</v>
      </c>
      <c r="F190" s="231" t="str">
        <f>'GA55'!F186</f>
        <v>2024-2025</v>
      </c>
      <c r="G190" s="309">
        <f>'GA55'!G186</f>
        <v>45689</v>
      </c>
      <c r="H190" s="231">
        <f>'GA55'!Q186</f>
        <v>5000</v>
      </c>
    </row>
    <row r="191" spans="1:8" x14ac:dyDescent="0.2">
      <c r="A191" s="231">
        <f>'GA55'!A187</f>
        <v>185</v>
      </c>
      <c r="B191" s="231">
        <f>'GA55'!B187</f>
        <v>503690660</v>
      </c>
      <c r="C191" s="305">
        <f>'GA55'!C187</f>
        <v>45748</v>
      </c>
      <c r="D191" s="231">
        <f>'GA55'!D187</f>
        <v>49331</v>
      </c>
      <c r="E191" s="305">
        <f>'GA55'!E187</f>
        <v>45749</v>
      </c>
      <c r="F191" s="231" t="str">
        <f>'GA55'!F187</f>
        <v>2025-2026</v>
      </c>
      <c r="G191" s="309">
        <f>'GA55'!G187</f>
        <v>45717</v>
      </c>
      <c r="H191" s="231">
        <f>'GA55'!Q187</f>
        <v>5000</v>
      </c>
    </row>
    <row r="192" spans="1:8" x14ac:dyDescent="0.2">
      <c r="A192" s="231">
        <f>'GA55'!A188</f>
        <v>186</v>
      </c>
      <c r="B192" s="231">
        <f>'GA55'!B188</f>
        <v>504010976</v>
      </c>
      <c r="C192" s="305">
        <f>'GA55'!C188</f>
        <v>45772</v>
      </c>
      <c r="D192" s="231">
        <f>'GA55'!D188</f>
        <v>339072</v>
      </c>
      <c r="E192" s="305">
        <f>'GA55'!E188</f>
        <v>45775</v>
      </c>
      <c r="F192" s="231" t="str">
        <f>'GA55'!F188</f>
        <v>2025-2026</v>
      </c>
      <c r="G192" s="309" t="str">
        <f>'GA55'!G188</f>
        <v>DA Arrer (Jan to Mar 2025) (DA rate 53 to 55%)</v>
      </c>
      <c r="H192" s="231">
        <f>'GA55'!Q188</f>
        <v>0</v>
      </c>
    </row>
    <row r="193" spans="1:8" x14ac:dyDescent="0.2">
      <c r="A193" s="231">
        <f>'GA55'!A189</f>
        <v>187</v>
      </c>
      <c r="B193" s="231">
        <f>'GA55'!B189</f>
        <v>504041112</v>
      </c>
      <c r="C193" s="305">
        <f>'GA55'!C189</f>
        <v>45775</v>
      </c>
      <c r="D193" s="231">
        <f>'GA55'!D189</f>
        <v>432978</v>
      </c>
      <c r="E193" s="305">
        <f>'GA55'!E189</f>
        <v>45778</v>
      </c>
      <c r="F193" s="231" t="str">
        <f>'GA55'!F189</f>
        <v>2025-2026</v>
      </c>
      <c r="G193" s="309">
        <f>'GA55'!G189</f>
        <v>45748</v>
      </c>
      <c r="H193" s="231">
        <f>'GA55'!Q189</f>
        <v>5000</v>
      </c>
    </row>
    <row r="194" spans="1:8" x14ac:dyDescent="0.2">
      <c r="A194" s="231">
        <f>'GA55'!A190</f>
        <v>188</v>
      </c>
      <c r="B194" s="231">
        <f>'GA55'!B190</f>
        <v>504091892</v>
      </c>
      <c r="C194" s="305">
        <f>'GA55'!C190</f>
        <v>45779</v>
      </c>
      <c r="D194" s="231">
        <f>'GA55'!D190</f>
        <v>609942</v>
      </c>
      <c r="E194" s="305">
        <f>'GA55'!E190</f>
        <v>45790</v>
      </c>
      <c r="F194" s="231" t="str">
        <f>'GA55'!F190</f>
        <v>2025-2026</v>
      </c>
      <c r="G194" s="309" t="str">
        <f>'GA55'!G190</f>
        <v>Surrender Leave</v>
      </c>
      <c r="H194" s="231">
        <f>'GA55'!Q190</f>
        <v>0</v>
      </c>
    </row>
    <row r="195" spans="1:8" x14ac:dyDescent="0.2">
      <c r="A195" s="231">
        <f>'GA55'!A191</f>
        <v>189</v>
      </c>
      <c r="B195" s="231">
        <f>'GA55'!B191</f>
        <v>0</v>
      </c>
      <c r="C195" s="305">
        <f>'GA55'!C191</f>
        <v>0</v>
      </c>
      <c r="D195" s="231">
        <f>'GA55'!D191</f>
        <v>621685</v>
      </c>
      <c r="E195" s="305">
        <f>'GA55'!E191</f>
        <v>45790</v>
      </c>
      <c r="F195" s="231" t="str">
        <f>'GA55'!F191</f>
        <v>2025-2026</v>
      </c>
      <c r="G195" s="309" t="str">
        <f>'GA55'!G191</f>
        <v>SI Loan</v>
      </c>
      <c r="H195" s="231">
        <f>'GA55'!Q191</f>
        <v>0</v>
      </c>
    </row>
    <row r="196" spans="1:8" x14ac:dyDescent="0.2">
      <c r="A196" s="231">
        <f>'GA55'!A192</f>
        <v>190</v>
      </c>
      <c r="B196" s="231">
        <f>'GA55'!B192</f>
        <v>504355271</v>
      </c>
      <c r="C196" s="305">
        <f>'GA55'!C192</f>
        <v>45807</v>
      </c>
      <c r="D196" s="231">
        <f>'GA55'!D192</f>
        <v>876297</v>
      </c>
      <c r="E196" s="305">
        <f>'GA55'!E192</f>
        <v>45810</v>
      </c>
      <c r="F196" s="231" t="str">
        <f>'GA55'!F192</f>
        <v>2025-2026</v>
      </c>
      <c r="G196" s="309">
        <f>'GA55'!G192</f>
        <v>45778</v>
      </c>
      <c r="H196" s="231">
        <f>'GA55'!Q192</f>
        <v>5000</v>
      </c>
    </row>
    <row r="197" spans="1:8" x14ac:dyDescent="0.2">
      <c r="A197" s="231">
        <f>'GA55'!A193</f>
        <v>191</v>
      </c>
      <c r="B197" s="231">
        <f>'GA55'!B193</f>
        <v>5045755347</v>
      </c>
      <c r="C197" s="305">
        <f>'GA55'!C193</f>
        <v>45834</v>
      </c>
      <c r="D197" s="231">
        <f>'GA55'!D193</f>
        <v>1272439</v>
      </c>
      <c r="E197" s="305">
        <f>'GA55'!E193</f>
        <v>45839</v>
      </c>
      <c r="F197" s="231" t="str">
        <f>'GA55'!F193</f>
        <v>2025-2026</v>
      </c>
      <c r="G197" s="309">
        <f>'GA55'!G193</f>
        <v>45809</v>
      </c>
      <c r="H197" s="231">
        <f>'GA55'!Q193</f>
        <v>5000</v>
      </c>
    </row>
    <row r="198" spans="1:8" x14ac:dyDescent="0.2">
      <c r="A198" s="231">
        <f>'GA55'!A194</f>
        <v>192</v>
      </c>
      <c r="B198" s="231">
        <f>'GA55'!B194</f>
        <v>504886347</v>
      </c>
      <c r="C198" s="305">
        <f>'GA55'!C194</f>
        <v>45867</v>
      </c>
      <c r="D198" s="231">
        <f>'GA55'!D194</f>
        <v>1714317</v>
      </c>
      <c r="E198" s="305">
        <f>'GA55'!E194</f>
        <v>45870</v>
      </c>
      <c r="F198" s="231" t="str">
        <f>'GA55'!F194</f>
        <v>2025-2026</v>
      </c>
      <c r="G198" s="309">
        <f>'GA55'!G194</f>
        <v>45839</v>
      </c>
      <c r="H198" s="231">
        <f>'GA55'!Q194</f>
        <v>5000</v>
      </c>
    </row>
    <row r="199" spans="1:8" x14ac:dyDescent="0.2">
      <c r="A199" s="231">
        <f>'GA55'!A195</f>
        <v>193</v>
      </c>
      <c r="B199" s="231">
        <f>'GA55'!B195</f>
        <v>505211967</v>
      </c>
      <c r="C199" s="305">
        <f>'GA55'!C195</f>
        <v>45896</v>
      </c>
      <c r="D199" s="231">
        <f>'GA55'!D195</f>
        <v>2098977</v>
      </c>
      <c r="E199" s="305">
        <f>'GA55'!E195</f>
        <v>45901</v>
      </c>
      <c r="F199" s="231" t="str">
        <f>'GA55'!F195</f>
        <v>2025-2026</v>
      </c>
      <c r="G199" s="309">
        <f>'GA55'!G195</f>
        <v>45870</v>
      </c>
      <c r="H199" s="231">
        <f>'GA55'!Q195</f>
        <v>0</v>
      </c>
    </row>
    <row r="200" spans="1:8" x14ac:dyDescent="0.2">
      <c r="A200" s="231">
        <f>'GA55'!A196</f>
        <v>194</v>
      </c>
      <c r="B200" s="231">
        <f>'GA55'!B196</f>
        <v>505247296</v>
      </c>
      <c r="C200" s="305">
        <f>'GA55'!C196</f>
        <v>45901</v>
      </c>
      <c r="D200" s="231">
        <f>'GA55'!D196</f>
        <v>2127637</v>
      </c>
      <c r="E200" s="305">
        <f>'GA55'!E196</f>
        <v>45903</v>
      </c>
      <c r="F200" s="231" t="str">
        <f>'GA55'!F196</f>
        <v>2025-2026</v>
      </c>
      <c r="G200" s="309">
        <f>'GA55'!G196</f>
        <v>45870</v>
      </c>
      <c r="H200" s="231">
        <f>'GA55'!Q196</f>
        <v>5000</v>
      </c>
    </row>
    <row r="201" spans="1:8" x14ac:dyDescent="0.2">
      <c r="A201" s="231">
        <f>'GA55'!A197</f>
        <v>195</v>
      </c>
      <c r="B201" s="231">
        <f>'GA55'!B197</f>
        <v>505520412</v>
      </c>
      <c r="C201" s="305">
        <f>'GA55'!C197</f>
        <v>45926</v>
      </c>
      <c r="D201" s="231">
        <f>'GA55'!D197</f>
        <v>2401620</v>
      </c>
      <c r="E201" s="305">
        <f>'GA55'!E197</f>
        <v>45931</v>
      </c>
      <c r="F201" s="231" t="str">
        <f>'GA55'!F197</f>
        <v>2025-2026</v>
      </c>
      <c r="G201" s="309">
        <f>'GA55'!G197</f>
        <v>45901</v>
      </c>
      <c r="H201" s="231">
        <f>'GA55'!Q197</f>
        <v>5000</v>
      </c>
    </row>
    <row r="202" spans="1:8" x14ac:dyDescent="0.2">
      <c r="A202" s="231">
        <f>'GA55'!A198</f>
        <v>196</v>
      </c>
      <c r="B202" s="231">
        <f>'GA55'!B198</f>
        <v>505819111</v>
      </c>
      <c r="C202" s="305">
        <f>'GA55'!C198</f>
        <v>45947</v>
      </c>
      <c r="D202" s="231">
        <f>'GA55'!D198</f>
        <v>2845269</v>
      </c>
      <c r="E202" s="305">
        <f>'GA55'!E198</f>
        <v>45947</v>
      </c>
      <c r="F202" s="231" t="str">
        <f>'GA55'!F198</f>
        <v>2025-2026</v>
      </c>
      <c r="G202" s="309" t="str">
        <f>'GA55'!G198</f>
        <v>Diwali  Bonus</v>
      </c>
      <c r="H202" s="231">
        <f>'GA55'!Q198</f>
        <v>0</v>
      </c>
    </row>
    <row r="203" spans="1:8" x14ac:dyDescent="0.2">
      <c r="A203" s="231">
        <f>'GA55'!A199</f>
        <v>197</v>
      </c>
      <c r="B203" s="231">
        <f>'GA55'!B199</f>
        <v>506009820</v>
      </c>
      <c r="C203" s="305">
        <f>'GA55'!C199</f>
        <v>45957</v>
      </c>
      <c r="D203" s="231">
        <f>'GA55'!D199</f>
        <v>3111361</v>
      </c>
      <c r="E203" s="305">
        <f>'GA55'!E199</f>
        <v>45962</v>
      </c>
      <c r="F203" s="231" t="str">
        <f>'GA55'!F199</f>
        <v>2025-2026</v>
      </c>
      <c r="G203" s="309">
        <f>'GA55'!G199</f>
        <v>45931</v>
      </c>
      <c r="H203" s="231">
        <f>'GA55'!Q199</f>
        <v>5000</v>
      </c>
    </row>
    <row r="204" spans="1:8" x14ac:dyDescent="0.2">
      <c r="A204" s="231">
        <f>'GA55'!A200</f>
        <v>198</v>
      </c>
      <c r="B204" s="231">
        <f>'GA55'!B200</f>
        <v>506428847</v>
      </c>
      <c r="C204" s="305">
        <f>'GA55'!C200</f>
        <v>45988</v>
      </c>
      <c r="D204" s="231">
        <f>'GA55'!D200</f>
        <v>3572197</v>
      </c>
      <c r="E204" s="305">
        <f>'GA55'!E200</f>
        <v>45992</v>
      </c>
      <c r="F204" s="231" t="str">
        <f>'GA55'!F200</f>
        <v>2025-2026</v>
      </c>
      <c r="G204" s="309">
        <f>'GA55'!G200</f>
        <v>45962</v>
      </c>
      <c r="H204" s="231">
        <f>'GA55'!Q200</f>
        <v>5000</v>
      </c>
    </row>
    <row r="205" spans="1:8" x14ac:dyDescent="0.2">
      <c r="A205" s="231">
        <f>'GA55'!A201</f>
        <v>199</v>
      </c>
      <c r="B205" s="231">
        <f>'GA55'!B201</f>
        <v>505837064</v>
      </c>
      <c r="C205" s="305">
        <f>'GA55'!C201</f>
        <v>45951</v>
      </c>
      <c r="D205" s="231">
        <f>'GA55'!D201</f>
        <v>3138059</v>
      </c>
      <c r="E205" s="305">
        <f>'GA55'!E201</f>
        <v>45964</v>
      </c>
      <c r="F205" s="231" t="str">
        <f>'GA55'!F201</f>
        <v>2025-2026</v>
      </c>
      <c r="G205" s="309" t="str">
        <f>'GA55'!G201</f>
        <v>DA Arrer (Jul to Sep 2025) (DA rate 55 to 58%)</v>
      </c>
      <c r="H205" s="231">
        <f>'GA55'!Q201</f>
        <v>0</v>
      </c>
    </row>
    <row r="206" spans="1:8" x14ac:dyDescent="0.2">
      <c r="A206" s="231">
        <f>'GA55'!A202</f>
        <v>200</v>
      </c>
      <c r="B206" s="231">
        <f>'GA55'!B202</f>
        <v>506767167</v>
      </c>
      <c r="C206" s="305">
        <f>'GA55'!C202</f>
        <v>46014</v>
      </c>
      <c r="D206" s="231">
        <f>'GA55'!D202</f>
        <v>3925524</v>
      </c>
      <c r="E206" s="305">
        <f>'GA55'!E202</f>
        <v>46023</v>
      </c>
      <c r="F206" s="231" t="str">
        <f>'GA55'!F202</f>
        <v>2025-2026</v>
      </c>
      <c r="G206" s="309">
        <f>'GA55'!G202</f>
        <v>45992</v>
      </c>
      <c r="H206" s="231">
        <f>'GA55'!Q202</f>
        <v>5000</v>
      </c>
    </row>
    <row r="207" spans="1:8" x14ac:dyDescent="0.2">
      <c r="A207" s="231">
        <f>'GA55'!A203</f>
        <v>201</v>
      </c>
      <c r="B207" s="231">
        <f>'GA55'!B203</f>
        <v>507234109</v>
      </c>
      <c r="C207" s="305">
        <f>'GA55'!C203</f>
        <v>46051</v>
      </c>
      <c r="D207" s="231">
        <f>'GA55'!D203</f>
        <v>4385715</v>
      </c>
      <c r="E207" s="305">
        <f>'GA55'!E203</f>
        <v>46055</v>
      </c>
      <c r="F207" s="231" t="str">
        <f>'GA55'!F203</f>
        <v>2025-2026</v>
      </c>
      <c r="G207" s="309">
        <f>'GA55'!G203</f>
        <v>46023</v>
      </c>
      <c r="H207" s="231">
        <f>'GA55'!Q203</f>
        <v>5000</v>
      </c>
    </row>
    <row r="208" spans="1:8" x14ac:dyDescent="0.2">
      <c r="A208" s="231">
        <f>'GA55'!A204</f>
        <v>202</v>
      </c>
      <c r="B208" s="231">
        <f>'GA55'!B204</f>
        <v>507641976</v>
      </c>
      <c r="C208" s="305">
        <f>'GA55'!C204</f>
        <v>46079</v>
      </c>
      <c r="D208" s="231">
        <f>'GA55'!D204</f>
        <v>4840915</v>
      </c>
      <c r="E208" s="305">
        <f>'GA55'!E204</f>
        <v>46083</v>
      </c>
      <c r="F208" s="231" t="str">
        <f>'GA55'!F204</f>
        <v>2025-2026</v>
      </c>
      <c r="G208" s="309">
        <f>'GA55'!G204</f>
        <v>46054</v>
      </c>
      <c r="H208" s="231">
        <f>'GA55'!Q204</f>
        <v>5000</v>
      </c>
    </row>
    <row r="209" spans="1:8" x14ac:dyDescent="0.2">
      <c r="A209" s="231">
        <f>'GA55'!A205</f>
        <v>0</v>
      </c>
      <c r="B209" s="231">
        <f>'GA55'!B205</f>
        <v>0</v>
      </c>
      <c r="C209" s="305">
        <f>'GA55'!C205</f>
        <v>0</v>
      </c>
      <c r="D209" s="231">
        <f>'GA55'!D205</f>
        <v>0</v>
      </c>
      <c r="E209" s="305">
        <f>'GA55'!E205</f>
        <v>0</v>
      </c>
      <c r="F209" s="231">
        <f>'GA55'!F205</f>
        <v>0</v>
      </c>
      <c r="G209" s="309">
        <f>'GA55'!G205</f>
        <v>0</v>
      </c>
      <c r="H209" s="231">
        <f>'GA55'!Q205</f>
        <v>0</v>
      </c>
    </row>
    <row r="210" spans="1:8" x14ac:dyDescent="0.2">
      <c r="A210" s="231">
        <f>'GA55'!A206</f>
        <v>0</v>
      </c>
      <c r="B210" s="231">
        <f>'GA55'!B206</f>
        <v>0</v>
      </c>
      <c r="C210" s="305">
        <f>'GA55'!C206</f>
        <v>0</v>
      </c>
      <c r="D210" s="231">
        <f>'GA55'!D206</f>
        <v>0</v>
      </c>
      <c r="E210" s="305">
        <f>'GA55'!E206</f>
        <v>0</v>
      </c>
      <c r="F210" s="231">
        <f>'GA55'!F206</f>
        <v>0</v>
      </c>
      <c r="G210" s="309">
        <f>'GA55'!G206</f>
        <v>0</v>
      </c>
      <c r="H210" s="231">
        <f>'GA55'!Q206</f>
        <v>0</v>
      </c>
    </row>
    <row r="211" spans="1:8" x14ac:dyDescent="0.2">
      <c r="A211" s="231">
        <f>'GA55'!A207</f>
        <v>0</v>
      </c>
      <c r="B211" s="231">
        <f>'GA55'!B207</f>
        <v>0</v>
      </c>
      <c r="C211" s="305">
        <f>'GA55'!C207</f>
        <v>0</v>
      </c>
      <c r="D211" s="231">
        <f>'GA55'!D207</f>
        <v>0</v>
      </c>
      <c r="E211" s="305">
        <f>'GA55'!E207</f>
        <v>0</v>
      </c>
      <c r="F211" s="231">
        <f>'GA55'!F207</f>
        <v>0</v>
      </c>
      <c r="G211" s="309">
        <f>'GA55'!G207</f>
        <v>0</v>
      </c>
      <c r="H211" s="231">
        <f>'GA55'!Q207</f>
        <v>0</v>
      </c>
    </row>
    <row r="212" spans="1:8" x14ac:dyDescent="0.2">
      <c r="A212" s="231">
        <f>'GA55'!A208</f>
        <v>0</v>
      </c>
      <c r="B212" s="231">
        <f>'GA55'!B208</f>
        <v>0</v>
      </c>
      <c r="C212" s="305">
        <f>'GA55'!C208</f>
        <v>0</v>
      </c>
      <c r="D212" s="231">
        <f>'GA55'!D208</f>
        <v>0</v>
      </c>
      <c r="E212" s="305">
        <f>'GA55'!E208</f>
        <v>0</v>
      </c>
      <c r="F212" s="231">
        <f>'GA55'!F208</f>
        <v>0</v>
      </c>
      <c r="G212" s="309">
        <f>'GA55'!G208</f>
        <v>0</v>
      </c>
      <c r="H212" s="231">
        <f>'GA55'!Q208</f>
        <v>0</v>
      </c>
    </row>
    <row r="213" spans="1:8" x14ac:dyDescent="0.2">
      <c r="A213" s="231">
        <f>'GA55'!A209</f>
        <v>0</v>
      </c>
      <c r="B213" s="231">
        <f>'GA55'!B209</f>
        <v>0</v>
      </c>
      <c r="C213" s="305">
        <f>'GA55'!C209</f>
        <v>0</v>
      </c>
      <c r="D213" s="231">
        <f>'GA55'!D209</f>
        <v>0</v>
      </c>
      <c r="E213" s="305">
        <f>'GA55'!E209</f>
        <v>0</v>
      </c>
      <c r="F213" s="231">
        <f>'GA55'!F209</f>
        <v>0</v>
      </c>
      <c r="G213" s="309">
        <f>'GA55'!G209</f>
        <v>0</v>
      </c>
      <c r="H213" s="231">
        <f>'GA55'!Q209</f>
        <v>0</v>
      </c>
    </row>
    <row r="214" spans="1:8" x14ac:dyDescent="0.2">
      <c r="A214" s="231">
        <f>'GA55'!A210</f>
        <v>0</v>
      </c>
      <c r="B214" s="231">
        <f>'GA55'!B210</f>
        <v>0</v>
      </c>
      <c r="C214" s="305">
        <f>'GA55'!C210</f>
        <v>0</v>
      </c>
      <c r="D214" s="231">
        <f>'GA55'!D210</f>
        <v>0</v>
      </c>
      <c r="E214" s="305">
        <f>'GA55'!E210</f>
        <v>0</v>
      </c>
      <c r="F214" s="231">
        <f>'GA55'!F210</f>
        <v>0</v>
      </c>
      <c r="G214" s="309">
        <f>'GA55'!G210</f>
        <v>0</v>
      </c>
      <c r="H214" s="231">
        <f>'GA55'!Q210</f>
        <v>0</v>
      </c>
    </row>
    <row r="215" spans="1:8" x14ac:dyDescent="0.2">
      <c r="A215" s="231">
        <f>'GA55'!A211</f>
        <v>0</v>
      </c>
      <c r="B215" s="231">
        <f>'GA55'!B211</f>
        <v>0</v>
      </c>
      <c r="C215" s="305">
        <f>'GA55'!C211</f>
        <v>0</v>
      </c>
      <c r="D215" s="231">
        <f>'GA55'!D211</f>
        <v>0</v>
      </c>
      <c r="E215" s="305">
        <f>'GA55'!E211</f>
        <v>0</v>
      </c>
      <c r="F215" s="231">
        <f>'GA55'!F211</f>
        <v>0</v>
      </c>
      <c r="G215" s="309">
        <f>'GA55'!G211</f>
        <v>0</v>
      </c>
      <c r="H215" s="231">
        <f>'GA55'!Q211</f>
        <v>0</v>
      </c>
    </row>
    <row r="216" spans="1:8" x14ac:dyDescent="0.2">
      <c r="A216" s="231">
        <f>'GA55'!A212</f>
        <v>0</v>
      </c>
      <c r="B216" s="231">
        <f>'GA55'!B212</f>
        <v>0</v>
      </c>
      <c r="C216" s="305">
        <f>'GA55'!C212</f>
        <v>0</v>
      </c>
      <c r="D216" s="231">
        <f>'GA55'!D212</f>
        <v>0</v>
      </c>
      <c r="E216" s="305">
        <f>'GA55'!E212</f>
        <v>0</v>
      </c>
      <c r="F216" s="231">
        <f>'GA55'!F212</f>
        <v>0</v>
      </c>
      <c r="G216" s="309">
        <f>'GA55'!G212</f>
        <v>0</v>
      </c>
      <c r="H216" s="231">
        <f>'GA55'!Q212</f>
        <v>0</v>
      </c>
    </row>
    <row r="217" spans="1:8" x14ac:dyDescent="0.2">
      <c r="A217" s="231">
        <f>'GA55'!A213</f>
        <v>0</v>
      </c>
      <c r="B217" s="231">
        <f>'GA55'!B213</f>
        <v>0</v>
      </c>
      <c r="C217" s="305">
        <f>'GA55'!C213</f>
        <v>0</v>
      </c>
      <c r="D217" s="231">
        <f>'GA55'!D213</f>
        <v>0</v>
      </c>
      <c r="E217" s="305">
        <f>'GA55'!E213</f>
        <v>0</v>
      </c>
      <c r="F217" s="231">
        <f>'GA55'!F213</f>
        <v>0</v>
      </c>
      <c r="G217" s="309">
        <f>'GA55'!G213</f>
        <v>0</v>
      </c>
      <c r="H217" s="231">
        <f>'GA55'!Q213</f>
        <v>0</v>
      </c>
    </row>
    <row r="218" spans="1:8" x14ac:dyDescent="0.2">
      <c r="A218" s="231">
        <f>'GA55'!A214</f>
        <v>0</v>
      </c>
      <c r="B218" s="231">
        <f>'GA55'!B214</f>
        <v>0</v>
      </c>
      <c r="C218" s="305">
        <f>'GA55'!C214</f>
        <v>0</v>
      </c>
      <c r="D218" s="231">
        <f>'GA55'!D214</f>
        <v>0</v>
      </c>
      <c r="E218" s="305">
        <f>'GA55'!E214</f>
        <v>0</v>
      </c>
      <c r="F218" s="231">
        <f>'GA55'!F214</f>
        <v>0</v>
      </c>
      <c r="G218" s="309">
        <f>'GA55'!G214</f>
        <v>0</v>
      </c>
      <c r="H218" s="231">
        <f>'GA55'!Q214</f>
        <v>0</v>
      </c>
    </row>
    <row r="219" spans="1:8" x14ac:dyDescent="0.2">
      <c r="A219" s="231">
        <f>'GA55'!A215</f>
        <v>0</v>
      </c>
      <c r="B219" s="231">
        <f>'GA55'!B215</f>
        <v>0</v>
      </c>
      <c r="C219" s="305">
        <f>'GA55'!C215</f>
        <v>0</v>
      </c>
      <c r="D219" s="231">
        <f>'GA55'!D215</f>
        <v>0</v>
      </c>
      <c r="E219" s="305">
        <f>'GA55'!E215</f>
        <v>0</v>
      </c>
      <c r="F219" s="231">
        <f>'GA55'!F215</f>
        <v>0</v>
      </c>
      <c r="G219" s="309">
        <f>'GA55'!G215</f>
        <v>0</v>
      </c>
      <c r="H219" s="231">
        <f>'GA55'!Q215</f>
        <v>0</v>
      </c>
    </row>
    <row r="220" spans="1:8" x14ac:dyDescent="0.2">
      <c r="A220" s="231">
        <f>'GA55'!A216</f>
        <v>0</v>
      </c>
      <c r="B220" s="231">
        <f>'GA55'!B216</f>
        <v>0</v>
      </c>
      <c r="C220" s="305">
        <f>'GA55'!C216</f>
        <v>0</v>
      </c>
      <c r="D220" s="231">
        <f>'GA55'!D216</f>
        <v>0</v>
      </c>
      <c r="E220" s="305">
        <f>'GA55'!E216</f>
        <v>0</v>
      </c>
      <c r="F220" s="231">
        <f>'GA55'!F216</f>
        <v>0</v>
      </c>
      <c r="G220" s="309">
        <f>'GA55'!G216</f>
        <v>0</v>
      </c>
      <c r="H220" s="231">
        <f>'GA55'!Q216</f>
        <v>0</v>
      </c>
    </row>
    <row r="221" spans="1:8" x14ac:dyDescent="0.2">
      <c r="A221" s="231">
        <f>'GA55'!A217</f>
        <v>0</v>
      </c>
      <c r="B221" s="231">
        <f>'GA55'!B217</f>
        <v>0</v>
      </c>
      <c r="C221" s="305">
        <f>'GA55'!C217</f>
        <v>0</v>
      </c>
      <c r="D221" s="231">
        <f>'GA55'!D217</f>
        <v>0</v>
      </c>
      <c r="E221" s="305">
        <f>'GA55'!E217</f>
        <v>0</v>
      </c>
      <c r="F221" s="231">
        <f>'GA55'!F217</f>
        <v>0</v>
      </c>
      <c r="G221" s="309">
        <f>'GA55'!G217</f>
        <v>0</v>
      </c>
      <c r="H221" s="231">
        <f>'GA55'!Q217</f>
        <v>0</v>
      </c>
    </row>
    <row r="222" spans="1:8" x14ac:dyDescent="0.2">
      <c r="A222" s="231">
        <f>'GA55'!A218</f>
        <v>0</v>
      </c>
      <c r="B222" s="231">
        <f>'GA55'!B218</f>
        <v>0</v>
      </c>
      <c r="C222" s="305">
        <f>'GA55'!C218</f>
        <v>0</v>
      </c>
      <c r="D222" s="231">
        <f>'GA55'!D218</f>
        <v>0</v>
      </c>
      <c r="E222" s="305">
        <f>'GA55'!E218</f>
        <v>0</v>
      </c>
      <c r="F222" s="231">
        <f>'GA55'!F218</f>
        <v>0</v>
      </c>
      <c r="G222" s="309">
        <f>'GA55'!G218</f>
        <v>0</v>
      </c>
      <c r="H222" s="231">
        <f>'GA55'!Q218</f>
        <v>0</v>
      </c>
    </row>
    <row r="223" spans="1:8" x14ac:dyDescent="0.2">
      <c r="A223" s="231">
        <f>'GA55'!A219</f>
        <v>0</v>
      </c>
      <c r="B223" s="231">
        <f>'GA55'!B219</f>
        <v>0</v>
      </c>
      <c r="C223" s="305">
        <f>'GA55'!C219</f>
        <v>0</v>
      </c>
      <c r="D223" s="231">
        <f>'GA55'!D219</f>
        <v>0</v>
      </c>
      <c r="E223" s="305">
        <f>'GA55'!E219</f>
        <v>0</v>
      </c>
      <c r="F223" s="231">
        <f>'GA55'!F219</f>
        <v>0</v>
      </c>
      <c r="G223" s="309">
        <f>'GA55'!G219</f>
        <v>0</v>
      </c>
      <c r="H223" s="231">
        <f>'GA55'!Q219</f>
        <v>0</v>
      </c>
    </row>
    <row r="224" spans="1:8" x14ac:dyDescent="0.2">
      <c r="A224" s="231">
        <f>'GA55'!A220</f>
        <v>0</v>
      </c>
      <c r="B224" s="231">
        <f>'GA55'!B220</f>
        <v>0</v>
      </c>
      <c r="C224" s="305">
        <f>'GA55'!C220</f>
        <v>0</v>
      </c>
      <c r="D224" s="231">
        <f>'GA55'!D220</f>
        <v>0</v>
      </c>
      <c r="E224" s="305">
        <f>'GA55'!E220</f>
        <v>0</v>
      </c>
      <c r="F224" s="231">
        <f>'GA55'!F220</f>
        <v>0</v>
      </c>
      <c r="G224" s="309">
        <f>'GA55'!G220</f>
        <v>0</v>
      </c>
      <c r="H224" s="231">
        <f>'GA55'!Q220</f>
        <v>0</v>
      </c>
    </row>
    <row r="225" spans="1:8" x14ac:dyDescent="0.2">
      <c r="A225" s="231">
        <f>'GA55'!A221</f>
        <v>0</v>
      </c>
      <c r="B225" s="231">
        <f>'GA55'!B221</f>
        <v>0</v>
      </c>
      <c r="C225" s="305">
        <f>'GA55'!C221</f>
        <v>0</v>
      </c>
      <c r="D225" s="231">
        <f>'GA55'!D221</f>
        <v>0</v>
      </c>
      <c r="E225" s="305">
        <f>'GA55'!E221</f>
        <v>0</v>
      </c>
      <c r="F225" s="231">
        <f>'GA55'!F221</f>
        <v>0</v>
      </c>
      <c r="G225" s="309">
        <f>'GA55'!G221</f>
        <v>0</v>
      </c>
      <c r="H225" s="231">
        <f>'GA55'!Q221</f>
        <v>0</v>
      </c>
    </row>
    <row r="226" spans="1:8" x14ac:dyDescent="0.2">
      <c r="A226" s="231">
        <f>'GA55'!A222</f>
        <v>0</v>
      </c>
      <c r="B226" s="231">
        <f>'GA55'!B222</f>
        <v>0</v>
      </c>
      <c r="C226" s="305">
        <f>'GA55'!C222</f>
        <v>0</v>
      </c>
      <c r="D226" s="231">
        <f>'GA55'!D222</f>
        <v>0</v>
      </c>
      <c r="E226" s="305">
        <f>'GA55'!E222</f>
        <v>0</v>
      </c>
      <c r="F226" s="231">
        <f>'GA55'!F222</f>
        <v>0</v>
      </c>
      <c r="G226" s="309">
        <f>'GA55'!G222</f>
        <v>0</v>
      </c>
      <c r="H226" s="231">
        <f>'GA55'!Q222</f>
        <v>0</v>
      </c>
    </row>
    <row r="227" spans="1:8" x14ac:dyDescent="0.2">
      <c r="A227" s="231">
        <f>'GA55'!A223</f>
        <v>0</v>
      </c>
      <c r="B227" s="231">
        <f>'GA55'!B223</f>
        <v>0</v>
      </c>
      <c r="C227" s="305">
        <f>'GA55'!C223</f>
        <v>0</v>
      </c>
      <c r="D227" s="231">
        <f>'GA55'!D223</f>
        <v>0</v>
      </c>
      <c r="E227" s="305">
        <f>'GA55'!E223</f>
        <v>0</v>
      </c>
      <c r="F227" s="231">
        <f>'GA55'!F223</f>
        <v>0</v>
      </c>
      <c r="G227" s="309">
        <f>'GA55'!G223</f>
        <v>0</v>
      </c>
      <c r="H227" s="231">
        <f>'GA55'!Q223</f>
        <v>0</v>
      </c>
    </row>
    <row r="228" spans="1:8" x14ac:dyDescent="0.2">
      <c r="A228" s="231">
        <f>'GA55'!A224</f>
        <v>0</v>
      </c>
      <c r="B228" s="231">
        <f>'GA55'!B224</f>
        <v>0</v>
      </c>
      <c r="C228" s="305">
        <f>'GA55'!C224</f>
        <v>0</v>
      </c>
      <c r="D228" s="231">
        <f>'GA55'!D224</f>
        <v>0</v>
      </c>
      <c r="E228" s="305">
        <f>'GA55'!E224</f>
        <v>0</v>
      </c>
      <c r="F228" s="231">
        <f>'GA55'!F224</f>
        <v>0</v>
      </c>
      <c r="G228" s="309">
        <f>'GA55'!G224</f>
        <v>0</v>
      </c>
      <c r="H228" s="231">
        <f>'GA55'!Q224</f>
        <v>0</v>
      </c>
    </row>
    <row r="229" spans="1:8" x14ac:dyDescent="0.2">
      <c r="A229" s="231">
        <f>'GA55'!A225</f>
        <v>0</v>
      </c>
      <c r="B229" s="231">
        <f>'GA55'!B225</f>
        <v>0</v>
      </c>
      <c r="C229" s="305">
        <f>'GA55'!C225</f>
        <v>0</v>
      </c>
      <c r="D229" s="231">
        <f>'GA55'!D225</f>
        <v>0</v>
      </c>
      <c r="E229" s="305">
        <f>'GA55'!E225</f>
        <v>0</v>
      </c>
      <c r="F229" s="231">
        <f>'GA55'!F225</f>
        <v>0</v>
      </c>
      <c r="G229" s="309">
        <f>'GA55'!G225</f>
        <v>0</v>
      </c>
      <c r="H229" s="231">
        <f>'GA55'!Q225</f>
        <v>0</v>
      </c>
    </row>
    <row r="230" spans="1:8" x14ac:dyDescent="0.2">
      <c r="A230" s="231">
        <f>'GA55'!A226</f>
        <v>0</v>
      </c>
      <c r="B230" s="231">
        <f>'GA55'!B226</f>
        <v>0</v>
      </c>
      <c r="C230" s="305">
        <f>'GA55'!C226</f>
        <v>0</v>
      </c>
      <c r="D230" s="231">
        <f>'GA55'!D226</f>
        <v>0</v>
      </c>
      <c r="E230" s="305">
        <f>'GA55'!E226</f>
        <v>0</v>
      </c>
      <c r="F230" s="231">
        <f>'GA55'!F226</f>
        <v>0</v>
      </c>
      <c r="G230" s="309">
        <f>'GA55'!G226</f>
        <v>0</v>
      </c>
      <c r="H230" s="231">
        <f>'GA55'!Q226</f>
        <v>0</v>
      </c>
    </row>
    <row r="231" spans="1:8" x14ac:dyDescent="0.2">
      <c r="A231" s="231">
        <f>'GA55'!A227</f>
        <v>0</v>
      </c>
      <c r="B231" s="231">
        <f>'GA55'!B227</f>
        <v>0</v>
      </c>
      <c r="C231" s="305">
        <f>'GA55'!C227</f>
        <v>0</v>
      </c>
      <c r="D231" s="231">
        <f>'GA55'!D227</f>
        <v>0</v>
      </c>
      <c r="E231" s="305">
        <f>'GA55'!E227</f>
        <v>0</v>
      </c>
      <c r="F231" s="231">
        <f>'GA55'!F227</f>
        <v>0</v>
      </c>
      <c r="G231" s="309">
        <f>'GA55'!G227</f>
        <v>0</v>
      </c>
      <c r="H231" s="231">
        <f>'GA55'!Q227</f>
        <v>0</v>
      </c>
    </row>
    <row r="232" spans="1:8" x14ac:dyDescent="0.2">
      <c r="A232" s="231">
        <f>'GA55'!A228</f>
        <v>0</v>
      </c>
      <c r="B232" s="231">
        <f>'GA55'!B228</f>
        <v>0</v>
      </c>
      <c r="C232" s="305">
        <f>'GA55'!C228</f>
        <v>0</v>
      </c>
      <c r="D232" s="231">
        <f>'GA55'!D228</f>
        <v>0</v>
      </c>
      <c r="E232" s="305">
        <f>'GA55'!E228</f>
        <v>0</v>
      </c>
      <c r="F232" s="231">
        <f>'GA55'!F228</f>
        <v>0</v>
      </c>
      <c r="G232" s="309">
        <f>'GA55'!G228</f>
        <v>0</v>
      </c>
      <c r="H232" s="231">
        <f>'GA55'!Q228</f>
        <v>0</v>
      </c>
    </row>
    <row r="233" spans="1:8" x14ac:dyDescent="0.2">
      <c r="A233" s="231">
        <f>'GA55'!A229</f>
        <v>0</v>
      </c>
      <c r="B233" s="231">
        <f>'GA55'!B229</f>
        <v>0</v>
      </c>
      <c r="C233" s="305">
        <f>'GA55'!C229</f>
        <v>0</v>
      </c>
      <c r="D233" s="231">
        <f>'GA55'!D229</f>
        <v>0</v>
      </c>
      <c r="E233" s="305">
        <f>'GA55'!E229</f>
        <v>0</v>
      </c>
      <c r="F233" s="231">
        <f>'GA55'!F229</f>
        <v>0</v>
      </c>
      <c r="G233" s="309">
        <f>'GA55'!G229</f>
        <v>0</v>
      </c>
      <c r="H233" s="231">
        <f>'GA55'!Q229</f>
        <v>0</v>
      </c>
    </row>
    <row r="234" spans="1:8" x14ac:dyDescent="0.2">
      <c r="A234" s="231">
        <f>'GA55'!A230</f>
        <v>0</v>
      </c>
      <c r="B234" s="231">
        <f>'GA55'!B230</f>
        <v>0</v>
      </c>
      <c r="C234" s="305">
        <f>'GA55'!C230</f>
        <v>0</v>
      </c>
      <c r="D234" s="231">
        <f>'GA55'!D230</f>
        <v>0</v>
      </c>
      <c r="E234" s="305">
        <f>'GA55'!E230</f>
        <v>0</v>
      </c>
      <c r="F234" s="231">
        <f>'GA55'!F230</f>
        <v>0</v>
      </c>
      <c r="G234" s="309">
        <f>'GA55'!G230</f>
        <v>0</v>
      </c>
      <c r="H234" s="231">
        <f>'GA55'!Q230</f>
        <v>0</v>
      </c>
    </row>
    <row r="235" spans="1:8" x14ac:dyDescent="0.2">
      <c r="A235" s="231">
        <f>'GA55'!A231</f>
        <v>0</v>
      </c>
      <c r="B235" s="231">
        <f>'GA55'!B231</f>
        <v>0</v>
      </c>
      <c r="C235" s="305">
        <f>'GA55'!C231</f>
        <v>0</v>
      </c>
      <c r="D235" s="231">
        <f>'GA55'!D231</f>
        <v>0</v>
      </c>
      <c r="E235" s="305">
        <f>'GA55'!E231</f>
        <v>0</v>
      </c>
      <c r="F235" s="231">
        <f>'GA55'!F231</f>
        <v>0</v>
      </c>
      <c r="G235" s="309">
        <f>'GA55'!G231</f>
        <v>0</v>
      </c>
      <c r="H235" s="231">
        <f>'GA55'!Q231</f>
        <v>0</v>
      </c>
    </row>
    <row r="236" spans="1:8" x14ac:dyDescent="0.2">
      <c r="A236" s="231">
        <f>'GA55'!A232</f>
        <v>0</v>
      </c>
      <c r="B236" s="231">
        <f>'GA55'!B232</f>
        <v>0</v>
      </c>
      <c r="C236" s="305">
        <f>'GA55'!C232</f>
        <v>0</v>
      </c>
      <c r="D236" s="231">
        <f>'GA55'!D232</f>
        <v>0</v>
      </c>
      <c r="E236" s="305">
        <f>'GA55'!E232</f>
        <v>0</v>
      </c>
      <c r="F236" s="231">
        <f>'GA55'!F232</f>
        <v>0</v>
      </c>
      <c r="G236" s="309">
        <f>'GA55'!G232</f>
        <v>0</v>
      </c>
      <c r="H236" s="231">
        <f>'GA55'!Q232</f>
        <v>0</v>
      </c>
    </row>
    <row r="237" spans="1:8" x14ac:dyDescent="0.2">
      <c r="A237" s="231">
        <f>'GA55'!A233</f>
        <v>0</v>
      </c>
      <c r="B237" s="231">
        <f>'GA55'!B233</f>
        <v>0</v>
      </c>
      <c r="C237" s="305">
        <f>'GA55'!C233</f>
        <v>0</v>
      </c>
      <c r="D237" s="231">
        <f>'GA55'!D233</f>
        <v>0</v>
      </c>
      <c r="E237" s="305">
        <f>'GA55'!E233</f>
        <v>0</v>
      </c>
      <c r="F237" s="231">
        <f>'GA55'!F233</f>
        <v>0</v>
      </c>
      <c r="G237" s="309">
        <f>'GA55'!G233</f>
        <v>0</v>
      </c>
      <c r="H237" s="231">
        <f>'GA55'!Q233</f>
        <v>0</v>
      </c>
    </row>
    <row r="238" spans="1:8" x14ac:dyDescent="0.2">
      <c r="A238" s="231">
        <f>'GA55'!A234</f>
        <v>0</v>
      </c>
      <c r="B238" s="231">
        <f>'GA55'!B234</f>
        <v>0</v>
      </c>
      <c r="C238" s="305">
        <f>'GA55'!C234</f>
        <v>0</v>
      </c>
      <c r="D238" s="231">
        <f>'GA55'!D234</f>
        <v>0</v>
      </c>
      <c r="E238" s="305">
        <f>'GA55'!E234</f>
        <v>0</v>
      </c>
      <c r="F238" s="231">
        <f>'GA55'!F234</f>
        <v>0</v>
      </c>
      <c r="G238" s="309">
        <f>'GA55'!G234</f>
        <v>0</v>
      </c>
      <c r="H238" s="231">
        <f>'GA55'!Q234</f>
        <v>0</v>
      </c>
    </row>
    <row r="239" spans="1:8" x14ac:dyDescent="0.2">
      <c r="A239" s="231">
        <f>'GA55'!A235</f>
        <v>0</v>
      </c>
      <c r="B239" s="231">
        <f>'GA55'!B235</f>
        <v>0</v>
      </c>
      <c r="C239" s="305">
        <f>'GA55'!C235</f>
        <v>0</v>
      </c>
      <c r="D239" s="231">
        <f>'GA55'!D235</f>
        <v>0</v>
      </c>
      <c r="E239" s="305">
        <f>'GA55'!E235</f>
        <v>0</v>
      </c>
      <c r="F239" s="231">
        <f>'GA55'!F235</f>
        <v>0</v>
      </c>
      <c r="G239" s="309">
        <f>'GA55'!G235</f>
        <v>0</v>
      </c>
      <c r="H239" s="231">
        <f>'GA55'!Q235</f>
        <v>0</v>
      </c>
    </row>
    <row r="240" spans="1:8" x14ac:dyDescent="0.2">
      <c r="A240" s="231">
        <f>'GA55'!A236</f>
        <v>0</v>
      </c>
      <c r="B240" s="231">
        <f>'GA55'!B236</f>
        <v>0</v>
      </c>
      <c r="C240" s="305">
        <f>'GA55'!C236</f>
        <v>0</v>
      </c>
      <c r="D240" s="231">
        <f>'GA55'!D236</f>
        <v>0</v>
      </c>
      <c r="E240" s="305">
        <f>'GA55'!E236</f>
        <v>0</v>
      </c>
      <c r="F240" s="231">
        <f>'GA55'!F236</f>
        <v>0</v>
      </c>
      <c r="G240" s="309">
        <f>'GA55'!G236</f>
        <v>0</v>
      </c>
      <c r="H240" s="231">
        <f>'GA55'!Q236</f>
        <v>0</v>
      </c>
    </row>
    <row r="241" spans="1:8" x14ac:dyDescent="0.2">
      <c r="A241" s="231">
        <f>'GA55'!A237</f>
        <v>0</v>
      </c>
      <c r="B241" s="231">
        <f>'GA55'!B237</f>
        <v>0</v>
      </c>
      <c r="C241" s="305">
        <f>'GA55'!C237</f>
        <v>0</v>
      </c>
      <c r="D241" s="231">
        <f>'GA55'!D237</f>
        <v>0</v>
      </c>
      <c r="E241" s="305">
        <f>'GA55'!E237</f>
        <v>0</v>
      </c>
      <c r="F241" s="231">
        <f>'GA55'!F237</f>
        <v>0</v>
      </c>
      <c r="G241" s="309">
        <f>'GA55'!G237</f>
        <v>0</v>
      </c>
      <c r="H241" s="231">
        <f>'GA55'!Q237</f>
        <v>0</v>
      </c>
    </row>
    <row r="242" spans="1:8" x14ac:dyDescent="0.2">
      <c r="A242" s="231">
        <f>'GA55'!A238</f>
        <v>0</v>
      </c>
      <c r="B242" s="231">
        <f>'GA55'!B238</f>
        <v>0</v>
      </c>
      <c r="C242" s="305">
        <f>'GA55'!C238</f>
        <v>0</v>
      </c>
      <c r="D242" s="231">
        <f>'GA55'!D238</f>
        <v>0</v>
      </c>
      <c r="E242" s="305">
        <f>'GA55'!E238</f>
        <v>0</v>
      </c>
      <c r="F242" s="231">
        <f>'GA55'!F238</f>
        <v>0</v>
      </c>
      <c r="G242" s="309">
        <f>'GA55'!G238</f>
        <v>0</v>
      </c>
      <c r="H242" s="231">
        <f>'GA55'!Q238</f>
        <v>0</v>
      </c>
    </row>
    <row r="243" spans="1:8" x14ac:dyDescent="0.2">
      <c r="A243" s="231">
        <f>'GA55'!A239</f>
        <v>0</v>
      </c>
      <c r="B243" s="231">
        <f>'GA55'!B239</f>
        <v>0</v>
      </c>
      <c r="C243" s="305">
        <f>'GA55'!C239</f>
        <v>0</v>
      </c>
      <c r="D243" s="231">
        <f>'GA55'!D239</f>
        <v>0</v>
      </c>
      <c r="E243" s="305">
        <f>'GA55'!E239</f>
        <v>0</v>
      </c>
      <c r="F243" s="231">
        <f>'GA55'!F239</f>
        <v>0</v>
      </c>
      <c r="G243" s="309">
        <f>'GA55'!G239</f>
        <v>0</v>
      </c>
      <c r="H243" s="231">
        <f>'GA55'!Q239</f>
        <v>0</v>
      </c>
    </row>
    <row r="244" spans="1:8" x14ac:dyDescent="0.2">
      <c r="A244" s="231">
        <f>'GA55'!A240</f>
        <v>0</v>
      </c>
      <c r="B244" s="231">
        <f>'GA55'!B240</f>
        <v>0</v>
      </c>
      <c r="C244" s="305">
        <f>'GA55'!C240</f>
        <v>0</v>
      </c>
      <c r="D244" s="231">
        <f>'GA55'!D240</f>
        <v>0</v>
      </c>
      <c r="E244" s="305">
        <f>'GA55'!E240</f>
        <v>0</v>
      </c>
      <c r="F244" s="231">
        <f>'GA55'!F240</f>
        <v>0</v>
      </c>
      <c r="G244" s="309">
        <f>'GA55'!G240</f>
        <v>0</v>
      </c>
      <c r="H244" s="231">
        <f>'GA55'!Q240</f>
        <v>0</v>
      </c>
    </row>
    <row r="245" spans="1:8" x14ac:dyDescent="0.2">
      <c r="A245" s="231">
        <f>'GA55'!A241</f>
        <v>0</v>
      </c>
      <c r="B245" s="231">
        <f>'GA55'!B241</f>
        <v>0</v>
      </c>
      <c r="C245" s="305">
        <f>'GA55'!C241</f>
        <v>0</v>
      </c>
      <c r="D245" s="231">
        <f>'GA55'!D241</f>
        <v>0</v>
      </c>
      <c r="E245" s="305">
        <f>'GA55'!E241</f>
        <v>0</v>
      </c>
      <c r="F245" s="231">
        <f>'GA55'!F241</f>
        <v>0</v>
      </c>
      <c r="G245" s="309">
        <f>'GA55'!G241</f>
        <v>0</v>
      </c>
      <c r="H245" s="231">
        <f>'GA55'!Q241</f>
        <v>0</v>
      </c>
    </row>
    <row r="246" spans="1:8" x14ac:dyDescent="0.2">
      <c r="A246" s="231">
        <f>'GA55'!A242</f>
        <v>0</v>
      </c>
      <c r="B246" s="231">
        <f>'GA55'!B242</f>
        <v>0</v>
      </c>
      <c r="C246" s="305">
        <f>'GA55'!C242</f>
        <v>0</v>
      </c>
      <c r="D246" s="231">
        <f>'GA55'!D242</f>
        <v>0</v>
      </c>
      <c r="E246" s="305">
        <f>'GA55'!E242</f>
        <v>0</v>
      </c>
      <c r="F246" s="231">
        <f>'GA55'!F242</f>
        <v>0</v>
      </c>
      <c r="G246" s="309">
        <f>'GA55'!G242</f>
        <v>0</v>
      </c>
      <c r="H246" s="231">
        <f>'GA55'!Q242</f>
        <v>0</v>
      </c>
    </row>
    <row r="247" spans="1:8" x14ac:dyDescent="0.2">
      <c r="A247" s="231">
        <f>'GA55'!A243</f>
        <v>0</v>
      </c>
      <c r="B247" s="231">
        <f>'GA55'!B243</f>
        <v>0</v>
      </c>
      <c r="C247" s="305">
        <f>'GA55'!C243</f>
        <v>0</v>
      </c>
      <c r="D247" s="231">
        <f>'GA55'!D243</f>
        <v>0</v>
      </c>
      <c r="E247" s="305">
        <f>'GA55'!E243</f>
        <v>0</v>
      </c>
      <c r="F247" s="231">
        <f>'GA55'!F243</f>
        <v>0</v>
      </c>
      <c r="G247" s="309">
        <f>'GA55'!G243</f>
        <v>0</v>
      </c>
      <c r="H247" s="231">
        <f>'GA55'!Q243</f>
        <v>0</v>
      </c>
    </row>
    <row r="248" spans="1:8" x14ac:dyDescent="0.2">
      <c r="A248" s="231">
        <f>'GA55'!A244</f>
        <v>0</v>
      </c>
      <c r="B248" s="231">
        <f>'GA55'!B244</f>
        <v>0</v>
      </c>
      <c r="C248" s="305">
        <f>'GA55'!C244</f>
        <v>0</v>
      </c>
      <c r="D248" s="231">
        <f>'GA55'!D244</f>
        <v>0</v>
      </c>
      <c r="E248" s="305">
        <f>'GA55'!E244</f>
        <v>0</v>
      </c>
      <c r="F248" s="231">
        <f>'GA55'!F244</f>
        <v>0</v>
      </c>
      <c r="G248" s="309">
        <f>'GA55'!G244</f>
        <v>0</v>
      </c>
      <c r="H248" s="231">
        <f>'GA55'!Q244</f>
        <v>0</v>
      </c>
    </row>
    <row r="249" spans="1:8" x14ac:dyDescent="0.2">
      <c r="A249" s="231">
        <f>'GA55'!A245</f>
        <v>0</v>
      </c>
      <c r="B249" s="231">
        <f>'GA55'!B245</f>
        <v>0</v>
      </c>
      <c r="C249" s="305">
        <f>'GA55'!C245</f>
        <v>0</v>
      </c>
      <c r="D249" s="231">
        <f>'GA55'!D245</f>
        <v>0</v>
      </c>
      <c r="E249" s="305">
        <f>'GA55'!E245</f>
        <v>0</v>
      </c>
      <c r="F249" s="231">
        <f>'GA55'!F245</f>
        <v>0</v>
      </c>
      <c r="G249" s="309">
        <f>'GA55'!G245</f>
        <v>0</v>
      </c>
      <c r="H249" s="231">
        <f>'GA55'!Q245</f>
        <v>0</v>
      </c>
    </row>
    <row r="250" spans="1:8" x14ac:dyDescent="0.2">
      <c r="A250" s="231">
        <f>'GA55'!A246</f>
        <v>0</v>
      </c>
      <c r="B250" s="231">
        <f>'GA55'!B246</f>
        <v>0</v>
      </c>
      <c r="C250" s="305">
        <f>'GA55'!C246</f>
        <v>0</v>
      </c>
      <c r="D250" s="231">
        <f>'GA55'!D246</f>
        <v>0</v>
      </c>
      <c r="E250" s="305">
        <f>'GA55'!E246</f>
        <v>0</v>
      </c>
      <c r="F250" s="231">
        <f>'GA55'!F246</f>
        <v>0</v>
      </c>
      <c r="G250" s="309">
        <f>'GA55'!G246</f>
        <v>0</v>
      </c>
      <c r="H250" s="231">
        <f>'GA55'!Q246</f>
        <v>0</v>
      </c>
    </row>
    <row r="251" spans="1:8" x14ac:dyDescent="0.2">
      <c r="A251" s="231">
        <f>'GA55'!A247</f>
        <v>0</v>
      </c>
      <c r="B251" s="231">
        <f>'GA55'!B247</f>
        <v>0</v>
      </c>
      <c r="C251" s="305">
        <f>'GA55'!C247</f>
        <v>0</v>
      </c>
      <c r="D251" s="231">
        <f>'GA55'!D247</f>
        <v>0</v>
      </c>
      <c r="E251" s="305">
        <f>'GA55'!E247</f>
        <v>0</v>
      </c>
      <c r="F251" s="231">
        <f>'GA55'!F247</f>
        <v>0</v>
      </c>
      <c r="G251" s="309">
        <f>'GA55'!G247</f>
        <v>0</v>
      </c>
      <c r="H251" s="231">
        <f>'GA55'!Q247</f>
        <v>0</v>
      </c>
    </row>
    <row r="252" spans="1:8" x14ac:dyDescent="0.2">
      <c r="A252" s="231">
        <f>'GA55'!A248</f>
        <v>0</v>
      </c>
      <c r="B252" s="231">
        <f>'GA55'!B248</f>
        <v>0</v>
      </c>
      <c r="C252" s="305">
        <f>'GA55'!C248</f>
        <v>0</v>
      </c>
      <c r="D252" s="231">
        <f>'GA55'!D248</f>
        <v>0</v>
      </c>
      <c r="E252" s="305">
        <f>'GA55'!E248</f>
        <v>0</v>
      </c>
      <c r="F252" s="231">
        <f>'GA55'!F248</f>
        <v>0</v>
      </c>
      <c r="G252" s="309">
        <f>'GA55'!G248</f>
        <v>0</v>
      </c>
      <c r="H252" s="231">
        <f>'GA55'!Q248</f>
        <v>0</v>
      </c>
    </row>
    <row r="253" spans="1:8" x14ac:dyDescent="0.2">
      <c r="A253" s="231">
        <f>'GA55'!A249</f>
        <v>0</v>
      </c>
      <c r="B253" s="231">
        <f>'GA55'!B249</f>
        <v>0</v>
      </c>
      <c r="C253" s="305">
        <f>'GA55'!C249</f>
        <v>0</v>
      </c>
      <c r="D253" s="231">
        <f>'GA55'!D249</f>
        <v>0</v>
      </c>
      <c r="E253" s="305">
        <f>'GA55'!E249</f>
        <v>0</v>
      </c>
      <c r="F253" s="231">
        <f>'GA55'!F249</f>
        <v>0</v>
      </c>
      <c r="G253" s="309">
        <f>'GA55'!G249</f>
        <v>0</v>
      </c>
      <c r="H253" s="231">
        <f>'GA55'!Q249</f>
        <v>0</v>
      </c>
    </row>
    <row r="254" spans="1:8" x14ac:dyDescent="0.2">
      <c r="A254" s="231">
        <f>'GA55'!A250</f>
        <v>0</v>
      </c>
      <c r="B254" s="231">
        <f>'GA55'!B250</f>
        <v>0</v>
      </c>
      <c r="C254" s="305">
        <f>'GA55'!C250</f>
        <v>0</v>
      </c>
      <c r="D254" s="231">
        <f>'GA55'!D250</f>
        <v>0</v>
      </c>
      <c r="E254" s="305">
        <f>'GA55'!E250</f>
        <v>0</v>
      </c>
      <c r="F254" s="231">
        <f>'GA55'!F250</f>
        <v>0</v>
      </c>
      <c r="G254" s="309">
        <f>'GA55'!G250</f>
        <v>0</v>
      </c>
      <c r="H254" s="231">
        <f>'GA55'!Q250</f>
        <v>0</v>
      </c>
    </row>
    <row r="255" spans="1:8" x14ac:dyDescent="0.2">
      <c r="A255" s="231">
        <f>'GA55'!A251</f>
        <v>0</v>
      </c>
      <c r="B255" s="231">
        <f>'GA55'!B251</f>
        <v>0</v>
      </c>
      <c r="C255" s="305">
        <f>'GA55'!C251</f>
        <v>0</v>
      </c>
      <c r="D255" s="231">
        <f>'GA55'!D251</f>
        <v>0</v>
      </c>
      <c r="E255" s="305">
        <f>'GA55'!E251</f>
        <v>0</v>
      </c>
      <c r="F255" s="231">
        <f>'GA55'!F251</f>
        <v>0</v>
      </c>
      <c r="G255" s="309">
        <f>'GA55'!G251</f>
        <v>0</v>
      </c>
      <c r="H255" s="231">
        <f>'GA55'!Q251</f>
        <v>0</v>
      </c>
    </row>
    <row r="256" spans="1:8" x14ac:dyDescent="0.2">
      <c r="A256" s="231">
        <f>'GA55'!A252</f>
        <v>0</v>
      </c>
      <c r="B256" s="231">
        <f>'GA55'!B252</f>
        <v>0</v>
      </c>
      <c r="C256" s="305">
        <f>'GA55'!C252</f>
        <v>0</v>
      </c>
      <c r="D256" s="231">
        <f>'GA55'!D252</f>
        <v>0</v>
      </c>
      <c r="E256" s="305">
        <f>'GA55'!E252</f>
        <v>0</v>
      </c>
      <c r="F256" s="231">
        <f>'GA55'!F252</f>
        <v>0</v>
      </c>
      <c r="G256" s="309">
        <f>'GA55'!G252</f>
        <v>0</v>
      </c>
      <c r="H256" s="231">
        <f>'GA55'!Q252</f>
        <v>0</v>
      </c>
    </row>
    <row r="257" spans="1:8" x14ac:dyDescent="0.2">
      <c r="A257" s="231">
        <f>'GA55'!A253</f>
        <v>0</v>
      </c>
      <c r="B257" s="231">
        <f>'GA55'!B253</f>
        <v>0</v>
      </c>
      <c r="C257" s="305">
        <f>'GA55'!C253</f>
        <v>0</v>
      </c>
      <c r="D257" s="231">
        <f>'GA55'!D253</f>
        <v>0</v>
      </c>
      <c r="E257" s="305">
        <f>'GA55'!E253</f>
        <v>0</v>
      </c>
      <c r="F257" s="231">
        <f>'GA55'!F253</f>
        <v>0</v>
      </c>
      <c r="G257" s="309">
        <f>'GA55'!G253</f>
        <v>0</v>
      </c>
      <c r="H257" s="231">
        <f>'GA55'!Q253</f>
        <v>0</v>
      </c>
    </row>
    <row r="258" spans="1:8" x14ac:dyDescent="0.2">
      <c r="A258" s="231">
        <f>'GA55'!A254</f>
        <v>0</v>
      </c>
      <c r="B258" s="231">
        <f>'GA55'!B254</f>
        <v>0</v>
      </c>
      <c r="C258" s="305">
        <f>'GA55'!C254</f>
        <v>0</v>
      </c>
      <c r="D258" s="231">
        <f>'GA55'!D254</f>
        <v>0</v>
      </c>
      <c r="E258" s="305">
        <f>'GA55'!E254</f>
        <v>0</v>
      </c>
      <c r="F258" s="231">
        <f>'GA55'!F254</f>
        <v>0</v>
      </c>
      <c r="G258" s="309">
        <f>'GA55'!G254</f>
        <v>0</v>
      </c>
      <c r="H258" s="231">
        <f>'GA55'!Q254</f>
        <v>0</v>
      </c>
    </row>
    <row r="259" spans="1:8" x14ac:dyDescent="0.2">
      <c r="A259" s="231">
        <f>'GA55'!A255</f>
        <v>0</v>
      </c>
      <c r="B259" s="231">
        <f>'GA55'!B255</f>
        <v>0</v>
      </c>
      <c r="C259" s="305">
        <f>'GA55'!C255</f>
        <v>0</v>
      </c>
      <c r="D259" s="231">
        <f>'GA55'!D255</f>
        <v>0</v>
      </c>
      <c r="E259" s="305">
        <f>'GA55'!E255</f>
        <v>0</v>
      </c>
      <c r="F259" s="231">
        <f>'GA55'!F255</f>
        <v>0</v>
      </c>
      <c r="G259" s="309">
        <f>'GA55'!G255</f>
        <v>0</v>
      </c>
      <c r="H259" s="231">
        <f>'GA55'!Q255</f>
        <v>0</v>
      </c>
    </row>
    <row r="260" spans="1:8" x14ac:dyDescent="0.2">
      <c r="A260" s="231">
        <f>'GA55'!A256</f>
        <v>0</v>
      </c>
      <c r="B260" s="231">
        <f>'GA55'!B256</f>
        <v>0</v>
      </c>
      <c r="C260" s="305">
        <f>'GA55'!C256</f>
        <v>0</v>
      </c>
      <c r="D260" s="231">
        <f>'GA55'!D256</f>
        <v>0</v>
      </c>
      <c r="E260" s="305">
        <f>'GA55'!E256</f>
        <v>0</v>
      </c>
      <c r="F260" s="231">
        <f>'GA55'!F256</f>
        <v>0</v>
      </c>
      <c r="G260" s="309">
        <f>'GA55'!G256</f>
        <v>0</v>
      </c>
      <c r="H260" s="231">
        <f>'GA55'!Q256</f>
        <v>0</v>
      </c>
    </row>
    <row r="261" spans="1:8" x14ac:dyDescent="0.2">
      <c r="A261" s="231">
        <f>'GA55'!A257</f>
        <v>0</v>
      </c>
      <c r="B261" s="231">
        <f>'GA55'!B257</f>
        <v>0</v>
      </c>
      <c r="C261" s="305">
        <f>'GA55'!C257</f>
        <v>0</v>
      </c>
      <c r="D261" s="231">
        <f>'GA55'!D257</f>
        <v>0</v>
      </c>
      <c r="E261" s="305">
        <f>'GA55'!E257</f>
        <v>0</v>
      </c>
      <c r="F261" s="231">
        <f>'GA55'!F257</f>
        <v>0</v>
      </c>
      <c r="G261" s="309">
        <f>'GA55'!G257</f>
        <v>0</v>
      </c>
      <c r="H261" s="231">
        <f>'GA55'!Q257</f>
        <v>0</v>
      </c>
    </row>
    <row r="262" spans="1:8" x14ac:dyDescent="0.2">
      <c r="A262" s="231">
        <f>'GA55'!A258</f>
        <v>0</v>
      </c>
      <c r="B262" s="231">
        <f>'GA55'!B258</f>
        <v>0</v>
      </c>
      <c r="C262" s="305">
        <f>'GA55'!C258</f>
        <v>0</v>
      </c>
      <c r="D262" s="231">
        <f>'GA55'!D258</f>
        <v>0</v>
      </c>
      <c r="E262" s="305">
        <f>'GA55'!E258</f>
        <v>0</v>
      </c>
      <c r="F262" s="231">
        <f>'GA55'!F258</f>
        <v>0</v>
      </c>
      <c r="G262" s="309">
        <f>'GA55'!G258</f>
        <v>0</v>
      </c>
      <c r="H262" s="231">
        <f>'GA55'!Q258</f>
        <v>0</v>
      </c>
    </row>
    <row r="263" spans="1:8" x14ac:dyDescent="0.2">
      <c r="A263" s="231">
        <f>'GA55'!A259</f>
        <v>0</v>
      </c>
      <c r="B263" s="231">
        <f>'GA55'!B259</f>
        <v>0</v>
      </c>
      <c r="C263" s="305">
        <f>'GA55'!C259</f>
        <v>0</v>
      </c>
      <c r="D263" s="231">
        <f>'GA55'!D259</f>
        <v>0</v>
      </c>
      <c r="E263" s="305">
        <f>'GA55'!E259</f>
        <v>0</v>
      </c>
      <c r="F263" s="231">
        <f>'GA55'!F259</f>
        <v>0</v>
      </c>
      <c r="G263" s="309">
        <f>'GA55'!G259</f>
        <v>0</v>
      </c>
      <c r="H263" s="231">
        <f>'GA55'!Q259</f>
        <v>0</v>
      </c>
    </row>
    <row r="264" spans="1:8" x14ac:dyDescent="0.2">
      <c r="A264" s="231">
        <f>'GA55'!A260</f>
        <v>0</v>
      </c>
      <c r="B264" s="231">
        <f>'GA55'!B260</f>
        <v>0</v>
      </c>
      <c r="C264" s="305">
        <f>'GA55'!C260</f>
        <v>0</v>
      </c>
      <c r="D264" s="231">
        <f>'GA55'!D260</f>
        <v>0</v>
      </c>
      <c r="E264" s="305">
        <f>'GA55'!E260</f>
        <v>0</v>
      </c>
      <c r="F264" s="231">
        <f>'GA55'!F260</f>
        <v>0</v>
      </c>
      <c r="G264" s="309">
        <f>'GA55'!G260</f>
        <v>0</v>
      </c>
      <c r="H264" s="231">
        <f>'GA55'!Q260</f>
        <v>0</v>
      </c>
    </row>
    <row r="265" spans="1:8" x14ac:dyDescent="0.2">
      <c r="A265" s="231">
        <f>'GA55'!A261</f>
        <v>0</v>
      </c>
      <c r="B265" s="231">
        <f>'GA55'!B261</f>
        <v>0</v>
      </c>
      <c r="C265" s="305">
        <f>'GA55'!C261</f>
        <v>0</v>
      </c>
      <c r="D265" s="231">
        <f>'GA55'!D261</f>
        <v>0</v>
      </c>
      <c r="E265" s="305">
        <f>'GA55'!E261</f>
        <v>0</v>
      </c>
      <c r="F265" s="231">
        <f>'GA55'!F261</f>
        <v>0</v>
      </c>
      <c r="G265" s="309">
        <f>'GA55'!G261</f>
        <v>0</v>
      </c>
      <c r="H265" s="231">
        <f>'GA55'!Q261</f>
        <v>0</v>
      </c>
    </row>
    <row r="266" spans="1:8" x14ac:dyDescent="0.2">
      <c r="A266" s="231">
        <f>'GA55'!A262</f>
        <v>0</v>
      </c>
      <c r="B266" s="231">
        <f>'GA55'!B262</f>
        <v>0</v>
      </c>
      <c r="C266" s="305">
        <f>'GA55'!C262</f>
        <v>0</v>
      </c>
      <c r="D266" s="231">
        <f>'GA55'!D262</f>
        <v>0</v>
      </c>
      <c r="E266" s="305">
        <f>'GA55'!E262</f>
        <v>0</v>
      </c>
      <c r="F266" s="231">
        <f>'GA55'!F262</f>
        <v>0</v>
      </c>
      <c r="G266" s="309">
        <f>'GA55'!G262</f>
        <v>0</v>
      </c>
      <c r="H266" s="231">
        <f>'GA55'!Q262</f>
        <v>0</v>
      </c>
    </row>
    <row r="267" spans="1:8" x14ac:dyDescent="0.2">
      <c r="A267" s="231">
        <f>'GA55'!A263</f>
        <v>0</v>
      </c>
      <c r="B267" s="231">
        <f>'GA55'!B263</f>
        <v>0</v>
      </c>
      <c r="C267" s="305">
        <f>'GA55'!C263</f>
        <v>0</v>
      </c>
      <c r="D267" s="231">
        <f>'GA55'!D263</f>
        <v>0</v>
      </c>
      <c r="E267" s="305">
        <f>'GA55'!E263</f>
        <v>0</v>
      </c>
      <c r="F267" s="231">
        <f>'GA55'!F263</f>
        <v>0</v>
      </c>
      <c r="G267" s="309">
        <f>'GA55'!G263</f>
        <v>0</v>
      </c>
      <c r="H267" s="231">
        <f>'GA55'!Q263</f>
        <v>0</v>
      </c>
    </row>
    <row r="268" spans="1:8" x14ac:dyDescent="0.2">
      <c r="A268" s="231">
        <f>'GA55'!A264</f>
        <v>0</v>
      </c>
      <c r="B268" s="231">
        <f>'GA55'!B264</f>
        <v>0</v>
      </c>
      <c r="C268" s="305">
        <f>'GA55'!C264</f>
        <v>0</v>
      </c>
      <c r="D268" s="231">
        <f>'GA55'!D264</f>
        <v>0</v>
      </c>
      <c r="E268" s="305">
        <f>'GA55'!E264</f>
        <v>0</v>
      </c>
      <c r="F268" s="231">
        <f>'GA55'!F264</f>
        <v>0</v>
      </c>
      <c r="G268" s="309">
        <f>'GA55'!G264</f>
        <v>0</v>
      </c>
      <c r="H268" s="231">
        <f>'GA55'!Q264</f>
        <v>0</v>
      </c>
    </row>
    <row r="269" spans="1:8" x14ac:dyDescent="0.2">
      <c r="A269" s="231">
        <f>'GA55'!A265</f>
        <v>0</v>
      </c>
      <c r="B269" s="231">
        <f>'GA55'!B265</f>
        <v>0</v>
      </c>
      <c r="C269" s="305">
        <f>'GA55'!C265</f>
        <v>0</v>
      </c>
      <c r="D269" s="231">
        <f>'GA55'!D265</f>
        <v>0</v>
      </c>
      <c r="E269" s="305">
        <f>'GA55'!E265</f>
        <v>0</v>
      </c>
      <c r="F269" s="231">
        <f>'GA55'!F265</f>
        <v>0</v>
      </c>
      <c r="G269" s="309">
        <f>'GA55'!G265</f>
        <v>0</v>
      </c>
      <c r="H269" s="231">
        <f>'GA55'!Q265</f>
        <v>0</v>
      </c>
    </row>
    <row r="270" spans="1:8" x14ac:dyDescent="0.2">
      <c r="A270" s="231">
        <f>'GA55'!A266</f>
        <v>0</v>
      </c>
      <c r="B270" s="231">
        <f>'GA55'!B266</f>
        <v>0</v>
      </c>
      <c r="C270" s="305">
        <f>'GA55'!C266</f>
        <v>0</v>
      </c>
      <c r="D270" s="231">
        <f>'GA55'!D266</f>
        <v>0</v>
      </c>
      <c r="E270" s="305">
        <f>'GA55'!E266</f>
        <v>0</v>
      </c>
      <c r="F270" s="231">
        <f>'GA55'!F266</f>
        <v>0</v>
      </c>
      <c r="G270" s="309">
        <f>'GA55'!G266</f>
        <v>0</v>
      </c>
      <c r="H270" s="231">
        <f>'GA55'!Q266</f>
        <v>0</v>
      </c>
    </row>
    <row r="271" spans="1:8" x14ac:dyDescent="0.2">
      <c r="A271" s="231">
        <f>'GA55'!A267</f>
        <v>0</v>
      </c>
      <c r="B271" s="231">
        <f>'GA55'!B267</f>
        <v>0</v>
      </c>
      <c r="C271" s="305">
        <f>'GA55'!C267</f>
        <v>0</v>
      </c>
      <c r="D271" s="231">
        <f>'GA55'!D267</f>
        <v>0</v>
      </c>
      <c r="E271" s="305">
        <f>'GA55'!E267</f>
        <v>0</v>
      </c>
      <c r="F271" s="231">
        <f>'GA55'!F267</f>
        <v>0</v>
      </c>
      <c r="G271" s="309">
        <f>'GA55'!G267</f>
        <v>0</v>
      </c>
      <c r="H271" s="231">
        <f>'GA55'!Q267</f>
        <v>0</v>
      </c>
    </row>
    <row r="272" spans="1:8" x14ac:dyDescent="0.2">
      <c r="A272" s="231">
        <f>'GA55'!A268</f>
        <v>0</v>
      </c>
      <c r="B272" s="231">
        <f>'GA55'!B268</f>
        <v>0</v>
      </c>
      <c r="C272" s="305">
        <f>'GA55'!C268</f>
        <v>0</v>
      </c>
      <c r="D272" s="231">
        <f>'GA55'!D268</f>
        <v>0</v>
      </c>
      <c r="E272" s="305">
        <f>'GA55'!E268</f>
        <v>0</v>
      </c>
      <c r="F272" s="231">
        <f>'GA55'!F268</f>
        <v>0</v>
      </c>
      <c r="G272" s="309">
        <f>'GA55'!G268</f>
        <v>0</v>
      </c>
      <c r="H272" s="231">
        <f>'GA55'!Q268</f>
        <v>0</v>
      </c>
    </row>
    <row r="273" spans="1:8" x14ac:dyDescent="0.2">
      <c r="A273" s="231">
        <f>'GA55'!A269</f>
        <v>0</v>
      </c>
      <c r="B273" s="231">
        <f>'GA55'!B269</f>
        <v>0</v>
      </c>
      <c r="C273" s="305">
        <f>'GA55'!C269</f>
        <v>0</v>
      </c>
      <c r="D273" s="231">
        <f>'GA55'!D269</f>
        <v>0</v>
      </c>
      <c r="E273" s="305">
        <f>'GA55'!E269</f>
        <v>0</v>
      </c>
      <c r="F273" s="231">
        <f>'GA55'!F269</f>
        <v>0</v>
      </c>
      <c r="G273" s="309">
        <f>'GA55'!G269</f>
        <v>0</v>
      </c>
      <c r="H273" s="231">
        <f>'GA55'!Q269</f>
        <v>0</v>
      </c>
    </row>
    <row r="274" spans="1:8" x14ac:dyDescent="0.2">
      <c r="A274" s="231">
        <f>'GA55'!A270</f>
        <v>0</v>
      </c>
      <c r="B274" s="231">
        <f>'GA55'!B270</f>
        <v>0</v>
      </c>
      <c r="C274" s="305">
        <f>'GA55'!C270</f>
        <v>0</v>
      </c>
      <c r="D274" s="231">
        <f>'GA55'!D270</f>
        <v>0</v>
      </c>
      <c r="E274" s="305">
        <f>'GA55'!E270</f>
        <v>0</v>
      </c>
      <c r="F274" s="231">
        <f>'GA55'!F270</f>
        <v>0</v>
      </c>
      <c r="G274" s="309">
        <f>'GA55'!G270</f>
        <v>0</v>
      </c>
      <c r="H274" s="231">
        <f>'GA55'!Q270</f>
        <v>0</v>
      </c>
    </row>
    <row r="275" spans="1:8" x14ac:dyDescent="0.2">
      <c r="A275" s="231">
        <f>'GA55'!A271</f>
        <v>0</v>
      </c>
      <c r="B275" s="231">
        <f>'GA55'!B271</f>
        <v>0</v>
      </c>
      <c r="C275" s="305">
        <f>'GA55'!C271</f>
        <v>0</v>
      </c>
      <c r="D275" s="231">
        <f>'GA55'!D271</f>
        <v>0</v>
      </c>
      <c r="E275" s="305">
        <f>'GA55'!E271</f>
        <v>0</v>
      </c>
      <c r="F275" s="231">
        <f>'GA55'!F271</f>
        <v>0</v>
      </c>
      <c r="G275" s="309">
        <f>'GA55'!G271</f>
        <v>0</v>
      </c>
      <c r="H275" s="231">
        <f>'GA55'!Q271</f>
        <v>0</v>
      </c>
    </row>
    <row r="276" spans="1:8" x14ac:dyDescent="0.2">
      <c r="A276" s="231">
        <f>'GA55'!A272</f>
        <v>0</v>
      </c>
      <c r="B276" s="231">
        <f>'GA55'!B272</f>
        <v>0</v>
      </c>
      <c r="C276" s="305">
        <f>'GA55'!C272</f>
        <v>0</v>
      </c>
      <c r="D276" s="231">
        <f>'GA55'!D272</f>
        <v>0</v>
      </c>
      <c r="E276" s="305">
        <f>'GA55'!E272</f>
        <v>0</v>
      </c>
      <c r="F276" s="231">
        <f>'GA55'!F272</f>
        <v>0</v>
      </c>
      <c r="G276" s="309">
        <f>'GA55'!G272</f>
        <v>0</v>
      </c>
      <c r="H276" s="231">
        <f>'GA55'!Q272</f>
        <v>0</v>
      </c>
    </row>
    <row r="277" spans="1:8" x14ac:dyDescent="0.2">
      <c r="A277" s="231">
        <f>'GA55'!A273</f>
        <v>0</v>
      </c>
      <c r="B277" s="231">
        <f>'GA55'!B273</f>
        <v>0</v>
      </c>
      <c r="C277" s="305">
        <f>'GA55'!C273</f>
        <v>0</v>
      </c>
      <c r="D277" s="231">
        <f>'GA55'!D273</f>
        <v>0</v>
      </c>
      <c r="E277" s="305">
        <f>'GA55'!E273</f>
        <v>0</v>
      </c>
      <c r="F277" s="231">
        <f>'GA55'!F273</f>
        <v>0</v>
      </c>
      <c r="G277" s="309">
        <f>'GA55'!G273</f>
        <v>0</v>
      </c>
      <c r="H277" s="231">
        <f>'GA55'!Q273</f>
        <v>0</v>
      </c>
    </row>
    <row r="278" spans="1:8" x14ac:dyDescent="0.2">
      <c r="A278" s="231">
        <f>'GA55'!A274</f>
        <v>0</v>
      </c>
      <c r="B278" s="231">
        <f>'GA55'!B274</f>
        <v>0</v>
      </c>
      <c r="C278" s="305">
        <f>'GA55'!C274</f>
        <v>0</v>
      </c>
      <c r="D278" s="231">
        <f>'GA55'!D274</f>
        <v>0</v>
      </c>
      <c r="E278" s="305">
        <f>'GA55'!E274</f>
        <v>0</v>
      </c>
      <c r="F278" s="231">
        <f>'GA55'!F274</f>
        <v>0</v>
      </c>
      <c r="G278" s="309">
        <f>'GA55'!G274</f>
        <v>0</v>
      </c>
      <c r="H278" s="231">
        <f>'GA55'!Q274</f>
        <v>0</v>
      </c>
    </row>
    <row r="279" spans="1:8" x14ac:dyDescent="0.2">
      <c r="A279" s="231">
        <f>'GA55'!A275</f>
        <v>0</v>
      </c>
      <c r="B279" s="231">
        <f>'GA55'!B275</f>
        <v>0</v>
      </c>
      <c r="C279" s="305">
        <f>'GA55'!C275</f>
        <v>0</v>
      </c>
      <c r="D279" s="231">
        <f>'GA55'!D275</f>
        <v>0</v>
      </c>
      <c r="E279" s="305">
        <f>'GA55'!E275</f>
        <v>0</v>
      </c>
      <c r="F279" s="231">
        <f>'GA55'!F275</f>
        <v>0</v>
      </c>
      <c r="G279" s="309">
        <f>'GA55'!G275</f>
        <v>0</v>
      </c>
      <c r="H279" s="231">
        <f>'GA55'!Q275</f>
        <v>0</v>
      </c>
    </row>
    <row r="280" spans="1:8" x14ac:dyDescent="0.2">
      <c r="A280" s="231">
        <f>'GA55'!A276</f>
        <v>0</v>
      </c>
      <c r="B280" s="231">
        <f>'GA55'!B276</f>
        <v>0</v>
      </c>
      <c r="C280" s="305">
        <f>'GA55'!C276</f>
        <v>0</v>
      </c>
      <c r="D280" s="231">
        <f>'GA55'!D276</f>
        <v>0</v>
      </c>
      <c r="E280" s="305">
        <f>'GA55'!E276</f>
        <v>0</v>
      </c>
      <c r="F280" s="231">
        <f>'GA55'!F276</f>
        <v>0</v>
      </c>
      <c r="G280" s="309">
        <f>'GA55'!G276</f>
        <v>0</v>
      </c>
      <c r="H280" s="231">
        <f>'GA55'!Q276</f>
        <v>0</v>
      </c>
    </row>
    <row r="281" spans="1:8" x14ac:dyDescent="0.2">
      <c r="A281" s="231">
        <f>'GA55'!A277</f>
        <v>0</v>
      </c>
      <c r="B281" s="231">
        <f>'GA55'!B277</f>
        <v>0</v>
      </c>
      <c r="C281" s="305">
        <f>'GA55'!C277</f>
        <v>0</v>
      </c>
      <c r="D281" s="231">
        <f>'GA55'!D277</f>
        <v>0</v>
      </c>
      <c r="E281" s="305">
        <f>'GA55'!E277</f>
        <v>0</v>
      </c>
      <c r="F281" s="231">
        <f>'GA55'!F277</f>
        <v>0</v>
      </c>
      <c r="G281" s="309">
        <f>'GA55'!G277</f>
        <v>0</v>
      </c>
      <c r="H281" s="231">
        <f>'GA55'!Q277</f>
        <v>0</v>
      </c>
    </row>
    <row r="282" spans="1:8" x14ac:dyDescent="0.2">
      <c r="A282" s="231">
        <f>'GA55'!A278</f>
        <v>0</v>
      </c>
      <c r="B282" s="231">
        <f>'GA55'!B278</f>
        <v>0</v>
      </c>
      <c r="C282" s="305">
        <f>'GA55'!C278</f>
        <v>0</v>
      </c>
      <c r="D282" s="231">
        <f>'GA55'!D278</f>
        <v>0</v>
      </c>
      <c r="E282" s="305">
        <f>'GA55'!E278</f>
        <v>0</v>
      </c>
      <c r="F282" s="231">
        <f>'GA55'!F278</f>
        <v>0</v>
      </c>
      <c r="G282" s="309">
        <f>'GA55'!G278</f>
        <v>0</v>
      </c>
      <c r="H282" s="231">
        <f>'GA55'!Q278</f>
        <v>0</v>
      </c>
    </row>
    <row r="283" spans="1:8" x14ac:dyDescent="0.2">
      <c r="A283" s="231">
        <f>'GA55'!A279</f>
        <v>0</v>
      </c>
      <c r="B283" s="231">
        <f>'GA55'!B279</f>
        <v>0</v>
      </c>
      <c r="C283" s="305">
        <f>'GA55'!C279</f>
        <v>0</v>
      </c>
      <c r="D283" s="231">
        <f>'GA55'!D279</f>
        <v>0</v>
      </c>
      <c r="E283" s="305">
        <f>'GA55'!E279</f>
        <v>0</v>
      </c>
      <c r="F283" s="231">
        <f>'GA55'!F279</f>
        <v>0</v>
      </c>
      <c r="G283" s="309">
        <f>'GA55'!G279</f>
        <v>0</v>
      </c>
      <c r="H283" s="231">
        <f>'GA55'!Q279</f>
        <v>0</v>
      </c>
    </row>
    <row r="284" spans="1:8" x14ac:dyDescent="0.2">
      <c r="A284" s="231">
        <f>'GA55'!A280</f>
        <v>0</v>
      </c>
      <c r="B284" s="231">
        <f>'GA55'!B280</f>
        <v>0</v>
      </c>
      <c r="C284" s="305">
        <f>'GA55'!C280</f>
        <v>0</v>
      </c>
      <c r="D284" s="231">
        <f>'GA55'!D280</f>
        <v>0</v>
      </c>
      <c r="E284" s="305">
        <f>'GA55'!E280</f>
        <v>0</v>
      </c>
      <c r="F284" s="231">
        <f>'GA55'!F280</f>
        <v>0</v>
      </c>
      <c r="G284" s="309">
        <f>'GA55'!G280</f>
        <v>0</v>
      </c>
      <c r="H284" s="231">
        <f>'GA55'!Q280</f>
        <v>0</v>
      </c>
    </row>
    <row r="285" spans="1:8" x14ac:dyDescent="0.2">
      <c r="A285" s="231">
        <f>'GA55'!A281</f>
        <v>0</v>
      </c>
      <c r="B285" s="231">
        <f>'GA55'!B281</f>
        <v>0</v>
      </c>
      <c r="C285" s="305">
        <f>'GA55'!C281</f>
        <v>0</v>
      </c>
      <c r="D285" s="231">
        <f>'GA55'!D281</f>
        <v>0</v>
      </c>
      <c r="E285" s="305">
        <f>'GA55'!E281</f>
        <v>0</v>
      </c>
      <c r="F285" s="231">
        <f>'GA55'!F281</f>
        <v>0</v>
      </c>
      <c r="G285" s="309">
        <f>'GA55'!G281</f>
        <v>0</v>
      </c>
      <c r="H285" s="231">
        <f>'GA55'!Q281</f>
        <v>0</v>
      </c>
    </row>
    <row r="286" spans="1:8" x14ac:dyDescent="0.2">
      <c r="A286" s="231">
        <f>'GA55'!A282</f>
        <v>0</v>
      </c>
      <c r="B286" s="231">
        <f>'GA55'!B282</f>
        <v>0</v>
      </c>
      <c r="C286" s="305">
        <f>'GA55'!C282</f>
        <v>0</v>
      </c>
      <c r="D286" s="231">
        <f>'GA55'!D282</f>
        <v>0</v>
      </c>
      <c r="E286" s="305">
        <f>'GA55'!E282</f>
        <v>0</v>
      </c>
      <c r="F286" s="231">
        <f>'GA55'!F282</f>
        <v>0</v>
      </c>
      <c r="G286" s="309">
        <f>'GA55'!G282</f>
        <v>0</v>
      </c>
      <c r="H286" s="231">
        <f>'GA55'!Q282</f>
        <v>0</v>
      </c>
    </row>
    <row r="287" spans="1:8" x14ac:dyDescent="0.2">
      <c r="A287" s="231">
        <f>'GA55'!A283</f>
        <v>0</v>
      </c>
      <c r="B287" s="231">
        <f>'GA55'!B283</f>
        <v>0</v>
      </c>
      <c r="C287" s="305">
        <f>'GA55'!C283</f>
        <v>0</v>
      </c>
      <c r="D287" s="231">
        <f>'GA55'!D283</f>
        <v>0</v>
      </c>
      <c r="E287" s="305">
        <f>'GA55'!E283</f>
        <v>0</v>
      </c>
      <c r="F287" s="231">
        <f>'GA55'!F283</f>
        <v>0</v>
      </c>
      <c r="G287" s="309">
        <f>'GA55'!G283</f>
        <v>0</v>
      </c>
      <c r="H287" s="231">
        <f>'GA55'!Q283</f>
        <v>0</v>
      </c>
    </row>
    <row r="288" spans="1:8" x14ac:dyDescent="0.2">
      <c r="A288" s="231">
        <f>'GA55'!A284</f>
        <v>0</v>
      </c>
      <c r="B288" s="231">
        <f>'GA55'!B284</f>
        <v>0</v>
      </c>
      <c r="C288" s="305">
        <f>'GA55'!C284</f>
        <v>0</v>
      </c>
      <c r="D288" s="231">
        <f>'GA55'!D284</f>
        <v>0</v>
      </c>
      <c r="E288" s="305">
        <f>'GA55'!E284</f>
        <v>0</v>
      </c>
      <c r="F288" s="231">
        <f>'GA55'!F284</f>
        <v>0</v>
      </c>
      <c r="G288" s="309">
        <f>'GA55'!G284</f>
        <v>0</v>
      </c>
      <c r="H288" s="231">
        <f>'GA55'!Q284</f>
        <v>0</v>
      </c>
    </row>
    <row r="289" spans="1:8" x14ac:dyDescent="0.2">
      <c r="A289" s="231">
        <f>'GA55'!A285</f>
        <v>0</v>
      </c>
      <c r="B289" s="231">
        <f>'GA55'!B285</f>
        <v>0</v>
      </c>
      <c r="C289" s="305">
        <f>'GA55'!C285</f>
        <v>0</v>
      </c>
      <c r="D289" s="231">
        <f>'GA55'!D285</f>
        <v>0</v>
      </c>
      <c r="E289" s="305">
        <f>'GA55'!E285</f>
        <v>0</v>
      </c>
      <c r="F289" s="231">
        <f>'GA55'!F285</f>
        <v>0</v>
      </c>
      <c r="G289" s="309">
        <f>'GA55'!G285</f>
        <v>0</v>
      </c>
      <c r="H289" s="231">
        <f>'GA55'!Q285</f>
        <v>0</v>
      </c>
    </row>
    <row r="290" spans="1:8" x14ac:dyDescent="0.2">
      <c r="A290" s="231">
        <f>'GA55'!A286</f>
        <v>0</v>
      </c>
      <c r="B290" s="231">
        <f>'GA55'!B286</f>
        <v>0</v>
      </c>
      <c r="C290" s="305">
        <f>'GA55'!C286</f>
        <v>0</v>
      </c>
      <c r="D290" s="231">
        <f>'GA55'!D286</f>
        <v>0</v>
      </c>
      <c r="E290" s="305">
        <f>'GA55'!E286</f>
        <v>0</v>
      </c>
      <c r="F290" s="231">
        <f>'GA55'!F286</f>
        <v>0</v>
      </c>
      <c r="G290" s="309">
        <f>'GA55'!G286</f>
        <v>0</v>
      </c>
      <c r="H290" s="231">
        <f>'GA55'!Q286</f>
        <v>0</v>
      </c>
    </row>
    <row r="291" spans="1:8" x14ac:dyDescent="0.2">
      <c r="A291" s="231">
        <f>'GA55'!A287</f>
        <v>0</v>
      </c>
      <c r="B291" s="231">
        <f>'GA55'!B287</f>
        <v>0</v>
      </c>
      <c r="C291" s="305">
        <f>'GA55'!C287</f>
        <v>0</v>
      </c>
      <c r="D291" s="231">
        <f>'GA55'!D287</f>
        <v>0</v>
      </c>
      <c r="E291" s="305">
        <f>'GA55'!E287</f>
        <v>0</v>
      </c>
      <c r="F291" s="231">
        <f>'GA55'!F287</f>
        <v>0</v>
      </c>
      <c r="G291" s="309">
        <f>'GA55'!G287</f>
        <v>0</v>
      </c>
      <c r="H291" s="231">
        <f>'GA55'!Q287</f>
        <v>0</v>
      </c>
    </row>
    <row r="292" spans="1:8" x14ac:dyDescent="0.2">
      <c r="A292" s="231">
        <f>'GA55'!A288</f>
        <v>0</v>
      </c>
      <c r="B292" s="231">
        <f>'GA55'!B288</f>
        <v>0</v>
      </c>
      <c r="C292" s="305">
        <f>'GA55'!C288</f>
        <v>0</v>
      </c>
      <c r="D292" s="231">
        <f>'GA55'!D288</f>
        <v>0</v>
      </c>
      <c r="E292" s="305">
        <f>'GA55'!E288</f>
        <v>0</v>
      </c>
      <c r="F292" s="231">
        <f>'GA55'!F288</f>
        <v>0</v>
      </c>
      <c r="G292" s="309">
        <f>'GA55'!G288</f>
        <v>0</v>
      </c>
      <c r="H292" s="231">
        <f>'GA55'!Q288</f>
        <v>0</v>
      </c>
    </row>
    <row r="293" spans="1:8" x14ac:dyDescent="0.2">
      <c r="A293" s="231">
        <f>'GA55'!A289</f>
        <v>0</v>
      </c>
      <c r="B293" s="231">
        <f>'GA55'!B289</f>
        <v>0</v>
      </c>
      <c r="C293" s="305">
        <f>'GA55'!C289</f>
        <v>0</v>
      </c>
      <c r="D293" s="231">
        <f>'GA55'!D289</f>
        <v>0</v>
      </c>
      <c r="E293" s="305">
        <f>'GA55'!E289</f>
        <v>0</v>
      </c>
      <c r="F293" s="231">
        <f>'GA55'!F289</f>
        <v>0</v>
      </c>
      <c r="G293" s="309">
        <f>'GA55'!G289</f>
        <v>0</v>
      </c>
      <c r="H293" s="231">
        <f>'GA55'!Q289</f>
        <v>0</v>
      </c>
    </row>
    <row r="294" spans="1:8" x14ac:dyDescent="0.2">
      <c r="A294" s="231">
        <f>'GA55'!A290</f>
        <v>0</v>
      </c>
      <c r="B294" s="231">
        <f>'GA55'!B290</f>
        <v>0</v>
      </c>
      <c r="C294" s="305">
        <f>'GA55'!C290</f>
        <v>0</v>
      </c>
      <c r="D294" s="231">
        <f>'GA55'!D290</f>
        <v>0</v>
      </c>
      <c r="E294" s="305">
        <f>'GA55'!E290</f>
        <v>0</v>
      </c>
      <c r="F294" s="231">
        <f>'GA55'!F290</f>
        <v>0</v>
      </c>
      <c r="G294" s="309">
        <f>'GA55'!G290</f>
        <v>0</v>
      </c>
      <c r="H294" s="231">
        <f>'GA55'!Q290</f>
        <v>0</v>
      </c>
    </row>
    <row r="295" spans="1:8" x14ac:dyDescent="0.2">
      <c r="A295" s="231">
        <f>'GA55'!A291</f>
        <v>0</v>
      </c>
      <c r="B295" s="231">
        <f>'GA55'!B291</f>
        <v>0</v>
      </c>
      <c r="C295" s="305">
        <f>'GA55'!C291</f>
        <v>0</v>
      </c>
      <c r="D295" s="231">
        <f>'GA55'!D291</f>
        <v>0</v>
      </c>
      <c r="E295" s="305">
        <f>'GA55'!E291</f>
        <v>0</v>
      </c>
      <c r="F295" s="231">
        <f>'GA55'!F291</f>
        <v>0</v>
      </c>
      <c r="G295" s="309">
        <f>'GA55'!G291</f>
        <v>0</v>
      </c>
      <c r="H295" s="231">
        <f>'GA55'!Q291</f>
        <v>0</v>
      </c>
    </row>
    <row r="296" spans="1:8" x14ac:dyDescent="0.2">
      <c r="A296" s="231">
        <f>'GA55'!A292</f>
        <v>0</v>
      </c>
      <c r="B296" s="231">
        <f>'GA55'!B292</f>
        <v>0</v>
      </c>
      <c r="C296" s="305">
        <f>'GA55'!C292</f>
        <v>0</v>
      </c>
      <c r="D296" s="231">
        <f>'GA55'!D292</f>
        <v>0</v>
      </c>
      <c r="E296" s="305">
        <f>'GA55'!E292</f>
        <v>0</v>
      </c>
      <c r="F296" s="231">
        <f>'GA55'!F292</f>
        <v>0</v>
      </c>
      <c r="G296" s="309">
        <f>'GA55'!G292</f>
        <v>0</v>
      </c>
      <c r="H296" s="231">
        <f>'GA55'!Q292</f>
        <v>0</v>
      </c>
    </row>
    <row r="297" spans="1:8" x14ac:dyDescent="0.2">
      <c r="A297" s="231">
        <f>'GA55'!A293</f>
        <v>0</v>
      </c>
      <c r="B297" s="231">
        <f>'GA55'!B293</f>
        <v>0</v>
      </c>
      <c r="C297" s="305">
        <f>'GA55'!C293</f>
        <v>0</v>
      </c>
      <c r="D297" s="231">
        <f>'GA55'!D293</f>
        <v>0</v>
      </c>
      <c r="E297" s="305">
        <f>'GA55'!E293</f>
        <v>0</v>
      </c>
      <c r="F297" s="231">
        <f>'GA55'!F293</f>
        <v>0</v>
      </c>
      <c r="G297" s="309">
        <f>'GA55'!G293</f>
        <v>0</v>
      </c>
      <c r="H297" s="231">
        <f>'GA55'!Q293</f>
        <v>0</v>
      </c>
    </row>
    <row r="298" spans="1:8" x14ac:dyDescent="0.2">
      <c r="A298" s="231">
        <f>'GA55'!A294</f>
        <v>0</v>
      </c>
      <c r="B298" s="231">
        <f>'GA55'!B294</f>
        <v>0</v>
      </c>
      <c r="C298" s="305">
        <f>'GA55'!C294</f>
        <v>0</v>
      </c>
      <c r="D298" s="231">
        <f>'GA55'!D294</f>
        <v>0</v>
      </c>
      <c r="E298" s="305">
        <f>'GA55'!E294</f>
        <v>0</v>
      </c>
      <c r="F298" s="231">
        <f>'GA55'!F294</f>
        <v>0</v>
      </c>
      <c r="G298" s="309">
        <f>'GA55'!G294</f>
        <v>0</v>
      </c>
      <c r="H298" s="231">
        <f>'GA55'!Q294</f>
        <v>0</v>
      </c>
    </row>
    <row r="299" spans="1:8" x14ac:dyDescent="0.2">
      <c r="A299" s="231">
        <f>'GA55'!A295</f>
        <v>0</v>
      </c>
      <c r="B299" s="231">
        <f>'GA55'!B295</f>
        <v>0</v>
      </c>
      <c r="C299" s="305">
        <f>'GA55'!C295</f>
        <v>0</v>
      </c>
      <c r="D299" s="231">
        <f>'GA55'!D295</f>
        <v>0</v>
      </c>
      <c r="E299" s="305">
        <f>'GA55'!E295</f>
        <v>0</v>
      </c>
      <c r="F299" s="231">
        <f>'GA55'!F295</f>
        <v>0</v>
      </c>
      <c r="G299" s="309">
        <f>'GA55'!G295</f>
        <v>0</v>
      </c>
      <c r="H299" s="231">
        <f>'GA55'!Q295</f>
        <v>0</v>
      </c>
    </row>
    <row r="300" spans="1:8" x14ac:dyDescent="0.2">
      <c r="A300" s="231">
        <f>'GA55'!A296</f>
        <v>0</v>
      </c>
      <c r="B300" s="231">
        <f>'GA55'!B296</f>
        <v>0</v>
      </c>
      <c r="C300" s="305">
        <f>'GA55'!C296</f>
        <v>0</v>
      </c>
      <c r="D300" s="231">
        <f>'GA55'!D296</f>
        <v>0</v>
      </c>
      <c r="E300" s="305">
        <f>'GA55'!E296</f>
        <v>0</v>
      </c>
      <c r="F300" s="231">
        <f>'GA55'!F296</f>
        <v>0</v>
      </c>
      <c r="G300" s="309">
        <f>'GA55'!G296</f>
        <v>0</v>
      </c>
      <c r="H300" s="231">
        <f>'GA55'!Q296</f>
        <v>0</v>
      </c>
    </row>
    <row r="301" spans="1:8" x14ac:dyDescent="0.2">
      <c r="A301" s="231">
        <f>'GA55'!A297</f>
        <v>0</v>
      </c>
      <c r="B301" s="231">
        <f>'GA55'!B297</f>
        <v>0</v>
      </c>
      <c r="C301" s="305">
        <f>'GA55'!C297</f>
        <v>0</v>
      </c>
      <c r="D301" s="231">
        <f>'GA55'!D297</f>
        <v>0</v>
      </c>
      <c r="E301" s="305">
        <f>'GA55'!E297</f>
        <v>0</v>
      </c>
      <c r="F301" s="231">
        <f>'GA55'!F297</f>
        <v>0</v>
      </c>
      <c r="G301" s="309">
        <f>'GA55'!G297</f>
        <v>0</v>
      </c>
      <c r="H301" s="231">
        <f>'GA55'!Q297</f>
        <v>0</v>
      </c>
    </row>
    <row r="302" spans="1:8" x14ac:dyDescent="0.2">
      <c r="A302" s="231">
        <f>'GA55'!A298</f>
        <v>0</v>
      </c>
      <c r="B302" s="231">
        <f>'GA55'!B298</f>
        <v>0</v>
      </c>
      <c r="C302" s="305">
        <f>'GA55'!C298</f>
        <v>0</v>
      </c>
      <c r="D302" s="231">
        <f>'GA55'!D298</f>
        <v>0</v>
      </c>
      <c r="E302" s="305">
        <f>'GA55'!E298</f>
        <v>0</v>
      </c>
      <c r="F302" s="231">
        <f>'GA55'!F298</f>
        <v>0</v>
      </c>
      <c r="G302" s="309">
        <f>'GA55'!G298</f>
        <v>0</v>
      </c>
      <c r="H302" s="231">
        <f>'GA55'!Q298</f>
        <v>0</v>
      </c>
    </row>
    <row r="303" spans="1:8" x14ac:dyDescent="0.2">
      <c r="A303" s="231">
        <f>'GA55'!A299</f>
        <v>0</v>
      </c>
      <c r="B303" s="231">
        <f>'GA55'!B299</f>
        <v>0</v>
      </c>
      <c r="C303" s="305">
        <f>'GA55'!C299</f>
        <v>0</v>
      </c>
      <c r="D303" s="231">
        <f>'GA55'!D299</f>
        <v>0</v>
      </c>
      <c r="E303" s="305">
        <f>'GA55'!E299</f>
        <v>0</v>
      </c>
      <c r="F303" s="231">
        <f>'GA55'!F299</f>
        <v>0</v>
      </c>
      <c r="G303" s="309">
        <f>'GA55'!G299</f>
        <v>0</v>
      </c>
      <c r="H303" s="231">
        <f>'GA55'!Q299</f>
        <v>0</v>
      </c>
    </row>
    <row r="304" spans="1:8" x14ac:dyDescent="0.2">
      <c r="A304" s="231">
        <f>'GA55'!A300</f>
        <v>0</v>
      </c>
      <c r="B304" s="231">
        <f>'GA55'!B300</f>
        <v>0</v>
      </c>
      <c r="C304" s="305">
        <f>'GA55'!C300</f>
        <v>0</v>
      </c>
      <c r="D304" s="231">
        <f>'GA55'!D300</f>
        <v>0</v>
      </c>
      <c r="E304" s="305">
        <f>'GA55'!E300</f>
        <v>0</v>
      </c>
      <c r="F304" s="231">
        <f>'GA55'!F300</f>
        <v>0</v>
      </c>
      <c r="G304" s="309">
        <f>'GA55'!G300</f>
        <v>0</v>
      </c>
      <c r="H304" s="231">
        <f>'GA55'!Q300</f>
        <v>0</v>
      </c>
    </row>
    <row r="305" spans="1:8" x14ac:dyDescent="0.2">
      <c r="A305" s="231">
        <f>'GA55'!A301</f>
        <v>0</v>
      </c>
      <c r="B305" s="231">
        <f>'GA55'!B301</f>
        <v>0</v>
      </c>
      <c r="C305" s="305">
        <f>'GA55'!C301</f>
        <v>0</v>
      </c>
      <c r="D305" s="231">
        <f>'GA55'!D301</f>
        <v>0</v>
      </c>
      <c r="E305" s="305">
        <f>'GA55'!E301</f>
        <v>0</v>
      </c>
      <c r="F305" s="231">
        <f>'GA55'!F301</f>
        <v>0</v>
      </c>
      <c r="G305" s="309">
        <f>'GA55'!G301</f>
        <v>0</v>
      </c>
      <c r="H305" s="231">
        <f>'GA55'!Q301</f>
        <v>0</v>
      </c>
    </row>
    <row r="306" spans="1:8" x14ac:dyDescent="0.2">
      <c r="A306" s="231">
        <f>'GA55'!A302</f>
        <v>0</v>
      </c>
      <c r="B306" s="231">
        <f>'GA55'!B302</f>
        <v>0</v>
      </c>
      <c r="C306" s="305">
        <f>'GA55'!C302</f>
        <v>0</v>
      </c>
      <c r="D306" s="231">
        <f>'GA55'!D302</f>
        <v>0</v>
      </c>
      <c r="E306" s="305">
        <f>'GA55'!E302</f>
        <v>0</v>
      </c>
      <c r="F306" s="231">
        <f>'GA55'!F302</f>
        <v>0</v>
      </c>
      <c r="G306" s="309">
        <f>'GA55'!G302</f>
        <v>0</v>
      </c>
      <c r="H306" s="231">
        <f>'GA55'!Q302</f>
        <v>0</v>
      </c>
    </row>
    <row r="307" spans="1:8" x14ac:dyDescent="0.2">
      <c r="A307" s="231">
        <f>'GA55'!A303</f>
        <v>0</v>
      </c>
      <c r="B307" s="231">
        <f>'GA55'!B303</f>
        <v>0</v>
      </c>
      <c r="C307" s="305">
        <f>'GA55'!C303</f>
        <v>0</v>
      </c>
      <c r="D307" s="231">
        <f>'GA55'!D303</f>
        <v>0</v>
      </c>
      <c r="E307" s="305">
        <f>'GA55'!E303</f>
        <v>0</v>
      </c>
      <c r="F307" s="231">
        <f>'GA55'!F303</f>
        <v>0</v>
      </c>
      <c r="G307" s="309">
        <f>'GA55'!G303</f>
        <v>0</v>
      </c>
      <c r="H307" s="231">
        <f>'GA55'!Q303</f>
        <v>0</v>
      </c>
    </row>
    <row r="308" spans="1:8" x14ac:dyDescent="0.2">
      <c r="A308" s="231">
        <f>'GA55'!A304</f>
        <v>0</v>
      </c>
      <c r="B308" s="231">
        <f>'GA55'!B304</f>
        <v>0</v>
      </c>
      <c r="C308" s="305">
        <f>'GA55'!C304</f>
        <v>0</v>
      </c>
      <c r="D308" s="231">
        <f>'GA55'!D304</f>
        <v>0</v>
      </c>
      <c r="E308" s="305">
        <f>'GA55'!E304</f>
        <v>0</v>
      </c>
      <c r="F308" s="231">
        <f>'GA55'!F304</f>
        <v>0</v>
      </c>
      <c r="G308" s="309">
        <f>'GA55'!G304</f>
        <v>0</v>
      </c>
      <c r="H308" s="231">
        <f>'GA55'!Q304</f>
        <v>0</v>
      </c>
    </row>
    <row r="309" spans="1:8" x14ac:dyDescent="0.2">
      <c r="A309" s="231">
        <f>'GA55'!A305</f>
        <v>0</v>
      </c>
      <c r="B309" s="231">
        <f>'GA55'!B305</f>
        <v>0</v>
      </c>
      <c r="C309" s="305">
        <f>'GA55'!C305</f>
        <v>0</v>
      </c>
      <c r="D309" s="231">
        <f>'GA55'!D305</f>
        <v>0</v>
      </c>
      <c r="E309" s="305">
        <f>'GA55'!E305</f>
        <v>0</v>
      </c>
      <c r="F309" s="231">
        <f>'GA55'!F305</f>
        <v>0</v>
      </c>
      <c r="G309" s="309">
        <f>'GA55'!G305</f>
        <v>0</v>
      </c>
      <c r="H309" s="231">
        <f>'GA55'!Q305</f>
        <v>0</v>
      </c>
    </row>
    <row r="310" spans="1:8" x14ac:dyDescent="0.2">
      <c r="A310" s="231">
        <f>'GA55'!A306</f>
        <v>0</v>
      </c>
      <c r="B310" s="231">
        <f>'GA55'!B306</f>
        <v>0</v>
      </c>
      <c r="C310" s="305">
        <f>'GA55'!C306</f>
        <v>0</v>
      </c>
      <c r="D310" s="231">
        <f>'GA55'!D306</f>
        <v>0</v>
      </c>
      <c r="E310" s="305">
        <f>'GA55'!E306</f>
        <v>0</v>
      </c>
      <c r="F310" s="231">
        <f>'GA55'!F306</f>
        <v>0</v>
      </c>
      <c r="G310" s="309">
        <f>'GA55'!G306</f>
        <v>0</v>
      </c>
      <c r="H310" s="231">
        <f>'GA55'!Q306</f>
        <v>0</v>
      </c>
    </row>
    <row r="311" spans="1:8" x14ac:dyDescent="0.2">
      <c r="A311" s="231">
        <f>'GA55'!A307</f>
        <v>0</v>
      </c>
      <c r="B311" s="231">
        <f>'GA55'!B307</f>
        <v>0</v>
      </c>
      <c r="C311" s="305">
        <f>'GA55'!C307</f>
        <v>0</v>
      </c>
      <c r="D311" s="231">
        <f>'GA55'!D307</f>
        <v>0</v>
      </c>
      <c r="E311" s="305">
        <f>'GA55'!E307</f>
        <v>0</v>
      </c>
      <c r="F311" s="231">
        <f>'GA55'!F307</f>
        <v>0</v>
      </c>
      <c r="G311" s="309">
        <f>'GA55'!G307</f>
        <v>0</v>
      </c>
      <c r="H311" s="231">
        <f>'GA55'!Q307</f>
        <v>0</v>
      </c>
    </row>
    <row r="312" spans="1:8" x14ac:dyDescent="0.2">
      <c r="A312" s="231">
        <f>'GA55'!A308</f>
        <v>0</v>
      </c>
      <c r="B312" s="231">
        <f>'GA55'!B308</f>
        <v>0</v>
      </c>
      <c r="C312" s="305">
        <f>'GA55'!C308</f>
        <v>0</v>
      </c>
      <c r="D312" s="231">
        <f>'GA55'!D308</f>
        <v>0</v>
      </c>
      <c r="E312" s="305">
        <f>'GA55'!E308</f>
        <v>0</v>
      </c>
      <c r="F312" s="231">
        <f>'GA55'!F308</f>
        <v>0</v>
      </c>
      <c r="G312" s="309">
        <f>'GA55'!G308</f>
        <v>0</v>
      </c>
      <c r="H312" s="231">
        <f>'GA55'!Q308</f>
        <v>0</v>
      </c>
    </row>
    <row r="313" spans="1:8" x14ac:dyDescent="0.2">
      <c r="A313" s="231">
        <f>'GA55'!A309</f>
        <v>0</v>
      </c>
      <c r="B313" s="231">
        <f>'GA55'!B309</f>
        <v>0</v>
      </c>
      <c r="C313" s="305">
        <f>'GA55'!C309</f>
        <v>0</v>
      </c>
      <c r="D313" s="231">
        <f>'GA55'!D309</f>
        <v>0</v>
      </c>
      <c r="E313" s="305">
        <f>'GA55'!E309</f>
        <v>0</v>
      </c>
      <c r="F313" s="231">
        <f>'GA55'!F309</f>
        <v>0</v>
      </c>
      <c r="G313" s="309">
        <f>'GA55'!G309</f>
        <v>0</v>
      </c>
      <c r="H313" s="231">
        <f>'GA55'!Q309</f>
        <v>0</v>
      </c>
    </row>
    <row r="314" spans="1:8" x14ac:dyDescent="0.2">
      <c r="A314" s="231">
        <f>'GA55'!A310</f>
        <v>0</v>
      </c>
      <c r="B314" s="231">
        <f>'GA55'!B310</f>
        <v>0</v>
      </c>
      <c r="C314" s="305">
        <f>'GA55'!C310</f>
        <v>0</v>
      </c>
      <c r="D314" s="231">
        <f>'GA55'!D310</f>
        <v>0</v>
      </c>
      <c r="E314" s="305">
        <f>'GA55'!E310</f>
        <v>0</v>
      </c>
      <c r="F314" s="231">
        <f>'GA55'!F310</f>
        <v>0</v>
      </c>
      <c r="G314" s="309">
        <f>'GA55'!G310</f>
        <v>0</v>
      </c>
      <c r="H314" s="231">
        <f>'GA55'!Q310</f>
        <v>0</v>
      </c>
    </row>
    <row r="315" spans="1:8" x14ac:dyDescent="0.2">
      <c r="A315" s="231">
        <f>'GA55'!A311</f>
        <v>0</v>
      </c>
      <c r="B315" s="231">
        <f>'GA55'!B311</f>
        <v>0</v>
      </c>
      <c r="C315" s="305">
        <f>'GA55'!C311</f>
        <v>0</v>
      </c>
      <c r="D315" s="231">
        <f>'GA55'!D311</f>
        <v>0</v>
      </c>
      <c r="E315" s="305">
        <f>'GA55'!E311</f>
        <v>0</v>
      </c>
      <c r="F315" s="231">
        <f>'GA55'!F311</f>
        <v>0</v>
      </c>
      <c r="G315" s="309">
        <f>'GA55'!G311</f>
        <v>0</v>
      </c>
      <c r="H315" s="231">
        <f>'GA55'!Q311</f>
        <v>0</v>
      </c>
    </row>
    <row r="316" spans="1:8" x14ac:dyDescent="0.2">
      <c r="A316" s="231">
        <f>'GA55'!A312</f>
        <v>0</v>
      </c>
      <c r="B316" s="231">
        <f>'GA55'!B312</f>
        <v>0</v>
      </c>
      <c r="C316" s="305">
        <f>'GA55'!C312</f>
        <v>0</v>
      </c>
      <c r="D316" s="231">
        <f>'GA55'!D312</f>
        <v>0</v>
      </c>
      <c r="E316" s="305">
        <f>'GA55'!E312</f>
        <v>0</v>
      </c>
      <c r="F316" s="231">
        <f>'GA55'!F312</f>
        <v>0</v>
      </c>
      <c r="G316" s="309">
        <f>'GA55'!G312</f>
        <v>0</v>
      </c>
      <c r="H316" s="231">
        <f>'GA55'!Q312</f>
        <v>0</v>
      </c>
    </row>
    <row r="317" spans="1:8" x14ac:dyDescent="0.2">
      <c r="A317" s="231">
        <f>'GA55'!A313</f>
        <v>0</v>
      </c>
      <c r="B317" s="231">
        <f>'GA55'!B313</f>
        <v>0</v>
      </c>
      <c r="C317" s="305">
        <f>'GA55'!C313</f>
        <v>0</v>
      </c>
      <c r="D317" s="231">
        <f>'GA55'!D313</f>
        <v>0</v>
      </c>
      <c r="E317" s="305">
        <f>'GA55'!E313</f>
        <v>0</v>
      </c>
      <c r="F317" s="231">
        <f>'GA55'!F313</f>
        <v>0</v>
      </c>
      <c r="G317" s="309">
        <f>'GA55'!G313</f>
        <v>0</v>
      </c>
      <c r="H317" s="231">
        <f>'GA55'!Q313</f>
        <v>0</v>
      </c>
    </row>
    <row r="318" spans="1:8" x14ac:dyDescent="0.2">
      <c r="A318" s="231">
        <f>'GA55'!A314</f>
        <v>0</v>
      </c>
      <c r="B318" s="231">
        <f>'GA55'!B314</f>
        <v>0</v>
      </c>
      <c r="C318" s="305">
        <f>'GA55'!C314</f>
        <v>0</v>
      </c>
      <c r="D318" s="231">
        <f>'GA55'!D314</f>
        <v>0</v>
      </c>
      <c r="E318" s="305">
        <f>'GA55'!E314</f>
        <v>0</v>
      </c>
      <c r="F318" s="231">
        <f>'GA55'!F314</f>
        <v>0</v>
      </c>
      <c r="G318" s="309">
        <f>'GA55'!G314</f>
        <v>0</v>
      </c>
      <c r="H318" s="231">
        <f>'GA55'!Q314</f>
        <v>0</v>
      </c>
    </row>
    <row r="319" spans="1:8" x14ac:dyDescent="0.2">
      <c r="A319" s="231">
        <f>'GA55'!A315</f>
        <v>0</v>
      </c>
      <c r="B319" s="231">
        <f>'GA55'!B315</f>
        <v>0</v>
      </c>
      <c r="C319" s="305">
        <f>'GA55'!C315</f>
        <v>0</v>
      </c>
      <c r="D319" s="231">
        <f>'GA55'!D315</f>
        <v>0</v>
      </c>
      <c r="E319" s="305">
        <f>'GA55'!E315</f>
        <v>0</v>
      </c>
      <c r="F319" s="231">
        <f>'GA55'!F315</f>
        <v>0</v>
      </c>
      <c r="G319" s="309">
        <f>'GA55'!G315</f>
        <v>0</v>
      </c>
      <c r="H319" s="231">
        <f>'GA55'!Q315</f>
        <v>0</v>
      </c>
    </row>
    <row r="320" spans="1:8" x14ac:dyDescent="0.2">
      <c r="A320" s="231">
        <f>'GA55'!A316</f>
        <v>0</v>
      </c>
      <c r="B320" s="231">
        <f>'GA55'!B316</f>
        <v>0</v>
      </c>
      <c r="C320" s="305">
        <f>'GA55'!C316</f>
        <v>0</v>
      </c>
      <c r="D320" s="231">
        <f>'GA55'!D316</f>
        <v>0</v>
      </c>
      <c r="E320" s="305">
        <f>'GA55'!E316</f>
        <v>0</v>
      </c>
      <c r="F320" s="231">
        <f>'GA55'!F316</f>
        <v>0</v>
      </c>
      <c r="G320" s="309">
        <f>'GA55'!G316</f>
        <v>0</v>
      </c>
      <c r="H320" s="231">
        <f>'GA55'!Q316</f>
        <v>0</v>
      </c>
    </row>
    <row r="321" spans="1:8" x14ac:dyDescent="0.2">
      <c r="A321" s="231">
        <f>'GA55'!A317</f>
        <v>0</v>
      </c>
      <c r="B321" s="231">
        <f>'GA55'!B317</f>
        <v>0</v>
      </c>
      <c r="C321" s="305">
        <f>'GA55'!C317</f>
        <v>0</v>
      </c>
      <c r="D321" s="231">
        <f>'GA55'!D317</f>
        <v>0</v>
      </c>
      <c r="E321" s="305">
        <f>'GA55'!E317</f>
        <v>0</v>
      </c>
      <c r="F321" s="231">
        <f>'GA55'!F317</f>
        <v>0</v>
      </c>
      <c r="G321" s="309">
        <f>'GA55'!G317</f>
        <v>0</v>
      </c>
      <c r="H321" s="231">
        <f>'GA55'!Q317</f>
        <v>0</v>
      </c>
    </row>
    <row r="322" spans="1:8" x14ac:dyDescent="0.2">
      <c r="A322" s="231">
        <f>'GA55'!A318</f>
        <v>0</v>
      </c>
      <c r="B322" s="231">
        <f>'GA55'!B318</f>
        <v>0</v>
      </c>
      <c r="C322" s="305">
        <f>'GA55'!C318</f>
        <v>0</v>
      </c>
      <c r="D322" s="231">
        <f>'GA55'!D318</f>
        <v>0</v>
      </c>
      <c r="E322" s="305">
        <f>'GA55'!E318</f>
        <v>0</v>
      </c>
      <c r="F322" s="231">
        <f>'GA55'!F318</f>
        <v>0</v>
      </c>
      <c r="G322" s="309">
        <f>'GA55'!G318</f>
        <v>0</v>
      </c>
      <c r="H322" s="231">
        <f>'GA55'!Q318</f>
        <v>0</v>
      </c>
    </row>
    <row r="323" spans="1:8" x14ac:dyDescent="0.2">
      <c r="A323" s="231">
        <f>'GA55'!A319</f>
        <v>0</v>
      </c>
      <c r="B323" s="231">
        <f>'GA55'!B319</f>
        <v>0</v>
      </c>
      <c r="C323" s="305">
        <f>'GA55'!C319</f>
        <v>0</v>
      </c>
      <c r="D323" s="231">
        <f>'GA55'!D319</f>
        <v>0</v>
      </c>
      <c r="E323" s="305">
        <f>'GA55'!E319</f>
        <v>0</v>
      </c>
      <c r="F323" s="231">
        <f>'GA55'!F319</f>
        <v>0</v>
      </c>
      <c r="G323" s="309">
        <f>'GA55'!G319</f>
        <v>0</v>
      </c>
      <c r="H323" s="231">
        <f>'GA55'!Q319</f>
        <v>0</v>
      </c>
    </row>
    <row r="324" spans="1:8" x14ac:dyDescent="0.2">
      <c r="A324" s="231">
        <f>'GA55'!A320</f>
        <v>0</v>
      </c>
      <c r="B324" s="231">
        <f>'GA55'!B320</f>
        <v>0</v>
      </c>
      <c r="C324" s="305">
        <f>'GA55'!C320</f>
        <v>0</v>
      </c>
      <c r="D324" s="231">
        <f>'GA55'!D320</f>
        <v>0</v>
      </c>
      <c r="E324" s="305">
        <f>'GA55'!E320</f>
        <v>0</v>
      </c>
      <c r="F324" s="231">
        <f>'GA55'!F320</f>
        <v>0</v>
      </c>
      <c r="G324" s="309">
        <f>'GA55'!G320</f>
        <v>0</v>
      </c>
      <c r="H324" s="231">
        <f>'GA55'!Q320</f>
        <v>0</v>
      </c>
    </row>
    <row r="325" spans="1:8" x14ac:dyDescent="0.2">
      <c r="A325" s="231">
        <f>'GA55'!A321</f>
        <v>0</v>
      </c>
      <c r="B325" s="231">
        <f>'GA55'!B321</f>
        <v>0</v>
      </c>
      <c r="C325" s="305">
        <f>'GA55'!C321</f>
        <v>0</v>
      </c>
      <c r="D325" s="231">
        <f>'GA55'!D321</f>
        <v>0</v>
      </c>
      <c r="E325" s="305">
        <f>'GA55'!E321</f>
        <v>0</v>
      </c>
      <c r="F325" s="231">
        <f>'GA55'!F321</f>
        <v>0</v>
      </c>
      <c r="G325" s="309">
        <f>'GA55'!G321</f>
        <v>0</v>
      </c>
      <c r="H325" s="231">
        <f>'GA55'!Q321</f>
        <v>0</v>
      </c>
    </row>
    <row r="326" spans="1:8" x14ac:dyDescent="0.2">
      <c r="A326" s="231">
        <f>'GA55'!A322</f>
        <v>0</v>
      </c>
      <c r="B326" s="231">
        <f>'GA55'!B322</f>
        <v>0</v>
      </c>
      <c r="C326" s="305">
        <f>'GA55'!C322</f>
        <v>0</v>
      </c>
      <c r="D326" s="231">
        <f>'GA55'!D322</f>
        <v>0</v>
      </c>
      <c r="E326" s="305">
        <f>'GA55'!E322</f>
        <v>0</v>
      </c>
      <c r="F326" s="231">
        <f>'GA55'!F322</f>
        <v>0</v>
      </c>
      <c r="G326" s="309">
        <f>'GA55'!G322</f>
        <v>0</v>
      </c>
      <c r="H326" s="231">
        <f>'GA55'!Q322</f>
        <v>0</v>
      </c>
    </row>
    <row r="327" spans="1:8" x14ac:dyDescent="0.2">
      <c r="A327" s="231">
        <f>'GA55'!A323</f>
        <v>0</v>
      </c>
      <c r="B327" s="231">
        <f>'GA55'!B323</f>
        <v>0</v>
      </c>
      <c r="C327" s="305">
        <f>'GA55'!C323</f>
        <v>0</v>
      </c>
      <c r="D327" s="231">
        <f>'GA55'!D323</f>
        <v>0</v>
      </c>
      <c r="E327" s="305">
        <f>'GA55'!E323</f>
        <v>0</v>
      </c>
      <c r="F327" s="231">
        <f>'GA55'!F323</f>
        <v>0</v>
      </c>
      <c r="G327" s="309">
        <f>'GA55'!G323</f>
        <v>0</v>
      </c>
      <c r="H327" s="231">
        <f>'GA55'!Q323</f>
        <v>0</v>
      </c>
    </row>
    <row r="328" spans="1:8" x14ac:dyDescent="0.2">
      <c r="A328" s="231">
        <f>'GA55'!A324</f>
        <v>0</v>
      </c>
      <c r="B328" s="231">
        <f>'GA55'!B324</f>
        <v>0</v>
      </c>
      <c r="C328" s="305">
        <f>'GA55'!C324</f>
        <v>0</v>
      </c>
      <c r="D328" s="231">
        <f>'GA55'!D324</f>
        <v>0</v>
      </c>
      <c r="E328" s="305">
        <f>'GA55'!E324</f>
        <v>0</v>
      </c>
      <c r="F328" s="231">
        <f>'GA55'!F324</f>
        <v>0</v>
      </c>
      <c r="G328" s="309">
        <f>'GA55'!G324</f>
        <v>0</v>
      </c>
      <c r="H328" s="231">
        <f>'GA55'!Q324</f>
        <v>0</v>
      </c>
    </row>
    <row r="329" spans="1:8" x14ac:dyDescent="0.2">
      <c r="A329" s="231">
        <f>'GA55'!A325</f>
        <v>0</v>
      </c>
      <c r="B329" s="231">
        <f>'GA55'!B325</f>
        <v>0</v>
      </c>
      <c r="C329" s="305">
        <f>'GA55'!C325</f>
        <v>0</v>
      </c>
      <c r="D329" s="231">
        <f>'GA55'!D325</f>
        <v>0</v>
      </c>
      <c r="E329" s="305">
        <f>'GA55'!E325</f>
        <v>0</v>
      </c>
      <c r="F329" s="231">
        <f>'GA55'!F325</f>
        <v>0</v>
      </c>
      <c r="G329" s="309">
        <f>'GA55'!G325</f>
        <v>0</v>
      </c>
      <c r="H329" s="231">
        <f>'GA55'!Q325</f>
        <v>0</v>
      </c>
    </row>
    <row r="330" spans="1:8" x14ac:dyDescent="0.2">
      <c r="A330" s="231">
        <f>'GA55'!A326</f>
        <v>0</v>
      </c>
      <c r="B330" s="231">
        <f>'GA55'!B326</f>
        <v>0</v>
      </c>
      <c r="C330" s="305">
        <f>'GA55'!C326</f>
        <v>0</v>
      </c>
      <c r="D330" s="231">
        <f>'GA55'!D326</f>
        <v>0</v>
      </c>
      <c r="E330" s="305">
        <f>'GA55'!E326</f>
        <v>0</v>
      </c>
      <c r="F330" s="231">
        <f>'GA55'!F326</f>
        <v>0</v>
      </c>
      <c r="G330" s="309">
        <f>'GA55'!G326</f>
        <v>0</v>
      </c>
      <c r="H330" s="231">
        <f>'GA55'!Q326</f>
        <v>0</v>
      </c>
    </row>
    <row r="331" spans="1:8" x14ac:dyDescent="0.2">
      <c r="A331" s="231">
        <f>'GA55'!A327</f>
        <v>0</v>
      </c>
      <c r="B331" s="231">
        <f>'GA55'!B327</f>
        <v>0</v>
      </c>
      <c r="C331" s="305">
        <f>'GA55'!C327</f>
        <v>0</v>
      </c>
      <c r="D331" s="231">
        <f>'GA55'!D327</f>
        <v>0</v>
      </c>
      <c r="E331" s="305">
        <f>'GA55'!E327</f>
        <v>0</v>
      </c>
      <c r="F331" s="231">
        <f>'GA55'!F327</f>
        <v>0</v>
      </c>
      <c r="G331" s="309">
        <f>'GA55'!G327</f>
        <v>0</v>
      </c>
      <c r="H331" s="231">
        <f>'GA55'!Q327</f>
        <v>0</v>
      </c>
    </row>
    <row r="332" spans="1:8" x14ac:dyDescent="0.2">
      <c r="A332" s="231">
        <f>'GA55'!A328</f>
        <v>0</v>
      </c>
      <c r="B332" s="231">
        <f>'GA55'!B328</f>
        <v>0</v>
      </c>
      <c r="C332" s="305">
        <f>'GA55'!C328</f>
        <v>0</v>
      </c>
      <c r="D332" s="231">
        <f>'GA55'!D328</f>
        <v>0</v>
      </c>
      <c r="E332" s="305">
        <f>'GA55'!E328</f>
        <v>0</v>
      </c>
      <c r="F332" s="231">
        <f>'GA55'!F328</f>
        <v>0</v>
      </c>
      <c r="G332" s="309">
        <f>'GA55'!G328</f>
        <v>0</v>
      </c>
      <c r="H332" s="231">
        <f>'GA55'!Q328</f>
        <v>0</v>
      </c>
    </row>
    <row r="333" spans="1:8" x14ac:dyDescent="0.2">
      <c r="A333" s="231">
        <f>'GA55'!A329</f>
        <v>0</v>
      </c>
      <c r="B333" s="231">
        <f>'GA55'!B329</f>
        <v>0</v>
      </c>
      <c r="C333" s="305">
        <f>'GA55'!C329</f>
        <v>0</v>
      </c>
      <c r="D333" s="231">
        <f>'GA55'!D329</f>
        <v>0</v>
      </c>
      <c r="E333" s="305">
        <f>'GA55'!E329</f>
        <v>0</v>
      </c>
      <c r="F333" s="231">
        <f>'GA55'!F329</f>
        <v>0</v>
      </c>
      <c r="G333" s="309">
        <f>'GA55'!G329</f>
        <v>0</v>
      </c>
      <c r="H333" s="231">
        <f>'GA55'!Q329</f>
        <v>0</v>
      </c>
    </row>
    <row r="334" spans="1:8" x14ac:dyDescent="0.2">
      <c r="A334" s="231">
        <f>'GA55'!A330</f>
        <v>0</v>
      </c>
      <c r="B334" s="231">
        <f>'GA55'!B330</f>
        <v>0</v>
      </c>
      <c r="C334" s="305">
        <f>'GA55'!C330</f>
        <v>0</v>
      </c>
      <c r="D334" s="231">
        <f>'GA55'!D330</f>
        <v>0</v>
      </c>
      <c r="E334" s="305">
        <f>'GA55'!E330</f>
        <v>0</v>
      </c>
      <c r="F334" s="231">
        <f>'GA55'!F330</f>
        <v>0</v>
      </c>
      <c r="G334" s="309">
        <f>'GA55'!G330</f>
        <v>0</v>
      </c>
      <c r="H334" s="231">
        <f>'GA55'!Q330</f>
        <v>0</v>
      </c>
    </row>
    <row r="335" spans="1:8" x14ac:dyDescent="0.2">
      <c r="A335" s="231">
        <f>'GA55'!A331</f>
        <v>0</v>
      </c>
      <c r="B335" s="231">
        <f>'GA55'!B331</f>
        <v>0</v>
      </c>
      <c r="C335" s="305">
        <f>'GA55'!C331</f>
        <v>0</v>
      </c>
      <c r="D335" s="231">
        <f>'GA55'!D331</f>
        <v>0</v>
      </c>
      <c r="E335" s="305">
        <f>'GA55'!E331</f>
        <v>0</v>
      </c>
      <c r="F335" s="231">
        <f>'GA55'!F331</f>
        <v>0</v>
      </c>
      <c r="G335" s="309">
        <f>'GA55'!G331</f>
        <v>0</v>
      </c>
      <c r="H335" s="231">
        <f>'GA55'!Q331</f>
        <v>0</v>
      </c>
    </row>
    <row r="336" spans="1:8" x14ac:dyDescent="0.2">
      <c r="A336" s="231">
        <f>'GA55'!A332</f>
        <v>0</v>
      </c>
      <c r="B336" s="231">
        <f>'GA55'!B332</f>
        <v>0</v>
      </c>
      <c r="C336" s="305">
        <f>'GA55'!C332</f>
        <v>0</v>
      </c>
      <c r="D336" s="231">
        <f>'GA55'!D332</f>
        <v>0</v>
      </c>
      <c r="E336" s="305">
        <f>'GA55'!E332</f>
        <v>0</v>
      </c>
      <c r="F336" s="231">
        <f>'GA55'!F332</f>
        <v>0</v>
      </c>
      <c r="G336" s="309">
        <f>'GA55'!G332</f>
        <v>0</v>
      </c>
      <c r="H336" s="231">
        <f>'GA55'!Q332</f>
        <v>0</v>
      </c>
    </row>
    <row r="337" spans="1:8" x14ac:dyDescent="0.2">
      <c r="A337" s="231">
        <f>'GA55'!A333</f>
        <v>0</v>
      </c>
      <c r="B337" s="231">
        <f>'GA55'!B333</f>
        <v>0</v>
      </c>
      <c r="C337" s="305">
        <f>'GA55'!C333</f>
        <v>0</v>
      </c>
      <c r="D337" s="231">
        <f>'GA55'!D333</f>
        <v>0</v>
      </c>
      <c r="E337" s="305">
        <f>'GA55'!E333</f>
        <v>0</v>
      </c>
      <c r="F337" s="231">
        <f>'GA55'!F333</f>
        <v>0</v>
      </c>
      <c r="G337" s="309">
        <f>'GA55'!G333</f>
        <v>0</v>
      </c>
      <c r="H337" s="231">
        <f>'GA55'!Q333</f>
        <v>0</v>
      </c>
    </row>
    <row r="338" spans="1:8" x14ac:dyDescent="0.2">
      <c r="A338" s="231">
        <f>'GA55'!A334</f>
        <v>0</v>
      </c>
      <c r="B338" s="231">
        <f>'GA55'!B334</f>
        <v>0</v>
      </c>
      <c r="C338" s="305">
        <f>'GA55'!C334</f>
        <v>0</v>
      </c>
      <c r="D338" s="231">
        <f>'GA55'!D334</f>
        <v>0</v>
      </c>
      <c r="E338" s="305">
        <f>'GA55'!E334</f>
        <v>0</v>
      </c>
      <c r="F338" s="231">
        <f>'GA55'!F334</f>
        <v>0</v>
      </c>
      <c r="G338" s="309">
        <f>'GA55'!G334</f>
        <v>0</v>
      </c>
      <c r="H338" s="231">
        <f>'GA55'!Q334</f>
        <v>0</v>
      </c>
    </row>
    <row r="339" spans="1:8" x14ac:dyDescent="0.2">
      <c r="A339" s="231">
        <f>'GA55'!A335</f>
        <v>0</v>
      </c>
      <c r="B339" s="231">
        <f>'GA55'!B335</f>
        <v>0</v>
      </c>
      <c r="C339" s="305">
        <f>'GA55'!C335</f>
        <v>0</v>
      </c>
      <c r="D339" s="231">
        <f>'GA55'!D335</f>
        <v>0</v>
      </c>
      <c r="E339" s="305">
        <f>'GA55'!E335</f>
        <v>0</v>
      </c>
      <c r="F339" s="231">
        <f>'GA55'!F335</f>
        <v>0</v>
      </c>
      <c r="G339" s="309">
        <f>'GA55'!G335</f>
        <v>0</v>
      </c>
      <c r="H339" s="231">
        <f>'GA55'!Q335</f>
        <v>0</v>
      </c>
    </row>
    <row r="340" spans="1:8" x14ac:dyDescent="0.2">
      <c r="A340" s="231">
        <f>'GA55'!A336</f>
        <v>0</v>
      </c>
      <c r="B340" s="231">
        <f>'GA55'!B336</f>
        <v>0</v>
      </c>
      <c r="C340" s="305">
        <f>'GA55'!C336</f>
        <v>0</v>
      </c>
      <c r="D340" s="231">
        <f>'GA55'!D336</f>
        <v>0</v>
      </c>
      <c r="E340" s="305">
        <f>'GA55'!E336</f>
        <v>0</v>
      </c>
      <c r="F340" s="231">
        <f>'GA55'!F336</f>
        <v>0</v>
      </c>
      <c r="G340" s="309">
        <f>'GA55'!G336</f>
        <v>0</v>
      </c>
      <c r="H340" s="231">
        <f>'GA55'!Q336</f>
        <v>0</v>
      </c>
    </row>
    <row r="341" spans="1:8" x14ac:dyDescent="0.2">
      <c r="A341" s="231">
        <f>'GA55'!A337</f>
        <v>0</v>
      </c>
      <c r="B341" s="231">
        <f>'GA55'!B337</f>
        <v>0</v>
      </c>
      <c r="C341" s="305">
        <f>'GA55'!C337</f>
        <v>0</v>
      </c>
      <c r="D341" s="231">
        <f>'GA55'!D337</f>
        <v>0</v>
      </c>
      <c r="E341" s="305">
        <f>'GA55'!E337</f>
        <v>0</v>
      </c>
      <c r="F341" s="231">
        <f>'GA55'!F337</f>
        <v>0</v>
      </c>
      <c r="G341" s="309">
        <f>'GA55'!G337</f>
        <v>0</v>
      </c>
      <c r="H341" s="231">
        <f>'GA55'!Q337</f>
        <v>0</v>
      </c>
    </row>
    <row r="342" spans="1:8" x14ac:dyDescent="0.2">
      <c r="A342" s="231">
        <f>'GA55'!A338</f>
        <v>0</v>
      </c>
      <c r="B342" s="231">
        <f>'GA55'!B338</f>
        <v>0</v>
      </c>
      <c r="C342" s="305">
        <f>'GA55'!C338</f>
        <v>0</v>
      </c>
      <c r="D342" s="231">
        <f>'GA55'!D338</f>
        <v>0</v>
      </c>
      <c r="E342" s="305">
        <f>'GA55'!E338</f>
        <v>0</v>
      </c>
      <c r="F342" s="231">
        <f>'GA55'!F338</f>
        <v>0</v>
      </c>
      <c r="G342" s="309">
        <f>'GA55'!G338</f>
        <v>0</v>
      </c>
      <c r="H342" s="231">
        <f>'GA55'!Q338</f>
        <v>0</v>
      </c>
    </row>
    <row r="343" spans="1:8" x14ac:dyDescent="0.2">
      <c r="A343" s="231">
        <f>'GA55'!A339</f>
        <v>0</v>
      </c>
      <c r="B343" s="231">
        <f>'GA55'!B339</f>
        <v>0</v>
      </c>
      <c r="C343" s="305">
        <f>'GA55'!C339</f>
        <v>0</v>
      </c>
      <c r="D343" s="231">
        <f>'GA55'!D339</f>
        <v>0</v>
      </c>
      <c r="E343" s="305">
        <f>'GA55'!E339</f>
        <v>0</v>
      </c>
      <c r="F343" s="231">
        <f>'GA55'!F339</f>
        <v>0</v>
      </c>
      <c r="G343" s="309">
        <f>'GA55'!G339</f>
        <v>0</v>
      </c>
      <c r="H343" s="231">
        <f>'GA55'!Q339</f>
        <v>0</v>
      </c>
    </row>
    <row r="344" spans="1:8" x14ac:dyDescent="0.2">
      <c r="A344" s="231">
        <f>'GA55'!A340</f>
        <v>0</v>
      </c>
      <c r="B344" s="231">
        <f>'GA55'!B340</f>
        <v>0</v>
      </c>
      <c r="C344" s="305">
        <f>'GA55'!C340</f>
        <v>0</v>
      </c>
      <c r="D344" s="231">
        <f>'GA55'!D340</f>
        <v>0</v>
      </c>
      <c r="E344" s="305">
        <f>'GA55'!E340</f>
        <v>0</v>
      </c>
      <c r="F344" s="231">
        <f>'GA55'!F340</f>
        <v>0</v>
      </c>
      <c r="G344" s="309">
        <f>'GA55'!G340</f>
        <v>0</v>
      </c>
      <c r="H344" s="231">
        <f>'GA55'!Q340</f>
        <v>0</v>
      </c>
    </row>
    <row r="345" spans="1:8" x14ac:dyDescent="0.2">
      <c r="A345" s="231">
        <f>'GA55'!A341</f>
        <v>0</v>
      </c>
      <c r="B345" s="231">
        <f>'GA55'!B341</f>
        <v>0</v>
      </c>
      <c r="C345" s="305">
        <f>'GA55'!C341</f>
        <v>0</v>
      </c>
      <c r="D345" s="231">
        <f>'GA55'!D341</f>
        <v>0</v>
      </c>
      <c r="E345" s="305">
        <f>'GA55'!E341</f>
        <v>0</v>
      </c>
      <c r="F345" s="231">
        <f>'GA55'!F341</f>
        <v>0</v>
      </c>
      <c r="G345" s="309">
        <f>'GA55'!G341</f>
        <v>0</v>
      </c>
      <c r="H345" s="231">
        <f>'GA55'!Q341</f>
        <v>0</v>
      </c>
    </row>
    <row r="346" spans="1:8" x14ac:dyDescent="0.2">
      <c r="A346" s="231">
        <f>'GA55'!A342</f>
        <v>0</v>
      </c>
      <c r="B346" s="231">
        <f>'GA55'!B342</f>
        <v>0</v>
      </c>
      <c r="C346" s="305">
        <f>'GA55'!C342</f>
        <v>0</v>
      </c>
      <c r="D346" s="231">
        <f>'GA55'!D342</f>
        <v>0</v>
      </c>
      <c r="E346" s="305">
        <f>'GA55'!E342</f>
        <v>0</v>
      </c>
      <c r="F346" s="231">
        <f>'GA55'!F342</f>
        <v>0</v>
      </c>
      <c r="G346" s="309">
        <f>'GA55'!G342</f>
        <v>0</v>
      </c>
      <c r="H346" s="231">
        <f>'GA55'!Q342</f>
        <v>0</v>
      </c>
    </row>
    <row r="347" spans="1:8" x14ac:dyDescent="0.2">
      <c r="A347" s="231">
        <f>'GA55'!A343</f>
        <v>0</v>
      </c>
      <c r="B347" s="231">
        <f>'GA55'!B343</f>
        <v>0</v>
      </c>
      <c r="C347" s="305">
        <f>'GA55'!C343</f>
        <v>0</v>
      </c>
      <c r="D347" s="231">
        <f>'GA55'!D343</f>
        <v>0</v>
      </c>
      <c r="E347" s="305">
        <f>'GA55'!E343</f>
        <v>0</v>
      </c>
      <c r="F347" s="231">
        <f>'GA55'!F343</f>
        <v>0</v>
      </c>
      <c r="G347" s="309">
        <f>'GA55'!G343</f>
        <v>0</v>
      </c>
      <c r="H347" s="231">
        <f>'GA55'!Q343</f>
        <v>0</v>
      </c>
    </row>
    <row r="348" spans="1:8" x14ac:dyDescent="0.2">
      <c r="A348" s="231">
        <f>'GA55'!A344</f>
        <v>0</v>
      </c>
      <c r="B348" s="231">
        <f>'GA55'!B344</f>
        <v>0</v>
      </c>
      <c r="C348" s="305">
        <f>'GA55'!C344</f>
        <v>0</v>
      </c>
      <c r="D348" s="231">
        <f>'GA55'!D344</f>
        <v>0</v>
      </c>
      <c r="E348" s="305">
        <f>'GA55'!E344</f>
        <v>0</v>
      </c>
      <c r="F348" s="231">
        <f>'GA55'!F344</f>
        <v>0</v>
      </c>
      <c r="G348" s="309">
        <f>'GA55'!G344</f>
        <v>0</v>
      </c>
      <c r="H348" s="231">
        <f>'GA55'!Q344</f>
        <v>0</v>
      </c>
    </row>
    <row r="349" spans="1:8" x14ac:dyDescent="0.2">
      <c r="A349" s="231">
        <f>'GA55'!A345</f>
        <v>0</v>
      </c>
      <c r="B349" s="231">
        <f>'GA55'!B345</f>
        <v>0</v>
      </c>
      <c r="C349" s="305">
        <f>'GA55'!C345</f>
        <v>0</v>
      </c>
      <c r="D349" s="231">
        <f>'GA55'!D345</f>
        <v>0</v>
      </c>
      <c r="E349" s="305">
        <f>'GA55'!E345</f>
        <v>0</v>
      </c>
      <c r="F349" s="231">
        <f>'GA55'!F345</f>
        <v>0</v>
      </c>
      <c r="G349" s="309">
        <f>'GA55'!G345</f>
        <v>0</v>
      </c>
      <c r="H349" s="231">
        <f>'GA55'!Q345</f>
        <v>0</v>
      </c>
    </row>
    <row r="350" spans="1:8" x14ac:dyDescent="0.2">
      <c r="A350" s="231">
        <f>'GA55'!A346</f>
        <v>0</v>
      </c>
      <c r="B350" s="231">
        <f>'GA55'!B346</f>
        <v>0</v>
      </c>
      <c r="C350" s="305">
        <f>'GA55'!C346</f>
        <v>0</v>
      </c>
      <c r="D350" s="231">
        <f>'GA55'!D346</f>
        <v>0</v>
      </c>
      <c r="E350" s="305">
        <f>'GA55'!E346</f>
        <v>0</v>
      </c>
      <c r="F350" s="231">
        <f>'GA55'!F346</f>
        <v>0</v>
      </c>
      <c r="G350" s="309">
        <f>'GA55'!G346</f>
        <v>0</v>
      </c>
      <c r="H350" s="231">
        <f>'GA55'!Q346</f>
        <v>0</v>
      </c>
    </row>
    <row r="351" spans="1:8" x14ac:dyDescent="0.2">
      <c r="A351" s="231">
        <f>'GA55'!A347</f>
        <v>0</v>
      </c>
      <c r="B351" s="231">
        <f>'GA55'!B347</f>
        <v>0</v>
      </c>
      <c r="C351" s="305">
        <f>'GA55'!C347</f>
        <v>0</v>
      </c>
      <c r="D351" s="231">
        <f>'GA55'!D347</f>
        <v>0</v>
      </c>
      <c r="E351" s="305">
        <f>'GA55'!E347</f>
        <v>0</v>
      </c>
      <c r="F351" s="231">
        <f>'GA55'!F347</f>
        <v>0</v>
      </c>
      <c r="G351" s="309">
        <f>'GA55'!G347</f>
        <v>0</v>
      </c>
      <c r="H351" s="231">
        <f>'GA55'!Q347</f>
        <v>0</v>
      </c>
    </row>
    <row r="352" spans="1:8" x14ac:dyDescent="0.2">
      <c r="A352" s="231">
        <f>'GA55'!A348</f>
        <v>0</v>
      </c>
      <c r="B352" s="231">
        <f>'GA55'!B348</f>
        <v>0</v>
      </c>
      <c r="C352" s="305">
        <f>'GA55'!C348</f>
        <v>0</v>
      </c>
      <c r="D352" s="231">
        <f>'GA55'!D348</f>
        <v>0</v>
      </c>
      <c r="E352" s="305">
        <f>'GA55'!E348</f>
        <v>0</v>
      </c>
      <c r="F352" s="231">
        <f>'GA55'!F348</f>
        <v>0</v>
      </c>
      <c r="G352" s="309">
        <f>'GA55'!G348</f>
        <v>0</v>
      </c>
      <c r="H352" s="231">
        <f>'GA55'!Q348</f>
        <v>0</v>
      </c>
    </row>
    <row r="353" spans="1:8" x14ac:dyDescent="0.2">
      <c r="A353" s="231">
        <f>'GA55'!A349</f>
        <v>0</v>
      </c>
      <c r="B353" s="231">
        <f>'GA55'!B349</f>
        <v>0</v>
      </c>
      <c r="C353" s="305">
        <f>'GA55'!C349</f>
        <v>0</v>
      </c>
      <c r="D353" s="231">
        <f>'GA55'!D349</f>
        <v>0</v>
      </c>
      <c r="E353" s="305">
        <f>'GA55'!E349</f>
        <v>0</v>
      </c>
      <c r="F353" s="231">
        <f>'GA55'!F349</f>
        <v>0</v>
      </c>
      <c r="G353" s="309">
        <f>'GA55'!G349</f>
        <v>0</v>
      </c>
      <c r="H353" s="231">
        <f>'GA55'!Q349</f>
        <v>0</v>
      </c>
    </row>
    <row r="354" spans="1:8" x14ac:dyDescent="0.2">
      <c r="A354" s="231">
        <f>'GA55'!A350</f>
        <v>0</v>
      </c>
      <c r="B354" s="231">
        <f>'GA55'!B350</f>
        <v>0</v>
      </c>
      <c r="C354" s="305">
        <f>'GA55'!C350</f>
        <v>0</v>
      </c>
      <c r="D354" s="231">
        <f>'GA55'!D350</f>
        <v>0</v>
      </c>
      <c r="E354" s="305">
        <f>'GA55'!E350</f>
        <v>0</v>
      </c>
      <c r="F354" s="231">
        <f>'GA55'!F350</f>
        <v>0</v>
      </c>
      <c r="G354" s="309">
        <f>'GA55'!G350</f>
        <v>0</v>
      </c>
      <c r="H354" s="231">
        <f>'GA55'!Q350</f>
        <v>0</v>
      </c>
    </row>
    <row r="355" spans="1:8" x14ac:dyDescent="0.2">
      <c r="A355" s="231">
        <f>'GA55'!A351</f>
        <v>0</v>
      </c>
      <c r="B355" s="231">
        <f>'GA55'!B351</f>
        <v>0</v>
      </c>
      <c r="C355" s="305">
        <f>'GA55'!C351</f>
        <v>0</v>
      </c>
      <c r="D355" s="231">
        <f>'GA55'!D351</f>
        <v>0</v>
      </c>
      <c r="E355" s="305">
        <f>'GA55'!E351</f>
        <v>0</v>
      </c>
      <c r="F355" s="231">
        <f>'GA55'!F351</f>
        <v>0</v>
      </c>
      <c r="G355" s="309">
        <f>'GA55'!G351</f>
        <v>0</v>
      </c>
      <c r="H355" s="231">
        <f>'GA55'!Q351</f>
        <v>0</v>
      </c>
    </row>
    <row r="356" spans="1:8" x14ac:dyDescent="0.2">
      <c r="A356" s="231">
        <f>'GA55'!A352</f>
        <v>0</v>
      </c>
      <c r="B356" s="231">
        <f>'GA55'!B352</f>
        <v>0</v>
      </c>
      <c r="C356" s="305">
        <f>'GA55'!C352</f>
        <v>0</v>
      </c>
      <c r="D356" s="231">
        <f>'GA55'!D352</f>
        <v>0</v>
      </c>
      <c r="E356" s="305">
        <f>'GA55'!E352</f>
        <v>0</v>
      </c>
      <c r="F356" s="231">
        <f>'GA55'!F352</f>
        <v>0</v>
      </c>
      <c r="G356" s="309">
        <f>'GA55'!G352</f>
        <v>0</v>
      </c>
      <c r="H356" s="231">
        <f>'GA55'!Q352</f>
        <v>0</v>
      </c>
    </row>
    <row r="357" spans="1:8" x14ac:dyDescent="0.2">
      <c r="A357" s="231">
        <f>'GA55'!A353</f>
        <v>0</v>
      </c>
      <c r="B357" s="231">
        <f>'GA55'!B353</f>
        <v>0</v>
      </c>
      <c r="C357" s="305">
        <f>'GA55'!C353</f>
        <v>0</v>
      </c>
      <c r="D357" s="231">
        <f>'GA55'!D353</f>
        <v>0</v>
      </c>
      <c r="E357" s="305">
        <f>'GA55'!E353</f>
        <v>0</v>
      </c>
      <c r="F357" s="231">
        <f>'GA55'!F353</f>
        <v>0</v>
      </c>
      <c r="G357" s="309">
        <f>'GA55'!G353</f>
        <v>0</v>
      </c>
      <c r="H357" s="231">
        <f>'GA55'!Q353</f>
        <v>0</v>
      </c>
    </row>
    <row r="358" spans="1:8" x14ac:dyDescent="0.2">
      <c r="A358" s="231">
        <f>'GA55'!A354</f>
        <v>0</v>
      </c>
      <c r="B358" s="231">
        <f>'GA55'!B354</f>
        <v>0</v>
      </c>
      <c r="C358" s="305">
        <f>'GA55'!C354</f>
        <v>0</v>
      </c>
      <c r="D358" s="231">
        <f>'GA55'!D354</f>
        <v>0</v>
      </c>
      <c r="E358" s="305">
        <f>'GA55'!E354</f>
        <v>0</v>
      </c>
      <c r="F358" s="231">
        <f>'GA55'!F354</f>
        <v>0</v>
      </c>
      <c r="G358" s="309">
        <f>'GA55'!G354</f>
        <v>0</v>
      </c>
      <c r="H358" s="231">
        <f>'GA55'!Q354</f>
        <v>0</v>
      </c>
    </row>
    <row r="359" spans="1:8" x14ac:dyDescent="0.2">
      <c r="A359" s="231">
        <f>'GA55'!A355</f>
        <v>0</v>
      </c>
      <c r="B359" s="231">
        <f>'GA55'!B355</f>
        <v>0</v>
      </c>
      <c r="C359" s="305">
        <f>'GA55'!C355</f>
        <v>0</v>
      </c>
      <c r="D359" s="231">
        <f>'GA55'!D355</f>
        <v>0</v>
      </c>
      <c r="E359" s="305">
        <f>'GA55'!E355</f>
        <v>0</v>
      </c>
      <c r="F359" s="231">
        <f>'GA55'!F355</f>
        <v>0</v>
      </c>
      <c r="G359" s="309">
        <f>'GA55'!G355</f>
        <v>0</v>
      </c>
      <c r="H359" s="231">
        <f>'GA55'!Q355</f>
        <v>0</v>
      </c>
    </row>
    <row r="360" spans="1:8" x14ac:dyDescent="0.2">
      <c r="A360" s="231">
        <f>'GA55'!A356</f>
        <v>0</v>
      </c>
      <c r="B360" s="231">
        <f>'GA55'!B356</f>
        <v>0</v>
      </c>
      <c r="C360" s="305">
        <f>'GA55'!C356</f>
        <v>0</v>
      </c>
      <c r="D360" s="231">
        <f>'GA55'!D356</f>
        <v>0</v>
      </c>
      <c r="E360" s="305">
        <f>'GA55'!E356</f>
        <v>0</v>
      </c>
      <c r="F360" s="231">
        <f>'GA55'!F356</f>
        <v>0</v>
      </c>
      <c r="G360" s="309">
        <f>'GA55'!G356</f>
        <v>0</v>
      </c>
      <c r="H360" s="231">
        <f>'GA55'!Q356</f>
        <v>0</v>
      </c>
    </row>
    <row r="361" spans="1:8" x14ac:dyDescent="0.2">
      <c r="A361" s="231">
        <f>'GA55'!A357</f>
        <v>0</v>
      </c>
      <c r="B361" s="231">
        <f>'GA55'!B357</f>
        <v>0</v>
      </c>
      <c r="C361" s="305">
        <f>'GA55'!C357</f>
        <v>0</v>
      </c>
      <c r="D361" s="231">
        <f>'GA55'!D357</f>
        <v>0</v>
      </c>
      <c r="E361" s="305">
        <f>'GA55'!E357</f>
        <v>0</v>
      </c>
      <c r="F361" s="231">
        <f>'GA55'!F357</f>
        <v>0</v>
      </c>
      <c r="G361" s="309">
        <f>'GA55'!G357</f>
        <v>0</v>
      </c>
      <c r="H361" s="231">
        <f>'GA55'!Q357</f>
        <v>0</v>
      </c>
    </row>
    <row r="362" spans="1:8" x14ac:dyDescent="0.2">
      <c r="A362" s="231">
        <f>'GA55'!A358</f>
        <v>0</v>
      </c>
      <c r="B362" s="231">
        <f>'GA55'!B358</f>
        <v>0</v>
      </c>
      <c r="C362" s="305">
        <f>'GA55'!C358</f>
        <v>0</v>
      </c>
      <c r="D362" s="231">
        <f>'GA55'!D358</f>
        <v>0</v>
      </c>
      <c r="E362" s="305">
        <f>'GA55'!E358</f>
        <v>0</v>
      </c>
      <c r="F362" s="231">
        <f>'GA55'!F358</f>
        <v>0</v>
      </c>
      <c r="G362" s="309">
        <f>'GA55'!G358</f>
        <v>0</v>
      </c>
      <c r="H362" s="231">
        <f>'GA55'!Q358</f>
        <v>0</v>
      </c>
    </row>
    <row r="363" spans="1:8" x14ac:dyDescent="0.2">
      <c r="A363" s="231">
        <f>'GA55'!A359</f>
        <v>0</v>
      </c>
      <c r="B363" s="231">
        <f>'GA55'!B359</f>
        <v>0</v>
      </c>
      <c r="C363" s="305">
        <f>'GA55'!C359</f>
        <v>0</v>
      </c>
      <c r="D363" s="231">
        <f>'GA55'!D359</f>
        <v>0</v>
      </c>
      <c r="E363" s="305">
        <f>'GA55'!E359</f>
        <v>0</v>
      </c>
      <c r="F363" s="231">
        <f>'GA55'!F359</f>
        <v>0</v>
      </c>
      <c r="G363" s="309">
        <f>'GA55'!G359</f>
        <v>0</v>
      </c>
      <c r="H363" s="231">
        <f>'GA55'!Q359</f>
        <v>0</v>
      </c>
    </row>
    <row r="364" spans="1:8" x14ac:dyDescent="0.2">
      <c r="A364" s="231">
        <f>'GA55'!A360</f>
        <v>0</v>
      </c>
      <c r="B364" s="231">
        <f>'GA55'!B360</f>
        <v>0</v>
      </c>
      <c r="C364" s="305">
        <f>'GA55'!C360</f>
        <v>0</v>
      </c>
      <c r="D364" s="231">
        <f>'GA55'!D360</f>
        <v>0</v>
      </c>
      <c r="E364" s="305">
        <f>'GA55'!E360</f>
        <v>0</v>
      </c>
      <c r="F364" s="231">
        <f>'GA55'!F360</f>
        <v>0</v>
      </c>
      <c r="G364" s="309">
        <f>'GA55'!G360</f>
        <v>0</v>
      </c>
      <c r="H364" s="231">
        <f>'GA55'!Q360</f>
        <v>0</v>
      </c>
    </row>
    <row r="365" spans="1:8" x14ac:dyDescent="0.2">
      <c r="A365" s="231">
        <f>'GA55'!A361</f>
        <v>0</v>
      </c>
      <c r="B365" s="231">
        <f>'GA55'!B361</f>
        <v>0</v>
      </c>
      <c r="C365" s="305">
        <f>'GA55'!C361</f>
        <v>0</v>
      </c>
      <c r="D365" s="231">
        <f>'GA55'!D361</f>
        <v>0</v>
      </c>
      <c r="E365" s="305">
        <f>'GA55'!E361</f>
        <v>0</v>
      </c>
      <c r="F365" s="231">
        <f>'GA55'!F361</f>
        <v>0</v>
      </c>
      <c r="G365" s="309">
        <f>'GA55'!G361</f>
        <v>0</v>
      </c>
      <c r="H365" s="231">
        <f>'GA55'!Q361</f>
        <v>0</v>
      </c>
    </row>
    <row r="366" spans="1:8" x14ac:dyDescent="0.2">
      <c r="A366" s="231">
        <f>'GA55'!A362</f>
        <v>0</v>
      </c>
      <c r="B366" s="231">
        <f>'GA55'!B362</f>
        <v>0</v>
      </c>
      <c r="C366" s="305">
        <f>'GA55'!C362</f>
        <v>0</v>
      </c>
      <c r="D366" s="231">
        <f>'GA55'!D362</f>
        <v>0</v>
      </c>
      <c r="E366" s="305">
        <f>'GA55'!E362</f>
        <v>0</v>
      </c>
      <c r="F366" s="231">
        <f>'GA55'!F362</f>
        <v>0</v>
      </c>
      <c r="G366" s="309">
        <f>'GA55'!G362</f>
        <v>0</v>
      </c>
      <c r="H366" s="231">
        <f>'GA55'!Q362</f>
        <v>0</v>
      </c>
    </row>
    <row r="367" spans="1:8" x14ac:dyDescent="0.2">
      <c r="A367" s="231">
        <f>'GA55'!A363</f>
        <v>0</v>
      </c>
      <c r="B367" s="231">
        <f>'GA55'!B363</f>
        <v>0</v>
      </c>
      <c r="C367" s="305">
        <f>'GA55'!C363</f>
        <v>0</v>
      </c>
      <c r="D367" s="231">
        <f>'GA55'!D363</f>
        <v>0</v>
      </c>
      <c r="E367" s="305">
        <f>'GA55'!E363</f>
        <v>0</v>
      </c>
      <c r="F367" s="231">
        <f>'GA55'!F363</f>
        <v>0</v>
      </c>
      <c r="G367" s="309">
        <f>'GA55'!G363</f>
        <v>0</v>
      </c>
      <c r="H367" s="231">
        <f>'GA55'!Q363</f>
        <v>0</v>
      </c>
    </row>
    <row r="368" spans="1:8" x14ac:dyDescent="0.2">
      <c r="A368" s="231">
        <f>'GA55'!A364</f>
        <v>0</v>
      </c>
      <c r="B368" s="231">
        <f>'GA55'!B364</f>
        <v>0</v>
      </c>
      <c r="C368" s="305">
        <f>'GA55'!C364</f>
        <v>0</v>
      </c>
      <c r="D368" s="231">
        <f>'GA55'!D364</f>
        <v>0</v>
      </c>
      <c r="E368" s="305">
        <f>'GA55'!E364</f>
        <v>0</v>
      </c>
      <c r="F368" s="231">
        <f>'GA55'!F364</f>
        <v>0</v>
      </c>
      <c r="G368" s="309">
        <f>'GA55'!G364</f>
        <v>0</v>
      </c>
      <c r="H368" s="231">
        <f>'GA55'!Q364</f>
        <v>0</v>
      </c>
    </row>
    <row r="369" spans="1:8" x14ac:dyDescent="0.2">
      <c r="A369" s="231">
        <f>'GA55'!A365</f>
        <v>0</v>
      </c>
      <c r="B369" s="231">
        <f>'GA55'!B365</f>
        <v>0</v>
      </c>
      <c r="C369" s="305">
        <f>'GA55'!C365</f>
        <v>0</v>
      </c>
      <c r="D369" s="231">
        <f>'GA55'!D365</f>
        <v>0</v>
      </c>
      <c r="E369" s="305">
        <f>'GA55'!E365</f>
        <v>0</v>
      </c>
      <c r="F369" s="231">
        <f>'GA55'!F365</f>
        <v>0</v>
      </c>
      <c r="G369" s="309">
        <f>'GA55'!G365</f>
        <v>0</v>
      </c>
      <c r="H369" s="231">
        <f>'GA55'!Q365</f>
        <v>0</v>
      </c>
    </row>
    <row r="370" spans="1:8" x14ac:dyDescent="0.2">
      <c r="A370" s="231">
        <f>'GA55'!A366</f>
        <v>0</v>
      </c>
      <c r="B370" s="231">
        <f>'GA55'!B366</f>
        <v>0</v>
      </c>
      <c r="C370" s="305">
        <f>'GA55'!C366</f>
        <v>0</v>
      </c>
      <c r="D370" s="231">
        <f>'GA55'!D366</f>
        <v>0</v>
      </c>
      <c r="E370" s="305">
        <f>'GA55'!E366</f>
        <v>0</v>
      </c>
      <c r="F370" s="231">
        <f>'GA55'!F366</f>
        <v>0</v>
      </c>
      <c r="G370" s="309">
        <f>'GA55'!G366</f>
        <v>0</v>
      </c>
      <c r="H370" s="231">
        <f>'GA55'!Q366</f>
        <v>0</v>
      </c>
    </row>
    <row r="371" spans="1:8" x14ac:dyDescent="0.2">
      <c r="A371" s="231">
        <f>'GA55'!A367</f>
        <v>0</v>
      </c>
      <c r="B371" s="231">
        <f>'GA55'!B367</f>
        <v>0</v>
      </c>
      <c r="C371" s="305">
        <f>'GA55'!C367</f>
        <v>0</v>
      </c>
      <c r="D371" s="231">
        <f>'GA55'!D367</f>
        <v>0</v>
      </c>
      <c r="E371" s="305">
        <f>'GA55'!E367</f>
        <v>0</v>
      </c>
      <c r="F371" s="231">
        <f>'GA55'!F367</f>
        <v>0</v>
      </c>
      <c r="G371" s="309">
        <f>'GA55'!G367</f>
        <v>0</v>
      </c>
      <c r="H371" s="231">
        <f>'GA55'!Q367</f>
        <v>0</v>
      </c>
    </row>
    <row r="372" spans="1:8" x14ac:dyDescent="0.2">
      <c r="A372" s="231">
        <f>'GA55'!A368</f>
        <v>0</v>
      </c>
      <c r="B372" s="231">
        <f>'GA55'!B368</f>
        <v>0</v>
      </c>
      <c r="C372" s="305">
        <f>'GA55'!C368</f>
        <v>0</v>
      </c>
      <c r="D372" s="231">
        <f>'GA55'!D368</f>
        <v>0</v>
      </c>
      <c r="E372" s="305">
        <f>'GA55'!E368</f>
        <v>0</v>
      </c>
      <c r="F372" s="231">
        <f>'GA55'!F368</f>
        <v>0</v>
      </c>
      <c r="G372" s="309">
        <f>'GA55'!G368</f>
        <v>0</v>
      </c>
      <c r="H372" s="231">
        <f>'GA55'!Q368</f>
        <v>0</v>
      </c>
    </row>
    <row r="373" spans="1:8" x14ac:dyDescent="0.2">
      <c r="A373" s="231">
        <f>'GA55'!A369</f>
        <v>0</v>
      </c>
      <c r="B373" s="231">
        <f>'GA55'!B369</f>
        <v>0</v>
      </c>
      <c r="C373" s="305">
        <f>'GA55'!C369</f>
        <v>0</v>
      </c>
      <c r="D373" s="231">
        <f>'GA55'!D369</f>
        <v>0</v>
      </c>
      <c r="E373" s="305">
        <f>'GA55'!E369</f>
        <v>0</v>
      </c>
      <c r="F373" s="231">
        <f>'GA55'!F369</f>
        <v>0</v>
      </c>
      <c r="G373" s="309">
        <f>'GA55'!G369</f>
        <v>0</v>
      </c>
      <c r="H373" s="231">
        <f>'GA55'!Q369</f>
        <v>0</v>
      </c>
    </row>
    <row r="374" spans="1:8" x14ac:dyDescent="0.2">
      <c r="A374" s="231">
        <f>'GA55'!A370</f>
        <v>0</v>
      </c>
      <c r="B374" s="231">
        <f>'GA55'!B370</f>
        <v>0</v>
      </c>
      <c r="C374" s="305">
        <f>'GA55'!C370</f>
        <v>0</v>
      </c>
      <c r="D374" s="231">
        <f>'GA55'!D370</f>
        <v>0</v>
      </c>
      <c r="E374" s="305">
        <f>'GA55'!E370</f>
        <v>0</v>
      </c>
      <c r="F374" s="231">
        <f>'GA55'!F370</f>
        <v>0</v>
      </c>
      <c r="G374" s="309">
        <f>'GA55'!G370</f>
        <v>0</v>
      </c>
      <c r="H374" s="231">
        <f>'GA55'!Q370</f>
        <v>0</v>
      </c>
    </row>
    <row r="375" spans="1:8" x14ac:dyDescent="0.2">
      <c r="A375" s="231">
        <f>'GA55'!A371</f>
        <v>0</v>
      </c>
      <c r="B375" s="231">
        <f>'GA55'!B371</f>
        <v>0</v>
      </c>
      <c r="C375" s="305">
        <f>'GA55'!C371</f>
        <v>0</v>
      </c>
      <c r="D375" s="231">
        <f>'GA55'!D371</f>
        <v>0</v>
      </c>
      <c r="E375" s="305">
        <f>'GA55'!E371</f>
        <v>0</v>
      </c>
      <c r="F375" s="231">
        <f>'GA55'!F371</f>
        <v>0</v>
      </c>
      <c r="G375" s="309">
        <f>'GA55'!G371</f>
        <v>0</v>
      </c>
      <c r="H375" s="231">
        <f>'GA55'!Q371</f>
        <v>0</v>
      </c>
    </row>
    <row r="376" spans="1:8" x14ac:dyDescent="0.2">
      <c r="A376" s="231">
        <f>'GA55'!A372</f>
        <v>0</v>
      </c>
      <c r="B376" s="231">
        <f>'GA55'!B372</f>
        <v>0</v>
      </c>
      <c r="C376" s="305">
        <f>'GA55'!C372</f>
        <v>0</v>
      </c>
      <c r="D376" s="231">
        <f>'GA55'!D372</f>
        <v>0</v>
      </c>
      <c r="E376" s="305">
        <f>'GA55'!E372</f>
        <v>0</v>
      </c>
      <c r="F376" s="231">
        <f>'GA55'!F372</f>
        <v>0</v>
      </c>
      <c r="G376" s="309">
        <f>'GA55'!G372</f>
        <v>0</v>
      </c>
      <c r="H376" s="231">
        <f>'GA55'!Q372</f>
        <v>0</v>
      </c>
    </row>
    <row r="377" spans="1:8" x14ac:dyDescent="0.2">
      <c r="A377" s="231">
        <f>'GA55'!A373</f>
        <v>0</v>
      </c>
      <c r="B377" s="231">
        <f>'GA55'!B373</f>
        <v>0</v>
      </c>
      <c r="C377" s="305">
        <f>'GA55'!C373</f>
        <v>0</v>
      </c>
      <c r="D377" s="231">
        <f>'GA55'!D373</f>
        <v>0</v>
      </c>
      <c r="E377" s="305">
        <f>'GA55'!E373</f>
        <v>0</v>
      </c>
      <c r="F377" s="231">
        <f>'GA55'!F373</f>
        <v>0</v>
      </c>
      <c r="G377" s="309">
        <f>'GA55'!G373</f>
        <v>0</v>
      </c>
      <c r="H377" s="231">
        <f>'GA55'!Q373</f>
        <v>0</v>
      </c>
    </row>
    <row r="378" spans="1:8" x14ac:dyDescent="0.2">
      <c r="A378" s="231">
        <f>'GA55'!A374</f>
        <v>0</v>
      </c>
      <c r="B378" s="231">
        <f>'GA55'!B374</f>
        <v>0</v>
      </c>
      <c r="C378" s="305">
        <f>'GA55'!C374</f>
        <v>0</v>
      </c>
      <c r="D378" s="231">
        <f>'GA55'!D374</f>
        <v>0</v>
      </c>
      <c r="E378" s="305">
        <f>'GA55'!E374</f>
        <v>0</v>
      </c>
      <c r="F378" s="231">
        <f>'GA55'!F374</f>
        <v>0</v>
      </c>
      <c r="G378" s="309">
        <f>'GA55'!G374</f>
        <v>0</v>
      </c>
      <c r="H378" s="231">
        <f>'GA55'!Q374</f>
        <v>0</v>
      </c>
    </row>
    <row r="379" spans="1:8" x14ac:dyDescent="0.2">
      <c r="A379" s="231">
        <f>'GA55'!A375</f>
        <v>0</v>
      </c>
      <c r="B379" s="231">
        <f>'GA55'!B375</f>
        <v>0</v>
      </c>
      <c r="C379" s="305">
        <f>'GA55'!C375</f>
        <v>0</v>
      </c>
      <c r="D379" s="231">
        <f>'GA55'!D375</f>
        <v>0</v>
      </c>
      <c r="E379" s="305">
        <f>'GA55'!E375</f>
        <v>0</v>
      </c>
      <c r="F379" s="231">
        <f>'GA55'!F375</f>
        <v>0</v>
      </c>
      <c r="G379" s="309">
        <f>'GA55'!G375</f>
        <v>0</v>
      </c>
      <c r="H379" s="231">
        <f>'GA55'!Q375</f>
        <v>0</v>
      </c>
    </row>
    <row r="380" spans="1:8" x14ac:dyDescent="0.2">
      <c r="A380" s="231">
        <f>'GA55'!A376</f>
        <v>0</v>
      </c>
      <c r="B380" s="231">
        <f>'GA55'!B376</f>
        <v>0</v>
      </c>
      <c r="C380" s="305">
        <f>'GA55'!C376</f>
        <v>0</v>
      </c>
      <c r="D380" s="231">
        <f>'GA55'!D376</f>
        <v>0</v>
      </c>
      <c r="E380" s="305">
        <f>'GA55'!E376</f>
        <v>0</v>
      </c>
      <c r="F380" s="231">
        <f>'GA55'!F376</f>
        <v>0</v>
      </c>
      <c r="G380" s="309">
        <f>'GA55'!G376</f>
        <v>0</v>
      </c>
      <c r="H380" s="231">
        <f>'GA55'!Q376</f>
        <v>0</v>
      </c>
    </row>
    <row r="381" spans="1:8" x14ac:dyDescent="0.2">
      <c r="A381" s="231">
        <f>'GA55'!A377</f>
        <v>0</v>
      </c>
      <c r="B381" s="231">
        <f>'GA55'!B377</f>
        <v>0</v>
      </c>
      <c r="C381" s="305">
        <f>'GA55'!C377</f>
        <v>0</v>
      </c>
      <c r="D381" s="231">
        <f>'GA55'!D377</f>
        <v>0</v>
      </c>
      <c r="E381" s="305">
        <f>'GA55'!E377</f>
        <v>0</v>
      </c>
      <c r="F381" s="231">
        <f>'GA55'!F377</f>
        <v>0</v>
      </c>
      <c r="G381" s="309">
        <f>'GA55'!G377</f>
        <v>0</v>
      </c>
      <c r="H381" s="231">
        <f>'GA55'!Q377</f>
        <v>0</v>
      </c>
    </row>
    <row r="382" spans="1:8" x14ac:dyDescent="0.2">
      <c r="A382" s="231">
        <f>'GA55'!A378</f>
        <v>0</v>
      </c>
      <c r="B382" s="231">
        <f>'GA55'!B378</f>
        <v>0</v>
      </c>
      <c r="C382" s="305">
        <f>'GA55'!C378</f>
        <v>0</v>
      </c>
      <c r="D382" s="231">
        <f>'GA55'!D378</f>
        <v>0</v>
      </c>
      <c r="E382" s="305">
        <f>'GA55'!E378</f>
        <v>0</v>
      </c>
      <c r="F382" s="231">
        <f>'GA55'!F378</f>
        <v>0</v>
      </c>
      <c r="G382" s="309">
        <f>'GA55'!G378</f>
        <v>0</v>
      </c>
      <c r="H382" s="231">
        <f>'GA55'!Q378</f>
        <v>0</v>
      </c>
    </row>
    <row r="383" spans="1:8" x14ac:dyDescent="0.2">
      <c r="A383" s="231">
        <f>'GA55'!A379</f>
        <v>0</v>
      </c>
      <c r="B383" s="231">
        <f>'GA55'!B379</f>
        <v>0</v>
      </c>
      <c r="C383" s="305">
        <f>'GA55'!C379</f>
        <v>0</v>
      </c>
      <c r="D383" s="231">
        <f>'GA55'!D379</f>
        <v>0</v>
      </c>
      <c r="E383" s="305">
        <f>'GA55'!E379</f>
        <v>0</v>
      </c>
      <c r="F383" s="231">
        <f>'GA55'!F379</f>
        <v>0</v>
      </c>
      <c r="G383" s="309">
        <f>'GA55'!G379</f>
        <v>0</v>
      </c>
      <c r="H383" s="231">
        <f>'GA55'!Q379</f>
        <v>0</v>
      </c>
    </row>
    <row r="384" spans="1:8" x14ac:dyDescent="0.2">
      <c r="A384" s="231">
        <f>'GA55'!A380</f>
        <v>0</v>
      </c>
      <c r="B384" s="231">
        <f>'GA55'!B380</f>
        <v>0</v>
      </c>
      <c r="C384" s="305">
        <f>'GA55'!C380</f>
        <v>0</v>
      </c>
      <c r="D384" s="231">
        <f>'GA55'!D380</f>
        <v>0</v>
      </c>
      <c r="E384" s="305">
        <f>'GA55'!E380</f>
        <v>0</v>
      </c>
      <c r="F384" s="231">
        <f>'GA55'!F380</f>
        <v>0</v>
      </c>
      <c r="G384" s="309">
        <f>'GA55'!G380</f>
        <v>0</v>
      </c>
      <c r="H384" s="231">
        <f>'GA55'!Q380</f>
        <v>0</v>
      </c>
    </row>
    <row r="385" spans="1:8" x14ac:dyDescent="0.2">
      <c r="A385" s="231">
        <f>'GA55'!A381</f>
        <v>0</v>
      </c>
      <c r="B385" s="231">
        <f>'GA55'!B381</f>
        <v>0</v>
      </c>
      <c r="C385" s="305">
        <f>'GA55'!C381</f>
        <v>0</v>
      </c>
      <c r="D385" s="231">
        <f>'GA55'!D381</f>
        <v>0</v>
      </c>
      <c r="E385" s="305">
        <f>'GA55'!E381</f>
        <v>0</v>
      </c>
      <c r="F385" s="231">
        <f>'GA55'!F381</f>
        <v>0</v>
      </c>
      <c r="G385" s="309">
        <f>'GA55'!G381</f>
        <v>0</v>
      </c>
      <c r="H385" s="231">
        <f>'GA55'!Q381</f>
        <v>0</v>
      </c>
    </row>
    <row r="386" spans="1:8" x14ac:dyDescent="0.2">
      <c r="A386" s="231">
        <f>'GA55'!A382</f>
        <v>0</v>
      </c>
      <c r="B386" s="231">
        <f>'GA55'!B382</f>
        <v>0</v>
      </c>
      <c r="C386" s="305">
        <f>'GA55'!C382</f>
        <v>0</v>
      </c>
      <c r="D386" s="231">
        <f>'GA55'!D382</f>
        <v>0</v>
      </c>
      <c r="E386" s="305">
        <f>'GA55'!E382</f>
        <v>0</v>
      </c>
      <c r="F386" s="231">
        <f>'GA55'!F382</f>
        <v>0</v>
      </c>
      <c r="G386" s="309">
        <f>'GA55'!G382</f>
        <v>0</v>
      </c>
      <c r="H386" s="231">
        <f>'GA55'!Q382</f>
        <v>0</v>
      </c>
    </row>
    <row r="387" spans="1:8" x14ac:dyDescent="0.2">
      <c r="A387" s="231">
        <f>'GA55'!A383</f>
        <v>0</v>
      </c>
      <c r="B387" s="231">
        <f>'GA55'!B383</f>
        <v>0</v>
      </c>
      <c r="C387" s="305">
        <f>'GA55'!C383</f>
        <v>0</v>
      </c>
      <c r="D387" s="231">
        <f>'GA55'!D383</f>
        <v>0</v>
      </c>
      <c r="E387" s="305">
        <f>'GA55'!E383</f>
        <v>0</v>
      </c>
      <c r="F387" s="231">
        <f>'GA55'!F383</f>
        <v>0</v>
      </c>
      <c r="G387" s="309">
        <f>'GA55'!G383</f>
        <v>0</v>
      </c>
      <c r="H387" s="231">
        <f>'GA55'!Q383</f>
        <v>0</v>
      </c>
    </row>
    <row r="388" spans="1:8" x14ac:dyDescent="0.2">
      <c r="A388" s="231">
        <f>'GA55'!A384</f>
        <v>0</v>
      </c>
      <c r="B388" s="231">
        <f>'GA55'!B384</f>
        <v>0</v>
      </c>
      <c r="C388" s="305">
        <f>'GA55'!C384</f>
        <v>0</v>
      </c>
      <c r="D388" s="231">
        <f>'GA55'!D384</f>
        <v>0</v>
      </c>
      <c r="E388" s="305">
        <f>'GA55'!E384</f>
        <v>0</v>
      </c>
      <c r="F388" s="231">
        <f>'GA55'!F384</f>
        <v>0</v>
      </c>
      <c r="G388" s="309">
        <f>'GA55'!G384</f>
        <v>0</v>
      </c>
      <c r="H388" s="231">
        <f>'GA55'!Q384</f>
        <v>0</v>
      </c>
    </row>
    <row r="389" spans="1:8" x14ac:dyDescent="0.2">
      <c r="A389" s="231">
        <f>'GA55'!A385</f>
        <v>0</v>
      </c>
      <c r="B389" s="231">
        <f>'GA55'!B385</f>
        <v>0</v>
      </c>
      <c r="C389" s="305">
        <f>'GA55'!C385</f>
        <v>0</v>
      </c>
      <c r="D389" s="231">
        <f>'GA55'!D385</f>
        <v>0</v>
      </c>
      <c r="E389" s="305">
        <f>'GA55'!E385</f>
        <v>0</v>
      </c>
      <c r="F389" s="231">
        <f>'GA55'!F385</f>
        <v>0</v>
      </c>
      <c r="G389" s="309">
        <f>'GA55'!G385</f>
        <v>0</v>
      </c>
      <c r="H389" s="231">
        <f>'GA55'!Q385</f>
        <v>0</v>
      </c>
    </row>
    <row r="390" spans="1:8" x14ac:dyDescent="0.2">
      <c r="A390" s="231">
        <f>'GA55'!A386</f>
        <v>0</v>
      </c>
      <c r="B390" s="231">
        <f>'GA55'!B386</f>
        <v>0</v>
      </c>
      <c r="C390" s="305">
        <f>'GA55'!C386</f>
        <v>0</v>
      </c>
      <c r="D390" s="231">
        <f>'GA55'!D386</f>
        <v>0</v>
      </c>
      <c r="E390" s="305">
        <f>'GA55'!E386</f>
        <v>0</v>
      </c>
      <c r="F390" s="231">
        <f>'GA55'!F386</f>
        <v>0</v>
      </c>
      <c r="G390" s="309">
        <f>'GA55'!G386</f>
        <v>0</v>
      </c>
      <c r="H390" s="231">
        <f>'GA55'!Q386</f>
        <v>0</v>
      </c>
    </row>
    <row r="391" spans="1:8" x14ac:dyDescent="0.2">
      <c r="A391" s="231">
        <f>'GA55'!A387</f>
        <v>0</v>
      </c>
      <c r="B391" s="231">
        <f>'GA55'!B387</f>
        <v>0</v>
      </c>
      <c r="C391" s="305">
        <f>'GA55'!C387</f>
        <v>0</v>
      </c>
      <c r="D391" s="231">
        <f>'GA55'!D387</f>
        <v>0</v>
      </c>
      <c r="E391" s="305">
        <f>'GA55'!E387</f>
        <v>0</v>
      </c>
      <c r="F391" s="231">
        <f>'GA55'!F387</f>
        <v>0</v>
      </c>
      <c r="G391" s="309">
        <f>'GA55'!G387</f>
        <v>0</v>
      </c>
      <c r="H391" s="231">
        <f>'GA55'!Q387</f>
        <v>0</v>
      </c>
    </row>
    <row r="392" spans="1:8" x14ac:dyDescent="0.2">
      <c r="A392" s="231">
        <f>'GA55'!A388</f>
        <v>0</v>
      </c>
      <c r="B392" s="231">
        <f>'GA55'!B388</f>
        <v>0</v>
      </c>
      <c r="C392" s="305">
        <f>'GA55'!C388</f>
        <v>0</v>
      </c>
      <c r="D392" s="231">
        <f>'GA55'!D388</f>
        <v>0</v>
      </c>
      <c r="E392" s="305">
        <f>'GA55'!E388</f>
        <v>0</v>
      </c>
      <c r="F392" s="231">
        <f>'GA55'!F388</f>
        <v>0</v>
      </c>
      <c r="G392" s="309">
        <f>'GA55'!G388</f>
        <v>0</v>
      </c>
      <c r="H392" s="231">
        <f>'GA55'!Q388</f>
        <v>0</v>
      </c>
    </row>
    <row r="393" spans="1:8" x14ac:dyDescent="0.2">
      <c r="A393" s="231">
        <f>'GA55'!A389</f>
        <v>0</v>
      </c>
      <c r="B393" s="231">
        <f>'GA55'!B389</f>
        <v>0</v>
      </c>
      <c r="C393" s="305">
        <f>'GA55'!C389</f>
        <v>0</v>
      </c>
      <c r="D393" s="231">
        <f>'GA55'!D389</f>
        <v>0</v>
      </c>
      <c r="E393" s="305">
        <f>'GA55'!E389</f>
        <v>0</v>
      </c>
      <c r="F393" s="231">
        <f>'GA55'!F389</f>
        <v>0</v>
      </c>
      <c r="G393" s="309">
        <f>'GA55'!G389</f>
        <v>0</v>
      </c>
      <c r="H393" s="231">
        <f>'GA55'!Q389</f>
        <v>0</v>
      </c>
    </row>
    <row r="394" spans="1:8" x14ac:dyDescent="0.2">
      <c r="A394" s="231">
        <f>'GA55'!A390</f>
        <v>0</v>
      </c>
      <c r="B394" s="231">
        <f>'GA55'!B390</f>
        <v>0</v>
      </c>
      <c r="C394" s="305">
        <f>'GA55'!C390</f>
        <v>0</v>
      </c>
      <c r="D394" s="231">
        <f>'GA55'!D390</f>
        <v>0</v>
      </c>
      <c r="E394" s="305">
        <f>'GA55'!E390</f>
        <v>0</v>
      </c>
      <c r="F394" s="231">
        <f>'GA55'!F390</f>
        <v>0</v>
      </c>
      <c r="G394" s="309">
        <f>'GA55'!G390</f>
        <v>0</v>
      </c>
      <c r="H394" s="231">
        <f>'GA55'!Q390</f>
        <v>0</v>
      </c>
    </row>
    <row r="395" spans="1:8" x14ac:dyDescent="0.2">
      <c r="A395" s="231">
        <f>'GA55'!A391</f>
        <v>0</v>
      </c>
      <c r="B395" s="231">
        <f>'GA55'!B391</f>
        <v>0</v>
      </c>
      <c r="C395" s="305">
        <f>'GA55'!C391</f>
        <v>0</v>
      </c>
      <c r="D395" s="231">
        <f>'GA55'!D391</f>
        <v>0</v>
      </c>
      <c r="E395" s="305">
        <f>'GA55'!E391</f>
        <v>0</v>
      </c>
      <c r="F395" s="231">
        <f>'GA55'!F391</f>
        <v>0</v>
      </c>
      <c r="G395" s="309">
        <f>'GA55'!G391</f>
        <v>0</v>
      </c>
      <c r="H395" s="231">
        <f>'GA55'!Q391</f>
        <v>0</v>
      </c>
    </row>
    <row r="396" spans="1:8" x14ac:dyDescent="0.2">
      <c r="A396" s="231">
        <f>'GA55'!A392</f>
        <v>0</v>
      </c>
      <c r="B396" s="231">
        <f>'GA55'!B392</f>
        <v>0</v>
      </c>
      <c r="C396" s="305">
        <f>'GA55'!C392</f>
        <v>0</v>
      </c>
      <c r="D396" s="231">
        <f>'GA55'!D392</f>
        <v>0</v>
      </c>
      <c r="E396" s="305">
        <f>'GA55'!E392</f>
        <v>0</v>
      </c>
      <c r="F396" s="231">
        <f>'GA55'!F392</f>
        <v>0</v>
      </c>
      <c r="G396" s="309">
        <f>'GA55'!G392</f>
        <v>0</v>
      </c>
      <c r="H396" s="231">
        <f>'GA55'!Q392</f>
        <v>0</v>
      </c>
    </row>
    <row r="397" spans="1:8" x14ac:dyDescent="0.2">
      <c r="A397" s="231">
        <f>'GA55'!A393</f>
        <v>0</v>
      </c>
      <c r="B397" s="231">
        <f>'GA55'!B393</f>
        <v>0</v>
      </c>
      <c r="C397" s="305">
        <f>'GA55'!C393</f>
        <v>0</v>
      </c>
      <c r="D397" s="231">
        <f>'GA55'!D393</f>
        <v>0</v>
      </c>
      <c r="E397" s="305">
        <f>'GA55'!E393</f>
        <v>0</v>
      </c>
      <c r="F397" s="231">
        <f>'GA55'!F393</f>
        <v>0</v>
      </c>
      <c r="G397" s="309">
        <f>'GA55'!G393</f>
        <v>0</v>
      </c>
      <c r="H397" s="231">
        <f>'GA55'!Q393</f>
        <v>0</v>
      </c>
    </row>
    <row r="398" spans="1:8" x14ac:dyDescent="0.2">
      <c r="A398" s="231">
        <f>'GA55'!A394</f>
        <v>0</v>
      </c>
      <c r="B398" s="231">
        <f>'GA55'!B394</f>
        <v>0</v>
      </c>
      <c r="C398" s="305">
        <f>'GA55'!C394</f>
        <v>0</v>
      </c>
      <c r="D398" s="231">
        <f>'GA55'!D394</f>
        <v>0</v>
      </c>
      <c r="E398" s="305">
        <f>'GA55'!E394</f>
        <v>0</v>
      </c>
      <c r="F398" s="231">
        <f>'GA55'!F394</f>
        <v>0</v>
      </c>
      <c r="G398" s="309">
        <f>'GA55'!G394</f>
        <v>0</v>
      </c>
      <c r="H398" s="231">
        <f>'GA55'!Q394</f>
        <v>0</v>
      </c>
    </row>
    <row r="399" spans="1:8" x14ac:dyDescent="0.2">
      <c r="A399" s="231">
        <f>'GA55'!A395</f>
        <v>0</v>
      </c>
      <c r="B399" s="231">
        <f>'GA55'!B395</f>
        <v>0</v>
      </c>
      <c r="C399" s="305">
        <f>'GA55'!C395</f>
        <v>0</v>
      </c>
      <c r="D399" s="231">
        <f>'GA55'!D395</f>
        <v>0</v>
      </c>
      <c r="E399" s="305">
        <f>'GA55'!E395</f>
        <v>0</v>
      </c>
      <c r="F399" s="231">
        <f>'GA55'!F395</f>
        <v>0</v>
      </c>
      <c r="G399" s="309">
        <f>'GA55'!G395</f>
        <v>0</v>
      </c>
      <c r="H399" s="231">
        <f>'GA55'!Q395</f>
        <v>0</v>
      </c>
    </row>
    <row r="400" spans="1:8" x14ac:dyDescent="0.2">
      <c r="A400" s="231">
        <f>'GA55'!A396</f>
        <v>0</v>
      </c>
      <c r="B400" s="231">
        <f>'GA55'!B396</f>
        <v>0</v>
      </c>
      <c r="C400" s="305">
        <f>'GA55'!C396</f>
        <v>0</v>
      </c>
      <c r="D400" s="231">
        <f>'GA55'!D396</f>
        <v>0</v>
      </c>
      <c r="E400" s="305">
        <f>'GA55'!E396</f>
        <v>0</v>
      </c>
      <c r="F400" s="231">
        <f>'GA55'!F396</f>
        <v>0</v>
      </c>
      <c r="G400" s="309">
        <f>'GA55'!G396</f>
        <v>0</v>
      </c>
      <c r="H400" s="231">
        <f>'GA55'!Q396</f>
        <v>0</v>
      </c>
    </row>
    <row r="401" spans="1:8" x14ac:dyDescent="0.2">
      <c r="A401" s="231">
        <f>'GA55'!A397</f>
        <v>0</v>
      </c>
      <c r="B401" s="231">
        <f>'GA55'!B397</f>
        <v>0</v>
      </c>
      <c r="C401" s="305">
        <f>'GA55'!C397</f>
        <v>0</v>
      </c>
      <c r="D401" s="231">
        <f>'GA55'!D397</f>
        <v>0</v>
      </c>
      <c r="E401" s="305">
        <f>'GA55'!E397</f>
        <v>0</v>
      </c>
      <c r="F401" s="231">
        <f>'GA55'!F397</f>
        <v>0</v>
      </c>
      <c r="G401" s="309">
        <f>'GA55'!G397</f>
        <v>0</v>
      </c>
      <c r="H401" s="231">
        <f>'GA55'!Q397</f>
        <v>0</v>
      </c>
    </row>
    <row r="402" spans="1:8" x14ac:dyDescent="0.2">
      <c r="A402" s="231">
        <f>'GA55'!A398</f>
        <v>0</v>
      </c>
      <c r="B402" s="231">
        <f>'GA55'!B398</f>
        <v>0</v>
      </c>
      <c r="C402" s="305">
        <f>'GA55'!C398</f>
        <v>0</v>
      </c>
      <c r="D402" s="231">
        <f>'GA55'!D398</f>
        <v>0</v>
      </c>
      <c r="E402" s="305">
        <f>'GA55'!E398</f>
        <v>0</v>
      </c>
      <c r="F402" s="231">
        <f>'GA55'!F398</f>
        <v>0</v>
      </c>
      <c r="G402" s="309">
        <f>'GA55'!G398</f>
        <v>0</v>
      </c>
      <c r="H402" s="231">
        <f>'GA55'!Q398</f>
        <v>0</v>
      </c>
    </row>
    <row r="403" spans="1:8" x14ac:dyDescent="0.2">
      <c r="A403" s="231">
        <f>'GA55'!A399</f>
        <v>0</v>
      </c>
      <c r="B403" s="231">
        <f>'GA55'!B399</f>
        <v>0</v>
      </c>
      <c r="C403" s="305">
        <f>'GA55'!C399</f>
        <v>0</v>
      </c>
      <c r="D403" s="231">
        <f>'GA55'!D399</f>
        <v>0</v>
      </c>
      <c r="E403" s="305">
        <f>'GA55'!E399</f>
        <v>0</v>
      </c>
      <c r="F403" s="231">
        <f>'GA55'!F399</f>
        <v>0</v>
      </c>
      <c r="G403" s="309">
        <f>'GA55'!G399</f>
        <v>0</v>
      </c>
      <c r="H403" s="231">
        <f>'GA55'!Q399</f>
        <v>0</v>
      </c>
    </row>
    <row r="404" spans="1:8" x14ac:dyDescent="0.2">
      <c r="A404" s="231">
        <f>'GA55'!A400</f>
        <v>0</v>
      </c>
      <c r="B404" s="231">
        <f>'GA55'!B400</f>
        <v>0</v>
      </c>
      <c r="C404" s="305">
        <f>'GA55'!C400</f>
        <v>0</v>
      </c>
      <c r="D404" s="231">
        <f>'GA55'!D400</f>
        <v>0</v>
      </c>
      <c r="E404" s="305">
        <f>'GA55'!E400</f>
        <v>0</v>
      </c>
      <c r="F404" s="231">
        <f>'GA55'!F400</f>
        <v>0</v>
      </c>
      <c r="G404" s="309">
        <f>'GA55'!G400</f>
        <v>0</v>
      </c>
      <c r="H404" s="231">
        <f>'GA55'!Q400</f>
        <v>0</v>
      </c>
    </row>
    <row r="405" spans="1:8" x14ac:dyDescent="0.2">
      <c r="A405" s="231">
        <f>'GA55'!A401</f>
        <v>0</v>
      </c>
      <c r="B405" s="231">
        <f>'GA55'!B401</f>
        <v>0</v>
      </c>
      <c r="C405" s="305">
        <f>'GA55'!C401</f>
        <v>0</v>
      </c>
      <c r="D405" s="231">
        <f>'GA55'!D401</f>
        <v>0</v>
      </c>
      <c r="E405" s="305">
        <f>'GA55'!E401</f>
        <v>0</v>
      </c>
      <c r="F405" s="231">
        <f>'GA55'!F401</f>
        <v>0</v>
      </c>
      <c r="G405" s="309">
        <f>'GA55'!G401</f>
        <v>0</v>
      </c>
      <c r="H405" s="231">
        <f>'GA55'!Q401</f>
        <v>0</v>
      </c>
    </row>
    <row r="406" spans="1:8" x14ac:dyDescent="0.2">
      <c r="A406" s="231">
        <f>'GA55'!A402</f>
        <v>0</v>
      </c>
      <c r="B406" s="231">
        <f>'GA55'!B402</f>
        <v>0</v>
      </c>
      <c r="C406" s="305">
        <f>'GA55'!C402</f>
        <v>0</v>
      </c>
      <c r="D406" s="231">
        <f>'GA55'!D402</f>
        <v>0</v>
      </c>
      <c r="E406" s="305">
        <f>'GA55'!E402</f>
        <v>0</v>
      </c>
      <c r="F406" s="231">
        <f>'GA55'!F402</f>
        <v>0</v>
      </c>
      <c r="G406" s="309">
        <f>'GA55'!G402</f>
        <v>0</v>
      </c>
      <c r="H406" s="231">
        <f>'GA55'!Q402</f>
        <v>0</v>
      </c>
    </row>
    <row r="407" spans="1:8" x14ac:dyDescent="0.2">
      <c r="A407" s="231">
        <f>'GA55'!A403</f>
        <v>0</v>
      </c>
      <c r="B407" s="231">
        <f>'GA55'!B403</f>
        <v>0</v>
      </c>
      <c r="C407" s="305">
        <f>'GA55'!C403</f>
        <v>0</v>
      </c>
      <c r="D407" s="231">
        <f>'GA55'!D403</f>
        <v>0</v>
      </c>
      <c r="E407" s="305">
        <f>'GA55'!E403</f>
        <v>0</v>
      </c>
      <c r="F407" s="231">
        <f>'GA55'!F403</f>
        <v>0</v>
      </c>
      <c r="G407" s="309">
        <f>'GA55'!G403</f>
        <v>0</v>
      </c>
      <c r="H407" s="231">
        <f>'GA55'!Q403</f>
        <v>0</v>
      </c>
    </row>
    <row r="408" spans="1:8" x14ac:dyDescent="0.2">
      <c r="A408" s="231">
        <f>'GA55'!A404</f>
        <v>0</v>
      </c>
      <c r="B408" s="231">
        <f>'GA55'!B404</f>
        <v>0</v>
      </c>
      <c r="C408" s="305">
        <f>'GA55'!C404</f>
        <v>0</v>
      </c>
      <c r="D408" s="231">
        <f>'GA55'!D404</f>
        <v>0</v>
      </c>
      <c r="E408" s="305">
        <f>'GA55'!E404</f>
        <v>0</v>
      </c>
      <c r="F408" s="231">
        <f>'GA55'!F404</f>
        <v>0</v>
      </c>
      <c r="G408" s="309">
        <f>'GA55'!G404</f>
        <v>0</v>
      </c>
      <c r="H408" s="231">
        <f>'GA55'!Q404</f>
        <v>0</v>
      </c>
    </row>
    <row r="409" spans="1:8" x14ac:dyDescent="0.2">
      <c r="A409" s="231">
        <f>'GA55'!A405</f>
        <v>0</v>
      </c>
      <c r="B409" s="231">
        <f>'GA55'!B405</f>
        <v>0</v>
      </c>
      <c r="C409" s="305">
        <f>'GA55'!C405</f>
        <v>0</v>
      </c>
      <c r="D409" s="231">
        <f>'GA55'!D405</f>
        <v>0</v>
      </c>
      <c r="E409" s="305">
        <f>'GA55'!E405</f>
        <v>0</v>
      </c>
      <c r="F409" s="231">
        <f>'GA55'!F405</f>
        <v>0</v>
      </c>
      <c r="G409" s="309">
        <f>'GA55'!G405</f>
        <v>0</v>
      </c>
      <c r="H409" s="231">
        <f>'GA55'!Q405</f>
        <v>0</v>
      </c>
    </row>
    <row r="410" spans="1:8" x14ac:dyDescent="0.2">
      <c r="A410" s="231">
        <f>'GA55'!A406</f>
        <v>0</v>
      </c>
      <c r="B410" s="231">
        <f>'GA55'!B406</f>
        <v>0</v>
      </c>
      <c r="C410" s="305">
        <f>'GA55'!C406</f>
        <v>0</v>
      </c>
      <c r="D410" s="231">
        <f>'GA55'!D406</f>
        <v>0</v>
      </c>
      <c r="E410" s="305">
        <f>'GA55'!E406</f>
        <v>0</v>
      </c>
      <c r="F410" s="231">
        <f>'GA55'!F406</f>
        <v>0</v>
      </c>
      <c r="G410" s="309">
        <f>'GA55'!G406</f>
        <v>0</v>
      </c>
      <c r="H410" s="231">
        <f>'GA55'!Q406</f>
        <v>0</v>
      </c>
    </row>
    <row r="411" spans="1:8" x14ac:dyDescent="0.2">
      <c r="A411" s="231">
        <f>'GA55'!A407</f>
        <v>0</v>
      </c>
      <c r="B411" s="231">
        <f>'GA55'!B407</f>
        <v>0</v>
      </c>
      <c r="C411" s="305">
        <f>'GA55'!C407</f>
        <v>0</v>
      </c>
      <c r="D411" s="231">
        <f>'GA55'!D407</f>
        <v>0</v>
      </c>
      <c r="E411" s="305">
        <f>'GA55'!E407</f>
        <v>0</v>
      </c>
      <c r="F411" s="231">
        <f>'GA55'!F407</f>
        <v>0</v>
      </c>
      <c r="G411" s="309">
        <f>'GA55'!G407</f>
        <v>0</v>
      </c>
      <c r="H411" s="231">
        <f>'GA55'!Q407</f>
        <v>0</v>
      </c>
    </row>
    <row r="412" spans="1:8" x14ac:dyDescent="0.2">
      <c r="A412" s="231">
        <f>'GA55'!A408</f>
        <v>0</v>
      </c>
      <c r="B412" s="231">
        <f>'GA55'!B408</f>
        <v>0</v>
      </c>
      <c r="C412" s="305">
        <f>'GA55'!C408</f>
        <v>0</v>
      </c>
      <c r="D412" s="231">
        <f>'GA55'!D408</f>
        <v>0</v>
      </c>
      <c r="E412" s="305">
        <f>'GA55'!E408</f>
        <v>0</v>
      </c>
      <c r="F412" s="231">
        <f>'GA55'!F408</f>
        <v>0</v>
      </c>
      <c r="G412" s="309">
        <f>'GA55'!G408</f>
        <v>0</v>
      </c>
      <c r="H412" s="231">
        <f>'GA55'!Q408</f>
        <v>0</v>
      </c>
    </row>
    <row r="413" spans="1:8" x14ac:dyDescent="0.2">
      <c r="A413" s="231">
        <f>'GA55'!A409</f>
        <v>0</v>
      </c>
      <c r="B413" s="231">
        <f>'GA55'!B409</f>
        <v>0</v>
      </c>
      <c r="C413" s="305">
        <f>'GA55'!C409</f>
        <v>0</v>
      </c>
      <c r="D413" s="231">
        <f>'GA55'!D409</f>
        <v>0</v>
      </c>
      <c r="E413" s="305">
        <f>'GA55'!E409</f>
        <v>0</v>
      </c>
      <c r="F413" s="231">
        <f>'GA55'!F409</f>
        <v>0</v>
      </c>
      <c r="G413" s="309">
        <f>'GA55'!G409</f>
        <v>0</v>
      </c>
      <c r="H413" s="231">
        <f>'GA55'!Q409</f>
        <v>0</v>
      </c>
    </row>
    <row r="414" spans="1:8" x14ac:dyDescent="0.2">
      <c r="A414" s="231">
        <f>'GA55'!A410</f>
        <v>0</v>
      </c>
      <c r="B414" s="231">
        <f>'GA55'!B410</f>
        <v>0</v>
      </c>
      <c r="C414" s="305">
        <f>'GA55'!C410</f>
        <v>0</v>
      </c>
      <c r="D414" s="231">
        <f>'GA55'!D410</f>
        <v>0</v>
      </c>
      <c r="E414" s="305">
        <f>'GA55'!E410</f>
        <v>0</v>
      </c>
      <c r="F414" s="231">
        <f>'GA55'!F410</f>
        <v>0</v>
      </c>
      <c r="G414" s="309">
        <f>'GA55'!G410</f>
        <v>0</v>
      </c>
      <c r="H414" s="231">
        <f>'GA55'!Q410</f>
        <v>0</v>
      </c>
    </row>
    <row r="415" spans="1:8" x14ac:dyDescent="0.2">
      <c r="A415" s="231">
        <f>'GA55'!A411</f>
        <v>0</v>
      </c>
      <c r="B415" s="231">
        <f>'GA55'!B411</f>
        <v>0</v>
      </c>
      <c r="C415" s="305">
        <f>'GA55'!C411</f>
        <v>0</v>
      </c>
      <c r="D415" s="231">
        <f>'GA55'!D411</f>
        <v>0</v>
      </c>
      <c r="E415" s="305">
        <f>'GA55'!E411</f>
        <v>0</v>
      </c>
      <c r="F415" s="231">
        <f>'GA55'!F411</f>
        <v>0</v>
      </c>
      <c r="G415" s="309">
        <f>'GA55'!G411</f>
        <v>0</v>
      </c>
      <c r="H415" s="231">
        <f>'GA55'!Q411</f>
        <v>0</v>
      </c>
    </row>
    <row r="416" spans="1:8" x14ac:dyDescent="0.2">
      <c r="A416" s="231">
        <f>'GA55'!A412</f>
        <v>0</v>
      </c>
      <c r="B416" s="231">
        <f>'GA55'!B412</f>
        <v>0</v>
      </c>
      <c r="C416" s="305">
        <f>'GA55'!C412</f>
        <v>0</v>
      </c>
      <c r="D416" s="231">
        <f>'GA55'!D412</f>
        <v>0</v>
      </c>
      <c r="E416" s="305">
        <f>'GA55'!E412</f>
        <v>0</v>
      </c>
      <c r="F416" s="231">
        <f>'GA55'!F412</f>
        <v>0</v>
      </c>
      <c r="G416" s="309">
        <f>'GA55'!G412</f>
        <v>0</v>
      </c>
      <c r="H416" s="231">
        <f>'GA55'!Q412</f>
        <v>0</v>
      </c>
    </row>
    <row r="417" spans="1:8" x14ac:dyDescent="0.2">
      <c r="A417" s="231">
        <f>'GA55'!A413</f>
        <v>0</v>
      </c>
      <c r="B417" s="231">
        <f>'GA55'!B413</f>
        <v>0</v>
      </c>
      <c r="C417" s="305">
        <f>'GA55'!C413</f>
        <v>0</v>
      </c>
      <c r="D417" s="231">
        <f>'GA55'!D413</f>
        <v>0</v>
      </c>
      <c r="E417" s="305">
        <f>'GA55'!E413</f>
        <v>0</v>
      </c>
      <c r="F417" s="231">
        <f>'GA55'!F413</f>
        <v>0</v>
      </c>
      <c r="G417" s="309">
        <f>'GA55'!G413</f>
        <v>0</v>
      </c>
      <c r="H417" s="231">
        <f>'GA55'!Q413</f>
        <v>0</v>
      </c>
    </row>
    <row r="418" spans="1:8" x14ac:dyDescent="0.2">
      <c r="A418" s="231">
        <f>'GA55'!A414</f>
        <v>0</v>
      </c>
      <c r="B418" s="231">
        <f>'GA55'!B414</f>
        <v>0</v>
      </c>
      <c r="C418" s="305">
        <f>'GA55'!C414</f>
        <v>0</v>
      </c>
      <c r="D418" s="231">
        <f>'GA55'!D414</f>
        <v>0</v>
      </c>
      <c r="E418" s="305">
        <f>'GA55'!E414</f>
        <v>0</v>
      </c>
      <c r="F418" s="231">
        <f>'GA55'!F414</f>
        <v>0</v>
      </c>
      <c r="G418" s="309">
        <f>'GA55'!G414</f>
        <v>0</v>
      </c>
      <c r="H418" s="231">
        <f>'GA55'!Q414</f>
        <v>0</v>
      </c>
    </row>
    <row r="419" spans="1:8" x14ac:dyDescent="0.2">
      <c r="A419" s="231">
        <f>'GA55'!A415</f>
        <v>0</v>
      </c>
      <c r="B419" s="231">
        <f>'GA55'!B415</f>
        <v>0</v>
      </c>
      <c r="C419" s="305">
        <f>'GA55'!C415</f>
        <v>0</v>
      </c>
      <c r="D419" s="231">
        <f>'GA55'!D415</f>
        <v>0</v>
      </c>
      <c r="E419" s="305">
        <f>'GA55'!E415</f>
        <v>0</v>
      </c>
      <c r="F419" s="231">
        <f>'GA55'!F415</f>
        <v>0</v>
      </c>
      <c r="G419" s="309">
        <f>'GA55'!G415</f>
        <v>0</v>
      </c>
      <c r="H419" s="231">
        <f>'GA55'!Q415</f>
        <v>0</v>
      </c>
    </row>
    <row r="420" spans="1:8" x14ac:dyDescent="0.2">
      <c r="A420" s="231">
        <f>'GA55'!A416</f>
        <v>0</v>
      </c>
      <c r="B420" s="231">
        <f>'GA55'!B416</f>
        <v>0</v>
      </c>
      <c r="C420" s="305">
        <f>'GA55'!C416</f>
        <v>0</v>
      </c>
      <c r="D420" s="231">
        <f>'GA55'!D416</f>
        <v>0</v>
      </c>
      <c r="E420" s="305">
        <f>'GA55'!E416</f>
        <v>0</v>
      </c>
      <c r="F420" s="231">
        <f>'GA55'!F416</f>
        <v>0</v>
      </c>
      <c r="G420" s="309">
        <f>'GA55'!G416</f>
        <v>0</v>
      </c>
      <c r="H420" s="231">
        <f>'GA55'!Q416</f>
        <v>0</v>
      </c>
    </row>
    <row r="421" spans="1:8" x14ac:dyDescent="0.2">
      <c r="A421" s="231">
        <f>'GA55'!A417</f>
        <v>0</v>
      </c>
      <c r="B421" s="231">
        <f>'GA55'!B417</f>
        <v>0</v>
      </c>
      <c r="C421" s="305">
        <f>'GA55'!C417</f>
        <v>0</v>
      </c>
      <c r="D421" s="231">
        <f>'GA55'!D417</f>
        <v>0</v>
      </c>
      <c r="E421" s="305">
        <f>'GA55'!E417</f>
        <v>0</v>
      </c>
      <c r="F421" s="231">
        <f>'GA55'!F417</f>
        <v>0</v>
      </c>
      <c r="G421" s="309">
        <f>'GA55'!G417</f>
        <v>0</v>
      </c>
      <c r="H421" s="231">
        <f>'GA55'!Q417</f>
        <v>0</v>
      </c>
    </row>
    <row r="422" spans="1:8" x14ac:dyDescent="0.2">
      <c r="A422" s="231">
        <f>'GA55'!A418</f>
        <v>0</v>
      </c>
      <c r="B422" s="231">
        <f>'GA55'!B418</f>
        <v>0</v>
      </c>
      <c r="C422" s="305">
        <f>'GA55'!C418</f>
        <v>0</v>
      </c>
      <c r="D422" s="231">
        <f>'GA55'!D418</f>
        <v>0</v>
      </c>
      <c r="E422" s="305">
        <f>'GA55'!E418</f>
        <v>0</v>
      </c>
      <c r="F422" s="231">
        <f>'GA55'!F418</f>
        <v>0</v>
      </c>
      <c r="G422" s="309">
        <f>'GA55'!G418</f>
        <v>0</v>
      </c>
      <c r="H422" s="231">
        <f>'GA55'!Q418</f>
        <v>0</v>
      </c>
    </row>
    <row r="423" spans="1:8" x14ac:dyDescent="0.2">
      <c r="A423" s="231">
        <f>'GA55'!A419</f>
        <v>0</v>
      </c>
      <c r="B423" s="231">
        <f>'GA55'!B419</f>
        <v>0</v>
      </c>
      <c r="C423" s="305">
        <f>'GA55'!C419</f>
        <v>0</v>
      </c>
      <c r="D423" s="231">
        <f>'GA55'!D419</f>
        <v>0</v>
      </c>
      <c r="E423" s="305">
        <f>'GA55'!E419</f>
        <v>0</v>
      </c>
      <c r="F423" s="231">
        <f>'GA55'!F419</f>
        <v>0</v>
      </c>
      <c r="G423" s="309">
        <f>'GA55'!G419</f>
        <v>0</v>
      </c>
      <c r="H423" s="231">
        <f>'GA55'!Q419</f>
        <v>0</v>
      </c>
    </row>
    <row r="424" spans="1:8" x14ac:dyDescent="0.2">
      <c r="A424" s="231">
        <f>'GA55'!A420</f>
        <v>0</v>
      </c>
      <c r="B424" s="231">
        <f>'GA55'!B420</f>
        <v>0</v>
      </c>
      <c r="C424" s="305">
        <f>'GA55'!C420</f>
        <v>0</v>
      </c>
      <c r="D424" s="231">
        <f>'GA55'!D420</f>
        <v>0</v>
      </c>
      <c r="E424" s="305">
        <f>'GA55'!E420</f>
        <v>0</v>
      </c>
      <c r="F424" s="231">
        <f>'GA55'!F420</f>
        <v>0</v>
      </c>
      <c r="G424" s="309">
        <f>'GA55'!G420</f>
        <v>0</v>
      </c>
      <c r="H424" s="231">
        <f>'GA55'!Q420</f>
        <v>0</v>
      </c>
    </row>
    <row r="425" spans="1:8" x14ac:dyDescent="0.2">
      <c r="A425" s="231">
        <f>'GA55'!A421</f>
        <v>0</v>
      </c>
      <c r="B425" s="231">
        <f>'GA55'!B421</f>
        <v>0</v>
      </c>
      <c r="C425" s="305">
        <f>'GA55'!C421</f>
        <v>0</v>
      </c>
      <c r="D425" s="231">
        <f>'GA55'!D421</f>
        <v>0</v>
      </c>
      <c r="E425" s="305">
        <f>'GA55'!E421</f>
        <v>0</v>
      </c>
      <c r="F425" s="231">
        <f>'GA55'!F421</f>
        <v>0</v>
      </c>
      <c r="G425" s="309">
        <f>'GA55'!G421</f>
        <v>0</v>
      </c>
      <c r="H425" s="231">
        <f>'GA55'!Q421</f>
        <v>0</v>
      </c>
    </row>
    <row r="426" spans="1:8" x14ac:dyDescent="0.2">
      <c r="A426" s="231">
        <f>'GA55'!A422</f>
        <v>0</v>
      </c>
      <c r="B426" s="231">
        <f>'GA55'!B422</f>
        <v>0</v>
      </c>
      <c r="C426" s="305">
        <f>'GA55'!C422</f>
        <v>0</v>
      </c>
      <c r="D426" s="231">
        <f>'GA55'!D422</f>
        <v>0</v>
      </c>
      <c r="E426" s="305">
        <f>'GA55'!E422</f>
        <v>0</v>
      </c>
      <c r="F426" s="231">
        <f>'GA55'!F422</f>
        <v>0</v>
      </c>
      <c r="G426" s="309">
        <f>'GA55'!G422</f>
        <v>0</v>
      </c>
      <c r="H426" s="231">
        <f>'GA55'!Q422</f>
        <v>0</v>
      </c>
    </row>
    <row r="427" spans="1:8" x14ac:dyDescent="0.2">
      <c r="A427" s="231">
        <f>'GA55'!A423</f>
        <v>0</v>
      </c>
      <c r="B427" s="231">
        <f>'GA55'!B423</f>
        <v>0</v>
      </c>
      <c r="C427" s="305">
        <f>'GA55'!C423</f>
        <v>0</v>
      </c>
      <c r="D427" s="231">
        <f>'GA55'!D423</f>
        <v>0</v>
      </c>
      <c r="E427" s="305">
        <f>'GA55'!E423</f>
        <v>0</v>
      </c>
      <c r="F427" s="231">
        <f>'GA55'!F423</f>
        <v>0</v>
      </c>
      <c r="G427" s="309">
        <f>'GA55'!G423</f>
        <v>0</v>
      </c>
      <c r="H427" s="231">
        <f>'GA55'!Q423</f>
        <v>0</v>
      </c>
    </row>
    <row r="428" spans="1:8" x14ac:dyDescent="0.2">
      <c r="A428" s="231">
        <f>'GA55'!A424</f>
        <v>0</v>
      </c>
      <c r="B428" s="231">
        <f>'GA55'!B424</f>
        <v>0</v>
      </c>
      <c r="C428" s="305">
        <f>'GA55'!C424</f>
        <v>0</v>
      </c>
      <c r="D428" s="231">
        <f>'GA55'!D424</f>
        <v>0</v>
      </c>
      <c r="E428" s="305">
        <f>'GA55'!E424</f>
        <v>0</v>
      </c>
      <c r="F428" s="231">
        <f>'GA55'!F424</f>
        <v>0</v>
      </c>
      <c r="G428" s="309">
        <f>'GA55'!G424</f>
        <v>0</v>
      </c>
      <c r="H428" s="231">
        <f>'GA55'!Q424</f>
        <v>0</v>
      </c>
    </row>
    <row r="429" spans="1:8" x14ac:dyDescent="0.2">
      <c r="A429" s="231">
        <f>'GA55'!A425</f>
        <v>0</v>
      </c>
      <c r="B429" s="231">
        <f>'GA55'!B425</f>
        <v>0</v>
      </c>
      <c r="C429" s="305">
        <f>'GA55'!C425</f>
        <v>0</v>
      </c>
      <c r="D429" s="231">
        <f>'GA55'!D425</f>
        <v>0</v>
      </c>
      <c r="E429" s="305">
        <f>'GA55'!E425</f>
        <v>0</v>
      </c>
      <c r="F429" s="231">
        <f>'GA55'!F425</f>
        <v>0</v>
      </c>
      <c r="G429" s="309">
        <f>'GA55'!G425</f>
        <v>0</v>
      </c>
      <c r="H429" s="231">
        <f>'GA55'!Q425</f>
        <v>0</v>
      </c>
    </row>
    <row r="430" spans="1:8" x14ac:dyDescent="0.2">
      <c r="A430" s="231">
        <f>'GA55'!A426</f>
        <v>0</v>
      </c>
      <c r="B430" s="231">
        <f>'GA55'!B426</f>
        <v>0</v>
      </c>
      <c r="C430" s="305">
        <f>'GA55'!C426</f>
        <v>0</v>
      </c>
      <c r="D430" s="231">
        <f>'GA55'!D426</f>
        <v>0</v>
      </c>
      <c r="E430" s="305">
        <f>'GA55'!E426</f>
        <v>0</v>
      </c>
      <c r="F430" s="231">
        <f>'GA55'!F426</f>
        <v>0</v>
      </c>
      <c r="G430" s="309">
        <f>'GA55'!G426</f>
        <v>0</v>
      </c>
      <c r="H430" s="231">
        <f>'GA55'!Q426</f>
        <v>0</v>
      </c>
    </row>
    <row r="431" spans="1:8" x14ac:dyDescent="0.2">
      <c r="A431" s="231">
        <f>'GA55'!A427</f>
        <v>0</v>
      </c>
      <c r="B431" s="231">
        <f>'GA55'!B427</f>
        <v>0</v>
      </c>
      <c r="C431" s="305">
        <f>'GA55'!C427</f>
        <v>0</v>
      </c>
      <c r="D431" s="231">
        <f>'GA55'!D427</f>
        <v>0</v>
      </c>
      <c r="E431" s="305">
        <f>'GA55'!E427</f>
        <v>0</v>
      </c>
      <c r="F431" s="231">
        <f>'GA55'!F427</f>
        <v>0</v>
      </c>
      <c r="G431" s="309">
        <f>'GA55'!G427</f>
        <v>0</v>
      </c>
      <c r="H431" s="231">
        <f>'GA55'!Q427</f>
        <v>0</v>
      </c>
    </row>
    <row r="432" spans="1:8" x14ac:dyDescent="0.2">
      <c r="A432" s="231">
        <f>'GA55'!A428</f>
        <v>0</v>
      </c>
      <c r="B432" s="231">
        <f>'GA55'!B428</f>
        <v>0</v>
      </c>
      <c r="C432" s="305">
        <f>'GA55'!C428</f>
        <v>0</v>
      </c>
      <c r="D432" s="231">
        <f>'GA55'!D428</f>
        <v>0</v>
      </c>
      <c r="E432" s="305">
        <f>'GA55'!E428</f>
        <v>0</v>
      </c>
      <c r="F432" s="231">
        <f>'GA55'!F428</f>
        <v>0</v>
      </c>
      <c r="G432" s="309">
        <f>'GA55'!G428</f>
        <v>0</v>
      </c>
      <c r="H432" s="231">
        <f>'GA55'!Q428</f>
        <v>0</v>
      </c>
    </row>
    <row r="433" spans="1:8" x14ac:dyDescent="0.2">
      <c r="A433" s="231">
        <f>'GA55'!A429</f>
        <v>0</v>
      </c>
      <c r="B433" s="231">
        <f>'GA55'!B429</f>
        <v>0</v>
      </c>
      <c r="C433" s="305">
        <f>'GA55'!C429</f>
        <v>0</v>
      </c>
      <c r="D433" s="231">
        <f>'GA55'!D429</f>
        <v>0</v>
      </c>
      <c r="E433" s="305">
        <f>'GA55'!E429</f>
        <v>0</v>
      </c>
      <c r="F433" s="231">
        <f>'GA55'!F429</f>
        <v>0</v>
      </c>
      <c r="G433" s="309">
        <f>'GA55'!G429</f>
        <v>0</v>
      </c>
      <c r="H433" s="231">
        <f>'GA55'!Q429</f>
        <v>0</v>
      </c>
    </row>
    <row r="434" spans="1:8" x14ac:dyDescent="0.2">
      <c r="A434" s="231">
        <f>'GA55'!A430</f>
        <v>0</v>
      </c>
      <c r="B434" s="231">
        <f>'GA55'!B430</f>
        <v>0</v>
      </c>
      <c r="C434" s="305">
        <f>'GA55'!C430</f>
        <v>0</v>
      </c>
      <c r="D434" s="231">
        <f>'GA55'!D430</f>
        <v>0</v>
      </c>
      <c r="E434" s="305">
        <f>'GA55'!E430</f>
        <v>0</v>
      </c>
      <c r="F434" s="231">
        <f>'GA55'!F430</f>
        <v>0</v>
      </c>
      <c r="G434" s="309">
        <f>'GA55'!G430</f>
        <v>0</v>
      </c>
      <c r="H434" s="231">
        <f>'GA55'!Q430</f>
        <v>0</v>
      </c>
    </row>
    <row r="435" spans="1:8" x14ac:dyDescent="0.2">
      <c r="A435" s="231">
        <f>'GA55'!A431</f>
        <v>0</v>
      </c>
      <c r="B435" s="231">
        <f>'GA55'!B431</f>
        <v>0</v>
      </c>
      <c r="C435" s="305">
        <f>'GA55'!C431</f>
        <v>0</v>
      </c>
      <c r="D435" s="231">
        <f>'GA55'!D431</f>
        <v>0</v>
      </c>
      <c r="E435" s="305">
        <f>'GA55'!E431</f>
        <v>0</v>
      </c>
      <c r="F435" s="231">
        <f>'GA55'!F431</f>
        <v>0</v>
      </c>
      <c r="G435" s="309">
        <f>'GA55'!G431</f>
        <v>0</v>
      </c>
      <c r="H435" s="231">
        <f>'GA55'!Q431</f>
        <v>0</v>
      </c>
    </row>
    <row r="436" spans="1:8" x14ac:dyDescent="0.2">
      <c r="A436" s="231">
        <f>'GA55'!A432</f>
        <v>0</v>
      </c>
      <c r="B436" s="231">
        <f>'GA55'!B432</f>
        <v>0</v>
      </c>
      <c r="C436" s="305">
        <f>'GA55'!C432</f>
        <v>0</v>
      </c>
      <c r="D436" s="231">
        <f>'GA55'!D432</f>
        <v>0</v>
      </c>
      <c r="E436" s="305">
        <f>'GA55'!E432</f>
        <v>0</v>
      </c>
      <c r="F436" s="231">
        <f>'GA55'!F432</f>
        <v>0</v>
      </c>
      <c r="G436" s="309">
        <f>'GA55'!G432</f>
        <v>0</v>
      </c>
      <c r="H436" s="231">
        <f>'GA55'!Q432</f>
        <v>0</v>
      </c>
    </row>
    <row r="437" spans="1:8" x14ac:dyDescent="0.2">
      <c r="A437" s="231">
        <f>'GA55'!A433</f>
        <v>0</v>
      </c>
      <c r="B437" s="231">
        <f>'GA55'!B433</f>
        <v>0</v>
      </c>
      <c r="C437" s="305">
        <f>'GA55'!C433</f>
        <v>0</v>
      </c>
      <c r="D437" s="231">
        <f>'GA55'!D433</f>
        <v>0</v>
      </c>
      <c r="E437" s="305">
        <f>'GA55'!E433</f>
        <v>0</v>
      </c>
      <c r="F437" s="231">
        <f>'GA55'!F433</f>
        <v>0</v>
      </c>
      <c r="G437" s="309">
        <f>'GA55'!G433</f>
        <v>0</v>
      </c>
      <c r="H437" s="231">
        <f>'GA55'!Q433</f>
        <v>0</v>
      </c>
    </row>
    <row r="438" spans="1:8" x14ac:dyDescent="0.2">
      <c r="A438" s="231">
        <f>'GA55'!A434</f>
        <v>0</v>
      </c>
      <c r="B438" s="231">
        <f>'GA55'!B434</f>
        <v>0</v>
      </c>
      <c r="C438" s="305">
        <f>'GA55'!C434</f>
        <v>0</v>
      </c>
      <c r="D438" s="231">
        <f>'GA55'!D434</f>
        <v>0</v>
      </c>
      <c r="E438" s="305">
        <f>'GA55'!E434</f>
        <v>0</v>
      </c>
      <c r="F438" s="231">
        <f>'GA55'!F434</f>
        <v>0</v>
      </c>
      <c r="G438" s="309">
        <f>'GA55'!G434</f>
        <v>0</v>
      </c>
      <c r="H438" s="231">
        <f>'GA55'!Q434</f>
        <v>0</v>
      </c>
    </row>
    <row r="439" spans="1:8" x14ac:dyDescent="0.2">
      <c r="A439" s="231">
        <f>'GA55'!A435</f>
        <v>0</v>
      </c>
      <c r="B439" s="231">
        <f>'GA55'!B435</f>
        <v>0</v>
      </c>
      <c r="C439" s="305">
        <f>'GA55'!C435</f>
        <v>0</v>
      </c>
      <c r="D439" s="231">
        <f>'GA55'!D435</f>
        <v>0</v>
      </c>
      <c r="E439" s="305">
        <f>'GA55'!E435</f>
        <v>0</v>
      </c>
      <c r="F439" s="231">
        <f>'GA55'!F435</f>
        <v>0</v>
      </c>
      <c r="G439" s="309">
        <f>'GA55'!G435</f>
        <v>0</v>
      </c>
      <c r="H439" s="231">
        <f>'GA55'!Q435</f>
        <v>0</v>
      </c>
    </row>
    <row r="440" spans="1:8" x14ac:dyDescent="0.2">
      <c r="A440" s="231">
        <f>'GA55'!A436</f>
        <v>0</v>
      </c>
      <c r="B440" s="231">
        <f>'GA55'!B436</f>
        <v>0</v>
      </c>
      <c r="C440" s="305">
        <f>'GA55'!C436</f>
        <v>0</v>
      </c>
      <c r="D440" s="231">
        <f>'GA55'!D436</f>
        <v>0</v>
      </c>
      <c r="E440" s="305">
        <f>'GA55'!E436</f>
        <v>0</v>
      </c>
      <c r="F440" s="231">
        <f>'GA55'!F436</f>
        <v>0</v>
      </c>
      <c r="G440" s="309">
        <f>'GA55'!G436</f>
        <v>0</v>
      </c>
      <c r="H440" s="231">
        <f>'GA55'!Q436</f>
        <v>0</v>
      </c>
    </row>
    <row r="441" spans="1:8" x14ac:dyDescent="0.2">
      <c r="A441" s="231">
        <f>'GA55'!A437</f>
        <v>0</v>
      </c>
      <c r="B441" s="231">
        <f>'GA55'!B437</f>
        <v>0</v>
      </c>
      <c r="C441" s="305">
        <f>'GA55'!C437</f>
        <v>0</v>
      </c>
      <c r="D441" s="231">
        <f>'GA55'!D437</f>
        <v>0</v>
      </c>
      <c r="E441" s="305">
        <f>'GA55'!E437</f>
        <v>0</v>
      </c>
      <c r="F441" s="231">
        <f>'GA55'!F437</f>
        <v>0</v>
      </c>
      <c r="G441" s="309">
        <f>'GA55'!G437</f>
        <v>0</v>
      </c>
      <c r="H441" s="231">
        <f>'GA55'!Q437</f>
        <v>0</v>
      </c>
    </row>
    <row r="442" spans="1:8" x14ac:dyDescent="0.2">
      <c r="A442" s="231">
        <f>'GA55'!A438</f>
        <v>0</v>
      </c>
      <c r="B442" s="231">
        <f>'GA55'!B438</f>
        <v>0</v>
      </c>
      <c r="C442" s="305">
        <f>'GA55'!C438</f>
        <v>0</v>
      </c>
      <c r="D442" s="231">
        <f>'GA55'!D438</f>
        <v>0</v>
      </c>
      <c r="E442" s="305">
        <f>'GA55'!E438</f>
        <v>0</v>
      </c>
      <c r="F442" s="231">
        <f>'GA55'!F438</f>
        <v>0</v>
      </c>
      <c r="G442" s="309">
        <f>'GA55'!G438</f>
        <v>0</v>
      </c>
      <c r="H442" s="231">
        <f>'GA55'!Q438</f>
        <v>0</v>
      </c>
    </row>
    <row r="443" spans="1:8" x14ac:dyDescent="0.2">
      <c r="A443" s="231">
        <f>'GA55'!A439</f>
        <v>0</v>
      </c>
      <c r="B443" s="231">
        <f>'GA55'!B439</f>
        <v>0</v>
      </c>
      <c r="C443" s="305">
        <f>'GA55'!C439</f>
        <v>0</v>
      </c>
      <c r="D443" s="231">
        <f>'GA55'!D439</f>
        <v>0</v>
      </c>
      <c r="E443" s="305">
        <f>'GA55'!E439</f>
        <v>0</v>
      </c>
      <c r="F443" s="231">
        <f>'GA55'!F439</f>
        <v>0</v>
      </c>
      <c r="G443" s="309">
        <f>'GA55'!G439</f>
        <v>0</v>
      </c>
      <c r="H443" s="231">
        <f>'GA55'!Q439</f>
        <v>0</v>
      </c>
    </row>
    <row r="444" spans="1:8" x14ac:dyDescent="0.2">
      <c r="A444" s="231">
        <f>'GA55'!A440</f>
        <v>0</v>
      </c>
      <c r="B444" s="231">
        <f>'GA55'!B440</f>
        <v>0</v>
      </c>
      <c r="C444" s="305">
        <f>'GA55'!C440</f>
        <v>0</v>
      </c>
      <c r="D444" s="231">
        <f>'GA55'!D440</f>
        <v>0</v>
      </c>
      <c r="E444" s="305">
        <f>'GA55'!E440</f>
        <v>0</v>
      </c>
      <c r="F444" s="231">
        <f>'GA55'!F440</f>
        <v>0</v>
      </c>
      <c r="G444" s="309">
        <f>'GA55'!G440</f>
        <v>0</v>
      </c>
      <c r="H444" s="231">
        <f>'GA55'!Q440</f>
        <v>0</v>
      </c>
    </row>
    <row r="445" spans="1:8" x14ac:dyDescent="0.2">
      <c r="A445" s="231">
        <f>'GA55'!A441</f>
        <v>0</v>
      </c>
      <c r="B445" s="231">
        <f>'GA55'!B441</f>
        <v>0</v>
      </c>
      <c r="C445" s="305">
        <f>'GA55'!C441</f>
        <v>0</v>
      </c>
      <c r="D445" s="231">
        <f>'GA55'!D441</f>
        <v>0</v>
      </c>
      <c r="E445" s="305">
        <f>'GA55'!E441</f>
        <v>0</v>
      </c>
      <c r="F445" s="231">
        <f>'GA55'!F441</f>
        <v>0</v>
      </c>
      <c r="G445" s="309">
        <f>'GA55'!G441</f>
        <v>0</v>
      </c>
      <c r="H445" s="231">
        <f>'GA55'!Q441</f>
        <v>0</v>
      </c>
    </row>
    <row r="446" spans="1:8" x14ac:dyDescent="0.2">
      <c r="A446" s="231">
        <f>'GA55'!A442</f>
        <v>0</v>
      </c>
      <c r="B446" s="231">
        <f>'GA55'!B442</f>
        <v>0</v>
      </c>
      <c r="C446" s="305">
        <f>'GA55'!C442</f>
        <v>0</v>
      </c>
      <c r="D446" s="231">
        <f>'GA55'!D442</f>
        <v>0</v>
      </c>
      <c r="E446" s="305">
        <f>'GA55'!E442</f>
        <v>0</v>
      </c>
      <c r="F446" s="231">
        <f>'GA55'!F442</f>
        <v>0</v>
      </c>
      <c r="G446" s="309">
        <f>'GA55'!G442</f>
        <v>0</v>
      </c>
      <c r="H446" s="231">
        <f>'GA55'!Q442</f>
        <v>0</v>
      </c>
    </row>
    <row r="447" spans="1:8" x14ac:dyDescent="0.2">
      <c r="A447" s="231">
        <f>'GA55'!A443</f>
        <v>0</v>
      </c>
      <c r="B447" s="231">
        <f>'GA55'!B443</f>
        <v>0</v>
      </c>
      <c r="C447" s="305">
        <f>'GA55'!C443</f>
        <v>0</v>
      </c>
      <c r="D447" s="231">
        <f>'GA55'!D443</f>
        <v>0</v>
      </c>
      <c r="E447" s="305">
        <f>'GA55'!E443</f>
        <v>0</v>
      </c>
      <c r="F447" s="231">
        <f>'GA55'!F443</f>
        <v>0</v>
      </c>
      <c r="G447" s="309">
        <f>'GA55'!G443</f>
        <v>0</v>
      </c>
      <c r="H447" s="231">
        <f>'GA55'!Q443</f>
        <v>0</v>
      </c>
    </row>
    <row r="448" spans="1:8" x14ac:dyDescent="0.2">
      <c r="A448" s="231">
        <f>'GA55'!A444</f>
        <v>0</v>
      </c>
      <c r="B448" s="231">
        <f>'GA55'!B444</f>
        <v>0</v>
      </c>
      <c r="C448" s="305">
        <f>'GA55'!C444</f>
        <v>0</v>
      </c>
      <c r="D448" s="231">
        <f>'GA55'!D444</f>
        <v>0</v>
      </c>
      <c r="E448" s="305">
        <f>'GA55'!E444</f>
        <v>0</v>
      </c>
      <c r="F448" s="231">
        <f>'GA55'!F444</f>
        <v>0</v>
      </c>
      <c r="G448" s="309">
        <f>'GA55'!G444</f>
        <v>0</v>
      </c>
      <c r="H448" s="231">
        <f>'GA55'!Q444</f>
        <v>0</v>
      </c>
    </row>
    <row r="449" spans="1:8" x14ac:dyDescent="0.2">
      <c r="A449" s="231">
        <f>'GA55'!A445</f>
        <v>0</v>
      </c>
      <c r="B449" s="231">
        <f>'GA55'!B445</f>
        <v>0</v>
      </c>
      <c r="C449" s="305">
        <f>'GA55'!C445</f>
        <v>0</v>
      </c>
      <c r="D449" s="231">
        <f>'GA55'!D445</f>
        <v>0</v>
      </c>
      <c r="E449" s="305">
        <f>'GA55'!E445</f>
        <v>0</v>
      </c>
      <c r="F449" s="231">
        <f>'GA55'!F445</f>
        <v>0</v>
      </c>
      <c r="G449" s="309">
        <f>'GA55'!G445</f>
        <v>0</v>
      </c>
      <c r="H449" s="231">
        <f>'GA55'!Q445</f>
        <v>0</v>
      </c>
    </row>
    <row r="450" spans="1:8" x14ac:dyDescent="0.2">
      <c r="A450" s="231">
        <f>'GA55'!A446</f>
        <v>0</v>
      </c>
      <c r="B450" s="231">
        <f>'GA55'!B446</f>
        <v>0</v>
      </c>
      <c r="C450" s="305">
        <f>'GA55'!C446</f>
        <v>0</v>
      </c>
      <c r="D450" s="231">
        <f>'GA55'!D446</f>
        <v>0</v>
      </c>
      <c r="E450" s="305">
        <f>'GA55'!E446</f>
        <v>0</v>
      </c>
      <c r="F450" s="231">
        <f>'GA55'!F446</f>
        <v>0</v>
      </c>
      <c r="G450" s="309">
        <f>'GA55'!G446</f>
        <v>0</v>
      </c>
      <c r="H450" s="231">
        <f>'GA55'!Q446</f>
        <v>0</v>
      </c>
    </row>
    <row r="451" spans="1:8" x14ac:dyDescent="0.2">
      <c r="A451" s="231">
        <f>'GA55'!A447</f>
        <v>0</v>
      </c>
      <c r="B451" s="231">
        <f>'GA55'!B447</f>
        <v>0</v>
      </c>
      <c r="C451" s="305">
        <f>'GA55'!C447</f>
        <v>0</v>
      </c>
      <c r="D451" s="231">
        <f>'GA55'!D447</f>
        <v>0</v>
      </c>
      <c r="E451" s="305">
        <f>'GA55'!E447</f>
        <v>0</v>
      </c>
      <c r="F451" s="231">
        <f>'GA55'!F447</f>
        <v>0</v>
      </c>
      <c r="G451" s="309">
        <f>'GA55'!G447</f>
        <v>0</v>
      </c>
      <c r="H451" s="231">
        <f>'GA55'!Q447</f>
        <v>0</v>
      </c>
    </row>
    <row r="452" spans="1:8" x14ac:dyDescent="0.2">
      <c r="A452" s="231">
        <f>'GA55'!A448</f>
        <v>0</v>
      </c>
      <c r="B452" s="231">
        <f>'GA55'!B448</f>
        <v>0</v>
      </c>
      <c r="C452" s="305">
        <f>'GA55'!C448</f>
        <v>0</v>
      </c>
      <c r="D452" s="231">
        <f>'GA55'!D448</f>
        <v>0</v>
      </c>
      <c r="E452" s="305">
        <f>'GA55'!E448</f>
        <v>0</v>
      </c>
      <c r="F452" s="231">
        <f>'GA55'!F448</f>
        <v>0</v>
      </c>
      <c r="G452" s="309">
        <f>'GA55'!G448</f>
        <v>0</v>
      </c>
      <c r="H452" s="231">
        <f>'GA55'!Q448</f>
        <v>0</v>
      </c>
    </row>
    <row r="453" spans="1:8" x14ac:dyDescent="0.2">
      <c r="A453" s="231">
        <f>'GA55'!A449</f>
        <v>0</v>
      </c>
      <c r="B453" s="231">
        <f>'GA55'!B449</f>
        <v>0</v>
      </c>
      <c r="C453" s="305">
        <f>'GA55'!C449</f>
        <v>0</v>
      </c>
      <c r="D453" s="231">
        <f>'GA55'!D449</f>
        <v>0</v>
      </c>
      <c r="E453" s="305">
        <f>'GA55'!E449</f>
        <v>0</v>
      </c>
      <c r="F453" s="231">
        <f>'GA55'!F449</f>
        <v>0</v>
      </c>
      <c r="G453" s="309">
        <f>'GA55'!G449</f>
        <v>0</v>
      </c>
      <c r="H453" s="231">
        <f>'GA55'!Q449</f>
        <v>0</v>
      </c>
    </row>
    <row r="454" spans="1:8" x14ac:dyDescent="0.2">
      <c r="A454" s="231">
        <f>'GA55'!A450</f>
        <v>0</v>
      </c>
      <c r="B454" s="231">
        <f>'GA55'!B450</f>
        <v>0</v>
      </c>
      <c r="C454" s="305">
        <f>'GA55'!C450</f>
        <v>0</v>
      </c>
      <c r="D454" s="231">
        <f>'GA55'!D450</f>
        <v>0</v>
      </c>
      <c r="E454" s="305">
        <f>'GA55'!E450</f>
        <v>0</v>
      </c>
      <c r="F454" s="231">
        <f>'GA55'!F450</f>
        <v>0</v>
      </c>
      <c r="G454" s="309">
        <f>'GA55'!G450</f>
        <v>0</v>
      </c>
      <c r="H454" s="231">
        <f>'GA55'!Q450</f>
        <v>0</v>
      </c>
    </row>
    <row r="455" spans="1:8" x14ac:dyDescent="0.2">
      <c r="A455" s="231">
        <f>'GA55'!A451</f>
        <v>0</v>
      </c>
      <c r="B455" s="231">
        <f>'GA55'!B451</f>
        <v>0</v>
      </c>
      <c r="C455" s="305">
        <f>'GA55'!C451</f>
        <v>0</v>
      </c>
      <c r="D455" s="231">
        <f>'GA55'!D451</f>
        <v>0</v>
      </c>
      <c r="E455" s="305">
        <f>'GA55'!E451</f>
        <v>0</v>
      </c>
      <c r="F455" s="231">
        <f>'GA55'!F451</f>
        <v>0</v>
      </c>
      <c r="G455" s="309">
        <f>'GA55'!G451</f>
        <v>0</v>
      </c>
      <c r="H455" s="231">
        <f>'GA55'!Q451</f>
        <v>0</v>
      </c>
    </row>
    <row r="456" spans="1:8" x14ac:dyDescent="0.2">
      <c r="A456" s="231">
        <f>'GA55'!A452</f>
        <v>0</v>
      </c>
      <c r="B456" s="231">
        <f>'GA55'!B452</f>
        <v>0</v>
      </c>
      <c r="C456" s="305">
        <f>'GA55'!C452</f>
        <v>0</v>
      </c>
      <c r="D456" s="231">
        <f>'GA55'!D452</f>
        <v>0</v>
      </c>
      <c r="E456" s="305">
        <f>'GA55'!E452</f>
        <v>0</v>
      </c>
      <c r="F456" s="231">
        <f>'GA55'!F452</f>
        <v>0</v>
      </c>
      <c r="G456" s="309">
        <f>'GA55'!G452</f>
        <v>0</v>
      </c>
      <c r="H456" s="231">
        <f>'GA55'!Q452</f>
        <v>0</v>
      </c>
    </row>
    <row r="457" spans="1:8" x14ac:dyDescent="0.2">
      <c r="A457" s="231">
        <f>'GA55'!A453</f>
        <v>0</v>
      </c>
      <c r="B457" s="231">
        <f>'GA55'!B453</f>
        <v>0</v>
      </c>
      <c r="C457" s="305">
        <f>'GA55'!C453</f>
        <v>0</v>
      </c>
      <c r="D457" s="231">
        <f>'GA55'!D453</f>
        <v>0</v>
      </c>
      <c r="E457" s="305">
        <f>'GA55'!E453</f>
        <v>0</v>
      </c>
      <c r="F457" s="231">
        <f>'GA55'!F453</f>
        <v>0</v>
      </c>
      <c r="G457" s="309">
        <f>'GA55'!G453</f>
        <v>0</v>
      </c>
      <c r="H457" s="231">
        <f>'GA55'!Q453</f>
        <v>0</v>
      </c>
    </row>
    <row r="458" spans="1:8" x14ac:dyDescent="0.2">
      <c r="A458" s="231">
        <f>'GA55'!A454</f>
        <v>0</v>
      </c>
      <c r="B458" s="231">
        <f>'GA55'!B454</f>
        <v>0</v>
      </c>
      <c r="C458" s="305">
        <f>'GA55'!C454</f>
        <v>0</v>
      </c>
      <c r="D458" s="231">
        <f>'GA55'!D454</f>
        <v>0</v>
      </c>
      <c r="E458" s="305">
        <f>'GA55'!E454</f>
        <v>0</v>
      </c>
      <c r="F458" s="231">
        <f>'GA55'!F454</f>
        <v>0</v>
      </c>
      <c r="G458" s="309">
        <f>'GA55'!G454</f>
        <v>0</v>
      </c>
      <c r="H458" s="231">
        <f>'GA55'!Q454</f>
        <v>0</v>
      </c>
    </row>
    <row r="459" spans="1:8" x14ac:dyDescent="0.2">
      <c r="A459" s="231">
        <f>'GA55'!A455</f>
        <v>0</v>
      </c>
      <c r="B459" s="231">
        <f>'GA55'!B455</f>
        <v>0</v>
      </c>
      <c r="C459" s="305">
        <f>'GA55'!C455</f>
        <v>0</v>
      </c>
      <c r="D459" s="231">
        <f>'GA55'!D455</f>
        <v>0</v>
      </c>
      <c r="E459" s="305">
        <f>'GA55'!E455</f>
        <v>0</v>
      </c>
      <c r="F459" s="231">
        <f>'GA55'!F455</f>
        <v>0</v>
      </c>
      <c r="G459" s="309">
        <f>'GA55'!G455</f>
        <v>0</v>
      </c>
      <c r="H459" s="231">
        <f>'GA55'!Q455</f>
        <v>0</v>
      </c>
    </row>
    <row r="460" spans="1:8" x14ac:dyDescent="0.2">
      <c r="A460" s="231">
        <f>'GA55'!A456</f>
        <v>0</v>
      </c>
      <c r="B460" s="231">
        <f>'GA55'!B456</f>
        <v>0</v>
      </c>
      <c r="C460" s="305">
        <f>'GA55'!C456</f>
        <v>0</v>
      </c>
      <c r="D460" s="231">
        <f>'GA55'!D456</f>
        <v>0</v>
      </c>
      <c r="E460" s="305">
        <f>'GA55'!E456</f>
        <v>0</v>
      </c>
      <c r="F460" s="231">
        <f>'GA55'!F456</f>
        <v>0</v>
      </c>
      <c r="G460" s="309">
        <f>'GA55'!G456</f>
        <v>0</v>
      </c>
      <c r="H460" s="231">
        <f>'GA55'!Q456</f>
        <v>0</v>
      </c>
    </row>
    <row r="461" spans="1:8" x14ac:dyDescent="0.2">
      <c r="A461" s="231">
        <f>'GA55'!A457</f>
        <v>0</v>
      </c>
      <c r="B461" s="231">
        <f>'GA55'!B457</f>
        <v>0</v>
      </c>
      <c r="C461" s="305">
        <f>'GA55'!C457</f>
        <v>0</v>
      </c>
      <c r="D461" s="231">
        <f>'GA55'!D457</f>
        <v>0</v>
      </c>
      <c r="E461" s="305">
        <f>'GA55'!E457</f>
        <v>0</v>
      </c>
      <c r="F461" s="231">
        <f>'GA55'!F457</f>
        <v>0</v>
      </c>
      <c r="G461" s="309">
        <f>'GA55'!G457</f>
        <v>0</v>
      </c>
      <c r="H461" s="231">
        <f>'GA55'!Q457</f>
        <v>0</v>
      </c>
    </row>
    <row r="462" spans="1:8" x14ac:dyDescent="0.2">
      <c r="A462" s="231">
        <f>'GA55'!A458</f>
        <v>0</v>
      </c>
      <c r="B462" s="231">
        <f>'GA55'!B458</f>
        <v>0</v>
      </c>
      <c r="C462" s="305">
        <f>'GA55'!C458</f>
        <v>0</v>
      </c>
      <c r="D462" s="231">
        <f>'GA55'!D458</f>
        <v>0</v>
      </c>
      <c r="E462" s="305">
        <f>'GA55'!E458</f>
        <v>0</v>
      </c>
      <c r="F462" s="231">
        <f>'GA55'!F458</f>
        <v>0</v>
      </c>
      <c r="G462" s="309">
        <f>'GA55'!G458</f>
        <v>0</v>
      </c>
      <c r="H462" s="231">
        <f>'GA55'!Q458</f>
        <v>0</v>
      </c>
    </row>
    <row r="463" spans="1:8" x14ac:dyDescent="0.2">
      <c r="A463" s="231">
        <f>'GA55'!A459</f>
        <v>0</v>
      </c>
      <c r="B463" s="231">
        <f>'GA55'!B459</f>
        <v>0</v>
      </c>
      <c r="C463" s="305">
        <f>'GA55'!C459</f>
        <v>0</v>
      </c>
      <c r="D463" s="231">
        <f>'GA55'!D459</f>
        <v>0</v>
      </c>
      <c r="E463" s="305">
        <f>'GA55'!E459</f>
        <v>0</v>
      </c>
      <c r="F463" s="231">
        <f>'GA55'!F459</f>
        <v>0</v>
      </c>
      <c r="G463" s="309">
        <f>'GA55'!G459</f>
        <v>0</v>
      </c>
      <c r="H463" s="231">
        <f>'GA55'!Q459</f>
        <v>0</v>
      </c>
    </row>
    <row r="464" spans="1:8" x14ac:dyDescent="0.2">
      <c r="A464" s="231">
        <f>'GA55'!A460</f>
        <v>0</v>
      </c>
      <c r="B464" s="231">
        <f>'GA55'!B460</f>
        <v>0</v>
      </c>
      <c r="C464" s="305">
        <f>'GA55'!C460</f>
        <v>0</v>
      </c>
      <c r="D464" s="231">
        <f>'GA55'!D460</f>
        <v>0</v>
      </c>
      <c r="E464" s="305">
        <f>'GA55'!E460</f>
        <v>0</v>
      </c>
      <c r="F464" s="231">
        <f>'GA55'!F460</f>
        <v>0</v>
      </c>
      <c r="G464" s="309">
        <f>'GA55'!G460</f>
        <v>0</v>
      </c>
      <c r="H464" s="231">
        <f>'GA55'!Q460</f>
        <v>0</v>
      </c>
    </row>
    <row r="465" spans="1:8" x14ac:dyDescent="0.2">
      <c r="A465" s="231">
        <f>'GA55'!A461</f>
        <v>0</v>
      </c>
      <c r="B465" s="231">
        <f>'GA55'!B461</f>
        <v>0</v>
      </c>
      <c r="C465" s="305">
        <f>'GA55'!C461</f>
        <v>0</v>
      </c>
      <c r="D465" s="231">
        <f>'GA55'!D461</f>
        <v>0</v>
      </c>
      <c r="E465" s="305">
        <f>'GA55'!E461</f>
        <v>0</v>
      </c>
      <c r="F465" s="231">
        <f>'GA55'!F461</f>
        <v>0</v>
      </c>
      <c r="G465" s="309">
        <f>'GA55'!G461</f>
        <v>0</v>
      </c>
      <c r="H465" s="231">
        <f>'GA55'!Q461</f>
        <v>0</v>
      </c>
    </row>
    <row r="466" spans="1:8" x14ac:dyDescent="0.2">
      <c r="A466" s="231">
        <f>'GA55'!A462</f>
        <v>0</v>
      </c>
      <c r="B466" s="231">
        <f>'GA55'!B462</f>
        <v>0</v>
      </c>
      <c r="C466" s="305">
        <f>'GA55'!C462</f>
        <v>0</v>
      </c>
      <c r="D466" s="231">
        <f>'GA55'!D462</f>
        <v>0</v>
      </c>
      <c r="E466" s="305">
        <f>'GA55'!E462</f>
        <v>0</v>
      </c>
      <c r="F466" s="231">
        <f>'GA55'!F462</f>
        <v>0</v>
      </c>
      <c r="G466" s="309">
        <f>'GA55'!G462</f>
        <v>0</v>
      </c>
      <c r="H466" s="231">
        <f>'GA55'!Q462</f>
        <v>0</v>
      </c>
    </row>
    <row r="467" spans="1:8" x14ac:dyDescent="0.2">
      <c r="A467" s="231">
        <f>'GA55'!A463</f>
        <v>0</v>
      </c>
      <c r="B467" s="231">
        <f>'GA55'!B463</f>
        <v>0</v>
      </c>
      <c r="C467" s="305">
        <f>'GA55'!C463</f>
        <v>0</v>
      </c>
      <c r="D467" s="231">
        <f>'GA55'!D463</f>
        <v>0</v>
      </c>
      <c r="E467" s="305">
        <f>'GA55'!E463</f>
        <v>0</v>
      </c>
      <c r="F467" s="231">
        <f>'GA55'!F463</f>
        <v>0</v>
      </c>
      <c r="G467" s="309">
        <f>'GA55'!G463</f>
        <v>0</v>
      </c>
      <c r="H467" s="231">
        <f>'GA55'!Q463</f>
        <v>0</v>
      </c>
    </row>
    <row r="468" spans="1:8" x14ac:dyDescent="0.2">
      <c r="A468" s="231">
        <f>'GA55'!A464</f>
        <v>0</v>
      </c>
      <c r="B468" s="231">
        <f>'GA55'!B464</f>
        <v>0</v>
      </c>
      <c r="C468" s="305">
        <f>'GA55'!C464</f>
        <v>0</v>
      </c>
      <c r="D468" s="231">
        <f>'GA55'!D464</f>
        <v>0</v>
      </c>
      <c r="E468" s="305">
        <f>'GA55'!E464</f>
        <v>0</v>
      </c>
      <c r="F468" s="231">
        <f>'GA55'!F464</f>
        <v>0</v>
      </c>
      <c r="G468" s="309">
        <f>'GA55'!G464</f>
        <v>0</v>
      </c>
      <c r="H468" s="231">
        <f>'GA55'!Q464</f>
        <v>0</v>
      </c>
    </row>
    <row r="469" spans="1:8" x14ac:dyDescent="0.2">
      <c r="A469" s="231">
        <f>'GA55'!A465</f>
        <v>0</v>
      </c>
      <c r="B469" s="231">
        <f>'GA55'!B465</f>
        <v>0</v>
      </c>
      <c r="C469" s="305">
        <f>'GA55'!C465</f>
        <v>0</v>
      </c>
      <c r="D469" s="231">
        <f>'GA55'!D465</f>
        <v>0</v>
      </c>
      <c r="E469" s="305">
        <f>'GA55'!E465</f>
        <v>0</v>
      </c>
      <c r="F469" s="231">
        <f>'GA55'!F465</f>
        <v>0</v>
      </c>
      <c r="G469" s="309">
        <f>'GA55'!G465</f>
        <v>0</v>
      </c>
      <c r="H469" s="231">
        <f>'GA55'!Q465</f>
        <v>0</v>
      </c>
    </row>
    <row r="470" spans="1:8" x14ac:dyDescent="0.2">
      <c r="A470" s="231">
        <f>'GA55'!A466</f>
        <v>0</v>
      </c>
      <c r="B470" s="231">
        <f>'GA55'!B466</f>
        <v>0</v>
      </c>
      <c r="C470" s="305">
        <f>'GA55'!C466</f>
        <v>0</v>
      </c>
      <c r="D470" s="231">
        <f>'GA55'!D466</f>
        <v>0</v>
      </c>
      <c r="E470" s="305">
        <f>'GA55'!E466</f>
        <v>0</v>
      </c>
      <c r="F470" s="231">
        <f>'GA55'!F466</f>
        <v>0</v>
      </c>
      <c r="G470" s="309">
        <f>'GA55'!G466</f>
        <v>0</v>
      </c>
      <c r="H470" s="231">
        <f>'GA55'!Q466</f>
        <v>0</v>
      </c>
    </row>
    <row r="471" spans="1:8" x14ac:dyDescent="0.2">
      <c r="A471" s="231">
        <f>'GA55'!A467</f>
        <v>0</v>
      </c>
      <c r="B471" s="231">
        <f>'GA55'!B467</f>
        <v>0</v>
      </c>
      <c r="C471" s="305">
        <f>'GA55'!C467</f>
        <v>0</v>
      </c>
      <c r="D471" s="231">
        <f>'GA55'!D467</f>
        <v>0</v>
      </c>
      <c r="E471" s="305">
        <f>'GA55'!E467</f>
        <v>0</v>
      </c>
      <c r="F471" s="231">
        <f>'GA55'!F467</f>
        <v>0</v>
      </c>
      <c r="G471" s="309">
        <f>'GA55'!G467</f>
        <v>0</v>
      </c>
      <c r="H471" s="231">
        <f>'GA55'!Q467</f>
        <v>0</v>
      </c>
    </row>
    <row r="472" spans="1:8" x14ac:dyDescent="0.2">
      <c r="A472" s="231">
        <f>'GA55'!A468</f>
        <v>0</v>
      </c>
      <c r="B472" s="231">
        <f>'GA55'!B468</f>
        <v>0</v>
      </c>
      <c r="C472" s="305">
        <f>'GA55'!C468</f>
        <v>0</v>
      </c>
      <c r="D472" s="231">
        <f>'GA55'!D468</f>
        <v>0</v>
      </c>
      <c r="E472" s="305">
        <f>'GA55'!E468</f>
        <v>0</v>
      </c>
      <c r="F472" s="231">
        <f>'GA55'!F468</f>
        <v>0</v>
      </c>
      <c r="G472" s="309">
        <f>'GA55'!G468</f>
        <v>0</v>
      </c>
      <c r="H472" s="231">
        <f>'GA55'!Q468</f>
        <v>0</v>
      </c>
    </row>
    <row r="473" spans="1:8" x14ac:dyDescent="0.2">
      <c r="A473" s="231">
        <f>'GA55'!A469</f>
        <v>0</v>
      </c>
      <c r="B473" s="231">
        <f>'GA55'!B469</f>
        <v>0</v>
      </c>
      <c r="C473" s="305">
        <f>'GA55'!C469</f>
        <v>0</v>
      </c>
      <c r="D473" s="231">
        <f>'GA55'!D469</f>
        <v>0</v>
      </c>
      <c r="E473" s="305">
        <f>'GA55'!E469</f>
        <v>0</v>
      </c>
      <c r="F473" s="231">
        <f>'GA55'!F469</f>
        <v>0</v>
      </c>
      <c r="G473" s="309">
        <f>'GA55'!G469</f>
        <v>0</v>
      </c>
      <c r="H473" s="231">
        <f>'GA55'!Q469</f>
        <v>0</v>
      </c>
    </row>
    <row r="474" spans="1:8" x14ac:dyDescent="0.2">
      <c r="A474" s="231">
        <f>'GA55'!A470</f>
        <v>0</v>
      </c>
      <c r="B474" s="231">
        <f>'GA55'!B470</f>
        <v>0</v>
      </c>
      <c r="C474" s="305">
        <f>'GA55'!C470</f>
        <v>0</v>
      </c>
      <c r="D474" s="231">
        <f>'GA55'!D470</f>
        <v>0</v>
      </c>
      <c r="E474" s="305">
        <f>'GA55'!E470</f>
        <v>0</v>
      </c>
      <c r="F474" s="231">
        <f>'GA55'!F470</f>
        <v>0</v>
      </c>
      <c r="G474" s="309">
        <f>'GA55'!G470</f>
        <v>0</v>
      </c>
      <c r="H474" s="231">
        <f>'GA55'!Q470</f>
        <v>0</v>
      </c>
    </row>
    <row r="475" spans="1:8" x14ac:dyDescent="0.2">
      <c r="A475" s="231">
        <f>'GA55'!A471</f>
        <v>0</v>
      </c>
      <c r="B475" s="231">
        <f>'GA55'!B471</f>
        <v>0</v>
      </c>
      <c r="C475" s="305">
        <f>'GA55'!C471</f>
        <v>0</v>
      </c>
      <c r="D475" s="231">
        <f>'GA55'!D471</f>
        <v>0</v>
      </c>
      <c r="E475" s="305">
        <f>'GA55'!E471</f>
        <v>0</v>
      </c>
      <c r="F475" s="231">
        <f>'GA55'!F471</f>
        <v>0</v>
      </c>
      <c r="G475" s="309">
        <f>'GA55'!G471</f>
        <v>0</v>
      </c>
      <c r="H475" s="231">
        <f>'GA55'!Q471</f>
        <v>0</v>
      </c>
    </row>
    <row r="476" spans="1:8" x14ac:dyDescent="0.2">
      <c r="A476" s="231">
        <f>'GA55'!A472</f>
        <v>0</v>
      </c>
      <c r="B476" s="231">
        <f>'GA55'!B472</f>
        <v>0</v>
      </c>
      <c r="C476" s="305">
        <f>'GA55'!C472</f>
        <v>0</v>
      </c>
      <c r="D476" s="231">
        <f>'GA55'!D472</f>
        <v>0</v>
      </c>
      <c r="E476" s="305">
        <f>'GA55'!E472</f>
        <v>0</v>
      </c>
      <c r="F476" s="231">
        <f>'GA55'!F472</f>
        <v>0</v>
      </c>
      <c r="G476" s="309">
        <f>'GA55'!G472</f>
        <v>0</v>
      </c>
      <c r="H476" s="231">
        <f>'GA55'!Q472</f>
        <v>0</v>
      </c>
    </row>
    <row r="477" spans="1:8" x14ac:dyDescent="0.2">
      <c r="A477" s="231">
        <f>'GA55'!A473</f>
        <v>0</v>
      </c>
      <c r="B477" s="231">
        <f>'GA55'!B473</f>
        <v>0</v>
      </c>
      <c r="C477" s="305">
        <f>'GA55'!C473</f>
        <v>0</v>
      </c>
      <c r="D477" s="231">
        <f>'GA55'!D473</f>
        <v>0</v>
      </c>
      <c r="E477" s="305">
        <f>'GA55'!E473</f>
        <v>0</v>
      </c>
      <c r="F477" s="231">
        <f>'GA55'!F473</f>
        <v>0</v>
      </c>
      <c r="G477" s="309">
        <f>'GA55'!G473</f>
        <v>0</v>
      </c>
      <c r="H477" s="231">
        <f>'GA55'!Q473</f>
        <v>0</v>
      </c>
    </row>
    <row r="478" spans="1:8" x14ac:dyDescent="0.2">
      <c r="A478" s="231">
        <f>'GA55'!A474</f>
        <v>0</v>
      </c>
      <c r="B478" s="231">
        <f>'GA55'!B474</f>
        <v>0</v>
      </c>
      <c r="C478" s="305">
        <f>'GA55'!C474</f>
        <v>0</v>
      </c>
      <c r="D478" s="231">
        <f>'GA55'!D474</f>
        <v>0</v>
      </c>
      <c r="E478" s="305">
        <f>'GA55'!E474</f>
        <v>0</v>
      </c>
      <c r="F478" s="231">
        <f>'GA55'!F474</f>
        <v>0</v>
      </c>
      <c r="G478" s="309">
        <f>'GA55'!G474</f>
        <v>0</v>
      </c>
      <c r="H478" s="231">
        <f>'GA55'!Q474</f>
        <v>0</v>
      </c>
    </row>
    <row r="479" spans="1:8" x14ac:dyDescent="0.2">
      <c r="A479" s="231">
        <f>'GA55'!A475</f>
        <v>0</v>
      </c>
      <c r="B479" s="231">
        <f>'GA55'!B475</f>
        <v>0</v>
      </c>
      <c r="C479" s="305">
        <f>'GA55'!C475</f>
        <v>0</v>
      </c>
      <c r="D479" s="231">
        <f>'GA55'!D475</f>
        <v>0</v>
      </c>
      <c r="E479" s="305">
        <f>'GA55'!E475</f>
        <v>0</v>
      </c>
      <c r="F479" s="231">
        <f>'GA55'!F475</f>
        <v>0</v>
      </c>
      <c r="G479" s="309">
        <f>'GA55'!G475</f>
        <v>0</v>
      </c>
      <c r="H479" s="231">
        <f>'GA55'!Q475</f>
        <v>0</v>
      </c>
    </row>
    <row r="480" spans="1:8" x14ac:dyDescent="0.2">
      <c r="A480" s="231">
        <f>'GA55'!A476</f>
        <v>0</v>
      </c>
      <c r="B480" s="231">
        <f>'GA55'!B476</f>
        <v>0</v>
      </c>
      <c r="C480" s="305">
        <f>'GA55'!C476</f>
        <v>0</v>
      </c>
      <c r="D480" s="231">
        <f>'GA55'!D476</f>
        <v>0</v>
      </c>
      <c r="E480" s="305">
        <f>'GA55'!E476</f>
        <v>0</v>
      </c>
      <c r="F480" s="231">
        <f>'GA55'!F476</f>
        <v>0</v>
      </c>
      <c r="G480" s="309">
        <f>'GA55'!G476</f>
        <v>0</v>
      </c>
      <c r="H480" s="231">
        <f>'GA55'!Q476</f>
        <v>0</v>
      </c>
    </row>
    <row r="481" spans="1:8" x14ac:dyDescent="0.2">
      <c r="A481" s="231">
        <f>'GA55'!A477</f>
        <v>0</v>
      </c>
      <c r="B481" s="231">
        <f>'GA55'!B477</f>
        <v>0</v>
      </c>
      <c r="C481" s="305">
        <f>'GA55'!C477</f>
        <v>0</v>
      </c>
      <c r="D481" s="231">
        <f>'GA55'!D477</f>
        <v>0</v>
      </c>
      <c r="E481" s="305">
        <f>'GA55'!E477</f>
        <v>0</v>
      </c>
      <c r="F481" s="231">
        <f>'GA55'!F477</f>
        <v>0</v>
      </c>
      <c r="G481" s="309">
        <f>'GA55'!G477</f>
        <v>0</v>
      </c>
      <c r="H481" s="231">
        <f>'GA55'!Q477</f>
        <v>0</v>
      </c>
    </row>
    <row r="482" spans="1:8" x14ac:dyDescent="0.2">
      <c r="A482" s="231">
        <f>'GA55'!A478</f>
        <v>0</v>
      </c>
      <c r="B482" s="231">
        <f>'GA55'!B478</f>
        <v>0</v>
      </c>
      <c r="C482" s="305">
        <f>'GA55'!C478</f>
        <v>0</v>
      </c>
      <c r="D482" s="231">
        <f>'GA55'!D478</f>
        <v>0</v>
      </c>
      <c r="E482" s="305">
        <f>'GA55'!E478</f>
        <v>0</v>
      </c>
      <c r="F482" s="231">
        <f>'GA55'!F478</f>
        <v>0</v>
      </c>
      <c r="G482" s="309">
        <f>'GA55'!G478</f>
        <v>0</v>
      </c>
      <c r="H482" s="231">
        <f>'GA55'!Q478</f>
        <v>0</v>
      </c>
    </row>
    <row r="483" spans="1:8" x14ac:dyDescent="0.2">
      <c r="A483" s="231">
        <f>'GA55'!A479</f>
        <v>0</v>
      </c>
      <c r="B483" s="231">
        <f>'GA55'!B479</f>
        <v>0</v>
      </c>
      <c r="C483" s="305">
        <f>'GA55'!C479</f>
        <v>0</v>
      </c>
      <c r="D483" s="231">
        <f>'GA55'!D479</f>
        <v>0</v>
      </c>
      <c r="E483" s="305">
        <f>'GA55'!E479</f>
        <v>0</v>
      </c>
      <c r="F483" s="231">
        <f>'GA55'!F479</f>
        <v>0</v>
      </c>
      <c r="G483" s="309">
        <f>'GA55'!G479</f>
        <v>0</v>
      </c>
      <c r="H483" s="231">
        <f>'GA55'!Q479</f>
        <v>0</v>
      </c>
    </row>
    <row r="484" spans="1:8" x14ac:dyDescent="0.2">
      <c r="A484" s="231">
        <f>'GA55'!A480</f>
        <v>0</v>
      </c>
      <c r="B484" s="231">
        <f>'GA55'!B480</f>
        <v>0</v>
      </c>
      <c r="C484" s="305">
        <f>'GA55'!C480</f>
        <v>0</v>
      </c>
      <c r="D484" s="231">
        <f>'GA55'!D480</f>
        <v>0</v>
      </c>
      <c r="E484" s="305">
        <f>'GA55'!E480</f>
        <v>0</v>
      </c>
      <c r="F484" s="231">
        <f>'GA55'!F480</f>
        <v>0</v>
      </c>
      <c r="G484" s="309">
        <f>'GA55'!G480</f>
        <v>0</v>
      </c>
      <c r="H484" s="231">
        <f>'GA55'!Q480</f>
        <v>0</v>
      </c>
    </row>
    <row r="485" spans="1:8" x14ac:dyDescent="0.2">
      <c r="A485" s="231">
        <f>'GA55'!A481</f>
        <v>0</v>
      </c>
      <c r="B485" s="231">
        <f>'GA55'!B481</f>
        <v>0</v>
      </c>
      <c r="C485" s="305">
        <f>'GA55'!C481</f>
        <v>0</v>
      </c>
      <c r="D485" s="231">
        <f>'GA55'!D481</f>
        <v>0</v>
      </c>
      <c r="E485" s="305">
        <f>'GA55'!E481</f>
        <v>0</v>
      </c>
      <c r="F485" s="231">
        <f>'GA55'!F481</f>
        <v>0</v>
      </c>
      <c r="G485" s="309">
        <f>'GA55'!G481</f>
        <v>0</v>
      </c>
      <c r="H485" s="231">
        <f>'GA55'!Q481</f>
        <v>0</v>
      </c>
    </row>
    <row r="486" spans="1:8" x14ac:dyDescent="0.2">
      <c r="A486" s="231">
        <f>'GA55'!A482</f>
        <v>0</v>
      </c>
      <c r="B486" s="231">
        <f>'GA55'!B482</f>
        <v>0</v>
      </c>
      <c r="C486" s="305">
        <f>'GA55'!C482</f>
        <v>0</v>
      </c>
      <c r="D486" s="231">
        <f>'GA55'!D482</f>
        <v>0</v>
      </c>
      <c r="E486" s="305">
        <f>'GA55'!E482</f>
        <v>0</v>
      </c>
      <c r="F486" s="231">
        <f>'GA55'!F482</f>
        <v>0</v>
      </c>
      <c r="G486" s="309">
        <f>'GA55'!G482</f>
        <v>0</v>
      </c>
      <c r="H486" s="231">
        <f>'GA55'!Q482</f>
        <v>0</v>
      </c>
    </row>
    <row r="487" spans="1:8" x14ac:dyDescent="0.2">
      <c r="A487" s="231">
        <f>'GA55'!A483</f>
        <v>0</v>
      </c>
      <c r="B487" s="231">
        <f>'GA55'!B483</f>
        <v>0</v>
      </c>
      <c r="C487" s="305">
        <f>'GA55'!C483</f>
        <v>0</v>
      </c>
      <c r="D487" s="231">
        <f>'GA55'!D483</f>
        <v>0</v>
      </c>
      <c r="E487" s="305">
        <f>'GA55'!E483</f>
        <v>0</v>
      </c>
      <c r="F487" s="231">
        <f>'GA55'!F483</f>
        <v>0</v>
      </c>
      <c r="G487" s="309">
        <f>'GA55'!G483</f>
        <v>0</v>
      </c>
      <c r="H487" s="231">
        <f>'GA55'!Q483</f>
        <v>0</v>
      </c>
    </row>
    <row r="488" spans="1:8" x14ac:dyDescent="0.2">
      <c r="A488" s="231">
        <f>'GA55'!A484</f>
        <v>0</v>
      </c>
      <c r="B488" s="231">
        <f>'GA55'!B484</f>
        <v>0</v>
      </c>
      <c r="C488" s="305">
        <f>'GA55'!C484</f>
        <v>0</v>
      </c>
      <c r="D488" s="231">
        <f>'GA55'!D484</f>
        <v>0</v>
      </c>
      <c r="E488" s="305">
        <f>'GA55'!E484</f>
        <v>0</v>
      </c>
      <c r="F488" s="231">
        <f>'GA55'!F484</f>
        <v>0</v>
      </c>
      <c r="G488" s="309">
        <f>'GA55'!G484</f>
        <v>0</v>
      </c>
      <c r="H488" s="231">
        <f>'GA55'!Q484</f>
        <v>0</v>
      </c>
    </row>
    <row r="489" spans="1:8" x14ac:dyDescent="0.2">
      <c r="A489" s="231">
        <f>'GA55'!A485</f>
        <v>0</v>
      </c>
      <c r="B489" s="231">
        <f>'GA55'!B485</f>
        <v>0</v>
      </c>
      <c r="C489" s="305">
        <f>'GA55'!C485</f>
        <v>0</v>
      </c>
      <c r="D489" s="231">
        <f>'GA55'!D485</f>
        <v>0</v>
      </c>
      <c r="E489" s="305">
        <f>'GA55'!E485</f>
        <v>0</v>
      </c>
      <c r="F489" s="231">
        <f>'GA55'!F485</f>
        <v>0</v>
      </c>
      <c r="G489" s="309">
        <f>'GA55'!G485</f>
        <v>0</v>
      </c>
      <c r="H489" s="231">
        <f>'GA55'!Q485</f>
        <v>0</v>
      </c>
    </row>
    <row r="490" spans="1:8" x14ac:dyDescent="0.2">
      <c r="A490" s="231">
        <f>'GA55'!A486</f>
        <v>0</v>
      </c>
      <c r="B490" s="231">
        <f>'GA55'!B486</f>
        <v>0</v>
      </c>
      <c r="C490" s="305">
        <f>'GA55'!C486</f>
        <v>0</v>
      </c>
      <c r="D490" s="231">
        <f>'GA55'!D486</f>
        <v>0</v>
      </c>
      <c r="E490" s="305">
        <f>'GA55'!E486</f>
        <v>0</v>
      </c>
      <c r="F490" s="231">
        <f>'GA55'!F486</f>
        <v>0</v>
      </c>
      <c r="G490" s="309">
        <f>'GA55'!G486</f>
        <v>0</v>
      </c>
      <c r="H490" s="231">
        <f>'GA55'!Q486</f>
        <v>0</v>
      </c>
    </row>
    <row r="491" spans="1:8" x14ac:dyDescent="0.2">
      <c r="A491" s="231">
        <f>'GA55'!A487</f>
        <v>0</v>
      </c>
      <c r="B491" s="231">
        <f>'GA55'!B487</f>
        <v>0</v>
      </c>
      <c r="C491" s="305">
        <f>'GA55'!C487</f>
        <v>0</v>
      </c>
      <c r="D491" s="231">
        <f>'GA55'!D487</f>
        <v>0</v>
      </c>
      <c r="E491" s="305">
        <f>'GA55'!E487</f>
        <v>0</v>
      </c>
      <c r="F491" s="231">
        <f>'GA55'!F487</f>
        <v>0</v>
      </c>
      <c r="G491" s="309">
        <f>'GA55'!G487</f>
        <v>0</v>
      </c>
      <c r="H491" s="231">
        <f>'GA55'!Q487</f>
        <v>0</v>
      </c>
    </row>
    <row r="492" spans="1:8" x14ac:dyDescent="0.2">
      <c r="A492" s="231">
        <f>'GA55'!A488</f>
        <v>0</v>
      </c>
      <c r="B492" s="231">
        <f>'GA55'!B488</f>
        <v>0</v>
      </c>
      <c r="C492" s="305">
        <f>'GA55'!C488</f>
        <v>0</v>
      </c>
      <c r="D492" s="231">
        <f>'GA55'!D488</f>
        <v>0</v>
      </c>
      <c r="E492" s="305">
        <f>'GA55'!E488</f>
        <v>0</v>
      </c>
      <c r="F492" s="231">
        <f>'GA55'!F488</f>
        <v>0</v>
      </c>
      <c r="G492" s="309">
        <f>'GA55'!G488</f>
        <v>0</v>
      </c>
      <c r="H492" s="231">
        <f>'GA55'!Q488</f>
        <v>0</v>
      </c>
    </row>
    <row r="493" spans="1:8" x14ac:dyDescent="0.2">
      <c r="A493" s="231">
        <f>'GA55'!A489</f>
        <v>0</v>
      </c>
      <c r="B493" s="231">
        <f>'GA55'!B489</f>
        <v>0</v>
      </c>
      <c r="C493" s="305">
        <f>'GA55'!C489</f>
        <v>0</v>
      </c>
      <c r="D493" s="231">
        <f>'GA55'!D489</f>
        <v>0</v>
      </c>
      <c r="E493" s="305">
        <f>'GA55'!E489</f>
        <v>0</v>
      </c>
      <c r="F493" s="231">
        <f>'GA55'!F489</f>
        <v>0</v>
      </c>
      <c r="G493" s="309">
        <f>'GA55'!G489</f>
        <v>0</v>
      </c>
      <c r="H493" s="231">
        <f>'GA55'!Q489</f>
        <v>0</v>
      </c>
    </row>
    <row r="494" spans="1:8" x14ac:dyDescent="0.2">
      <c r="A494" s="231">
        <f>'GA55'!A490</f>
        <v>0</v>
      </c>
      <c r="B494" s="231">
        <f>'GA55'!B490</f>
        <v>0</v>
      </c>
      <c r="C494" s="305">
        <f>'GA55'!C490</f>
        <v>0</v>
      </c>
      <c r="D494" s="231">
        <f>'GA55'!D490</f>
        <v>0</v>
      </c>
      <c r="E494" s="305">
        <f>'GA55'!E490</f>
        <v>0</v>
      </c>
      <c r="F494" s="231">
        <f>'GA55'!F490</f>
        <v>0</v>
      </c>
      <c r="G494" s="309">
        <f>'GA55'!G490</f>
        <v>0</v>
      </c>
      <c r="H494" s="231">
        <f>'GA55'!Q490</f>
        <v>0</v>
      </c>
    </row>
    <row r="495" spans="1:8" x14ac:dyDescent="0.2">
      <c r="A495" s="231">
        <f>'GA55'!A491</f>
        <v>0</v>
      </c>
      <c r="B495" s="231">
        <f>'GA55'!B491</f>
        <v>0</v>
      </c>
      <c r="C495" s="305">
        <f>'GA55'!C491</f>
        <v>0</v>
      </c>
      <c r="D495" s="231">
        <f>'GA55'!D491</f>
        <v>0</v>
      </c>
      <c r="E495" s="305">
        <f>'GA55'!E491</f>
        <v>0</v>
      </c>
      <c r="F495" s="231">
        <f>'GA55'!F491</f>
        <v>0</v>
      </c>
      <c r="G495" s="309">
        <f>'GA55'!G491</f>
        <v>0</v>
      </c>
      <c r="H495" s="231">
        <f>'GA55'!Q491</f>
        <v>0</v>
      </c>
    </row>
    <row r="496" spans="1:8" x14ac:dyDescent="0.2">
      <c r="A496" s="231">
        <f>'GA55'!A492</f>
        <v>0</v>
      </c>
      <c r="B496" s="231">
        <f>'GA55'!B492</f>
        <v>0</v>
      </c>
      <c r="C496" s="305">
        <f>'GA55'!C492</f>
        <v>0</v>
      </c>
      <c r="D496" s="231">
        <f>'GA55'!D492</f>
        <v>0</v>
      </c>
      <c r="E496" s="305">
        <f>'GA55'!E492</f>
        <v>0</v>
      </c>
      <c r="F496" s="231">
        <f>'GA55'!F492</f>
        <v>0</v>
      </c>
      <c r="G496" s="309">
        <f>'GA55'!G492</f>
        <v>0</v>
      </c>
      <c r="H496" s="231">
        <f>'GA55'!Q492</f>
        <v>0</v>
      </c>
    </row>
    <row r="497" spans="1:8" x14ac:dyDescent="0.2">
      <c r="A497" s="231">
        <f>'GA55'!A493</f>
        <v>0</v>
      </c>
      <c r="B497" s="231">
        <f>'GA55'!B493</f>
        <v>0</v>
      </c>
      <c r="C497" s="305">
        <f>'GA55'!C493</f>
        <v>0</v>
      </c>
      <c r="D497" s="231">
        <f>'GA55'!D493</f>
        <v>0</v>
      </c>
      <c r="E497" s="305">
        <f>'GA55'!E493</f>
        <v>0</v>
      </c>
      <c r="F497" s="231">
        <f>'GA55'!F493</f>
        <v>0</v>
      </c>
      <c r="G497" s="309">
        <f>'GA55'!G493</f>
        <v>0</v>
      </c>
      <c r="H497" s="231">
        <f>'GA55'!Q493</f>
        <v>0</v>
      </c>
    </row>
    <row r="498" spans="1:8" x14ac:dyDescent="0.2">
      <c r="A498" s="231">
        <f>'GA55'!A494</f>
        <v>0</v>
      </c>
      <c r="B498" s="231">
        <f>'GA55'!B494</f>
        <v>0</v>
      </c>
      <c r="C498" s="305">
        <f>'GA55'!C494</f>
        <v>0</v>
      </c>
      <c r="D498" s="231">
        <f>'GA55'!D494</f>
        <v>0</v>
      </c>
      <c r="E498" s="305">
        <f>'GA55'!E494</f>
        <v>0</v>
      </c>
      <c r="F498" s="231">
        <f>'GA55'!F494</f>
        <v>0</v>
      </c>
      <c r="G498" s="309">
        <f>'GA55'!G494</f>
        <v>0</v>
      </c>
      <c r="H498" s="231">
        <f>'GA55'!Q494</f>
        <v>0</v>
      </c>
    </row>
    <row r="499" spans="1:8" x14ac:dyDescent="0.2">
      <c r="A499" s="231">
        <f>'GA55'!A495</f>
        <v>0</v>
      </c>
      <c r="B499" s="231">
        <f>'GA55'!B495</f>
        <v>0</v>
      </c>
      <c r="C499" s="305">
        <f>'GA55'!C495</f>
        <v>0</v>
      </c>
      <c r="D499" s="231">
        <f>'GA55'!D495</f>
        <v>0</v>
      </c>
      <c r="E499" s="305">
        <f>'GA55'!E495</f>
        <v>0</v>
      </c>
      <c r="F499" s="231">
        <f>'GA55'!F495</f>
        <v>0</v>
      </c>
      <c r="G499" s="309">
        <f>'GA55'!G495</f>
        <v>0</v>
      </c>
      <c r="H499" s="231">
        <f>'GA55'!Q495</f>
        <v>0</v>
      </c>
    </row>
    <row r="500" spans="1:8" x14ac:dyDescent="0.2">
      <c r="A500" s="231">
        <f>'GA55'!A496</f>
        <v>0</v>
      </c>
      <c r="B500" s="231">
        <f>'GA55'!B496</f>
        <v>0</v>
      </c>
      <c r="C500" s="305">
        <f>'GA55'!C496</f>
        <v>0</v>
      </c>
      <c r="D500" s="231">
        <f>'GA55'!D496</f>
        <v>0</v>
      </c>
      <c r="E500" s="305">
        <f>'GA55'!E496</f>
        <v>0</v>
      </c>
      <c r="F500" s="231">
        <f>'GA55'!F496</f>
        <v>0</v>
      </c>
      <c r="G500" s="309">
        <f>'GA55'!G496</f>
        <v>0</v>
      </c>
      <c r="H500" s="231">
        <f>'GA55'!Q496</f>
        <v>0</v>
      </c>
    </row>
    <row r="501" spans="1:8" x14ac:dyDescent="0.2">
      <c r="A501" s="231">
        <f>'GA55'!A497</f>
        <v>0</v>
      </c>
      <c r="B501" s="231">
        <f>'GA55'!B497</f>
        <v>0</v>
      </c>
      <c r="C501" s="305">
        <f>'GA55'!C497</f>
        <v>0</v>
      </c>
      <c r="D501" s="231">
        <f>'GA55'!D497</f>
        <v>0</v>
      </c>
      <c r="E501" s="305">
        <f>'GA55'!E497</f>
        <v>0</v>
      </c>
      <c r="F501" s="231">
        <f>'GA55'!F497</f>
        <v>0</v>
      </c>
      <c r="G501" s="309">
        <f>'GA55'!G497</f>
        <v>0</v>
      </c>
      <c r="H501" s="231">
        <f>'GA55'!Q497</f>
        <v>0</v>
      </c>
    </row>
    <row r="502" spans="1:8" x14ac:dyDescent="0.2">
      <c r="A502" s="231">
        <f>'GA55'!A498</f>
        <v>0</v>
      </c>
      <c r="B502" s="231">
        <f>'GA55'!B498</f>
        <v>0</v>
      </c>
      <c r="C502" s="305">
        <f>'GA55'!C498</f>
        <v>0</v>
      </c>
      <c r="D502" s="231">
        <f>'GA55'!D498</f>
        <v>0</v>
      </c>
      <c r="E502" s="305">
        <f>'GA55'!E498</f>
        <v>0</v>
      </c>
      <c r="F502" s="231">
        <f>'GA55'!F498</f>
        <v>0</v>
      </c>
      <c r="G502" s="309">
        <f>'GA55'!G498</f>
        <v>0</v>
      </c>
      <c r="H502" s="231">
        <f>'GA55'!Q498</f>
        <v>0</v>
      </c>
    </row>
    <row r="503" spans="1:8" x14ac:dyDescent="0.2">
      <c r="A503" s="231">
        <f>'GA55'!A499</f>
        <v>0</v>
      </c>
      <c r="B503" s="231">
        <f>'GA55'!B499</f>
        <v>0</v>
      </c>
      <c r="C503" s="305">
        <f>'GA55'!C499</f>
        <v>0</v>
      </c>
      <c r="D503" s="231">
        <f>'GA55'!D499</f>
        <v>0</v>
      </c>
      <c r="E503" s="305">
        <f>'GA55'!E499</f>
        <v>0</v>
      </c>
      <c r="F503" s="231">
        <f>'GA55'!F499</f>
        <v>0</v>
      </c>
      <c r="G503" s="309">
        <f>'GA55'!G499</f>
        <v>0</v>
      </c>
      <c r="H503" s="231">
        <f>'GA55'!Q499</f>
        <v>0</v>
      </c>
    </row>
    <row r="504" spans="1:8" x14ac:dyDescent="0.2">
      <c r="A504" s="231">
        <f>'GA55'!A500</f>
        <v>0</v>
      </c>
      <c r="B504" s="231">
        <f>'GA55'!B500</f>
        <v>0</v>
      </c>
      <c r="C504" s="305">
        <f>'GA55'!C500</f>
        <v>0</v>
      </c>
      <c r="D504" s="231">
        <f>'GA55'!D500</f>
        <v>0</v>
      </c>
      <c r="E504" s="305">
        <f>'GA55'!E500</f>
        <v>0</v>
      </c>
      <c r="F504" s="231">
        <f>'GA55'!F500</f>
        <v>0</v>
      </c>
      <c r="G504" s="309">
        <f>'GA55'!G500</f>
        <v>0</v>
      </c>
      <c r="H504" s="231">
        <f>'GA55'!Q500</f>
        <v>0</v>
      </c>
    </row>
    <row r="505" spans="1:8" x14ac:dyDescent="0.2">
      <c r="A505" s="231">
        <f>'GA55'!A501</f>
        <v>0</v>
      </c>
      <c r="B505" s="231">
        <f>'GA55'!B501</f>
        <v>0</v>
      </c>
      <c r="C505" s="305">
        <f>'GA55'!C501</f>
        <v>0</v>
      </c>
      <c r="D505" s="231">
        <f>'GA55'!D501</f>
        <v>0</v>
      </c>
      <c r="E505" s="305">
        <f>'GA55'!E501</f>
        <v>0</v>
      </c>
      <c r="F505" s="231">
        <f>'GA55'!F501</f>
        <v>0</v>
      </c>
      <c r="G505" s="309">
        <f>'GA55'!G501</f>
        <v>0</v>
      </c>
      <c r="H505" s="231">
        <f>'GA55'!Q501</f>
        <v>0</v>
      </c>
    </row>
    <row r="506" spans="1:8" x14ac:dyDescent="0.2">
      <c r="A506" s="231">
        <f>'GA55'!A502</f>
        <v>0</v>
      </c>
      <c r="B506" s="231">
        <f>'GA55'!B502</f>
        <v>0</v>
      </c>
      <c r="C506" s="305">
        <f>'GA55'!C502</f>
        <v>0</v>
      </c>
      <c r="D506" s="231">
        <f>'GA55'!D502</f>
        <v>0</v>
      </c>
      <c r="E506" s="305">
        <f>'GA55'!E502</f>
        <v>0</v>
      </c>
      <c r="F506" s="231">
        <f>'GA55'!F502</f>
        <v>0</v>
      </c>
      <c r="G506" s="309">
        <f>'GA55'!G502</f>
        <v>0</v>
      </c>
      <c r="H506" s="231">
        <f>'GA55'!Q502</f>
        <v>0</v>
      </c>
    </row>
    <row r="507" spans="1:8" x14ac:dyDescent="0.2">
      <c r="A507" s="231">
        <f>'GA55'!A503</f>
        <v>0</v>
      </c>
      <c r="B507" s="231">
        <f>'GA55'!B503</f>
        <v>0</v>
      </c>
      <c r="C507" s="305">
        <f>'GA55'!C503</f>
        <v>0</v>
      </c>
      <c r="D507" s="231">
        <f>'GA55'!D503</f>
        <v>0</v>
      </c>
      <c r="E507" s="305">
        <f>'GA55'!E503</f>
        <v>0</v>
      </c>
      <c r="F507" s="231">
        <f>'GA55'!F503</f>
        <v>0</v>
      </c>
      <c r="G507" s="309">
        <f>'GA55'!G503</f>
        <v>0</v>
      </c>
      <c r="H507" s="231">
        <f>'GA55'!Q503</f>
        <v>0</v>
      </c>
    </row>
    <row r="508" spans="1:8" x14ac:dyDescent="0.2">
      <c r="A508" s="231">
        <f>'GA55'!A504</f>
        <v>0</v>
      </c>
      <c r="B508" s="231">
        <f>'GA55'!B504</f>
        <v>0</v>
      </c>
      <c r="C508" s="305">
        <f>'GA55'!C504</f>
        <v>0</v>
      </c>
      <c r="D508" s="231">
        <f>'GA55'!D504</f>
        <v>0</v>
      </c>
      <c r="E508" s="305">
        <f>'GA55'!E504</f>
        <v>0</v>
      </c>
      <c r="F508" s="231">
        <f>'GA55'!F504</f>
        <v>0</v>
      </c>
      <c r="G508" s="309">
        <f>'GA55'!G504</f>
        <v>0</v>
      </c>
      <c r="H508" s="231">
        <f>'GA55'!Q504</f>
        <v>0</v>
      </c>
    </row>
    <row r="509" spans="1:8" x14ac:dyDescent="0.2">
      <c r="A509" s="231">
        <f>'GA55'!A505</f>
        <v>0</v>
      </c>
      <c r="B509" s="231">
        <f>'GA55'!B505</f>
        <v>0</v>
      </c>
      <c r="C509" s="305">
        <f>'GA55'!C505</f>
        <v>0</v>
      </c>
      <c r="D509" s="231">
        <f>'GA55'!D505</f>
        <v>0</v>
      </c>
      <c r="E509" s="305">
        <f>'GA55'!E505</f>
        <v>0</v>
      </c>
      <c r="F509" s="231">
        <f>'GA55'!F505</f>
        <v>0</v>
      </c>
      <c r="G509" s="309">
        <f>'GA55'!G505</f>
        <v>0</v>
      </c>
      <c r="H509" s="231">
        <f>'GA55'!Q505</f>
        <v>0</v>
      </c>
    </row>
    <row r="510" spans="1:8" x14ac:dyDescent="0.2">
      <c r="A510" s="231">
        <f>'GA55'!A506</f>
        <v>0</v>
      </c>
      <c r="B510" s="231">
        <f>'GA55'!B506</f>
        <v>0</v>
      </c>
      <c r="C510" s="305">
        <f>'GA55'!C506</f>
        <v>0</v>
      </c>
      <c r="D510" s="231">
        <f>'GA55'!D506</f>
        <v>0</v>
      </c>
      <c r="E510" s="305">
        <f>'GA55'!E506</f>
        <v>0</v>
      </c>
      <c r="F510" s="231">
        <f>'GA55'!F506</f>
        <v>0</v>
      </c>
      <c r="G510" s="309">
        <f>'GA55'!G506</f>
        <v>0</v>
      </c>
      <c r="H510" s="231">
        <f>'GA55'!Q506</f>
        <v>0</v>
      </c>
    </row>
    <row r="511" spans="1:8" x14ac:dyDescent="0.2">
      <c r="A511" s="231">
        <f>'GA55'!A507</f>
        <v>0</v>
      </c>
      <c r="B511" s="231">
        <f>'GA55'!B507</f>
        <v>0</v>
      </c>
      <c r="C511" s="305">
        <f>'GA55'!C507</f>
        <v>0</v>
      </c>
      <c r="D511" s="231">
        <f>'GA55'!D507</f>
        <v>0</v>
      </c>
      <c r="E511" s="305">
        <f>'GA55'!E507</f>
        <v>0</v>
      </c>
      <c r="F511" s="231">
        <f>'GA55'!F507</f>
        <v>0</v>
      </c>
      <c r="G511" s="309">
        <f>'GA55'!G507</f>
        <v>0</v>
      </c>
      <c r="H511" s="231">
        <f>'GA55'!Q507</f>
        <v>0</v>
      </c>
    </row>
    <row r="512" spans="1:8" x14ac:dyDescent="0.2">
      <c r="A512" s="231">
        <f>'GA55'!A508</f>
        <v>0</v>
      </c>
      <c r="B512" s="231">
        <f>'GA55'!B508</f>
        <v>0</v>
      </c>
      <c r="C512" s="305">
        <f>'GA55'!C508</f>
        <v>0</v>
      </c>
      <c r="D512" s="231">
        <f>'GA55'!D508</f>
        <v>0</v>
      </c>
      <c r="E512" s="305">
        <f>'GA55'!E508</f>
        <v>0</v>
      </c>
      <c r="F512" s="231">
        <f>'GA55'!F508</f>
        <v>0</v>
      </c>
      <c r="G512" s="309">
        <f>'GA55'!G508</f>
        <v>0</v>
      </c>
      <c r="H512" s="231">
        <f>'GA55'!Q508</f>
        <v>0</v>
      </c>
    </row>
    <row r="513" spans="1:8" x14ac:dyDescent="0.2">
      <c r="A513" s="231">
        <f>'GA55'!A509</f>
        <v>0</v>
      </c>
      <c r="B513" s="231">
        <f>'GA55'!B509</f>
        <v>0</v>
      </c>
      <c r="C513" s="305">
        <f>'GA55'!C509</f>
        <v>0</v>
      </c>
      <c r="D513" s="231">
        <f>'GA55'!D509</f>
        <v>0</v>
      </c>
      <c r="E513" s="305">
        <f>'GA55'!E509</f>
        <v>0</v>
      </c>
      <c r="F513" s="231">
        <f>'GA55'!F509</f>
        <v>0</v>
      </c>
      <c r="G513" s="309">
        <f>'GA55'!G509</f>
        <v>0</v>
      </c>
      <c r="H513" s="231">
        <f>'GA55'!Q509</f>
        <v>0</v>
      </c>
    </row>
    <row r="514" spans="1:8" x14ac:dyDescent="0.2">
      <c r="A514" s="231">
        <f>'GA55'!A510</f>
        <v>0</v>
      </c>
      <c r="B514" s="231">
        <f>'GA55'!B510</f>
        <v>0</v>
      </c>
      <c r="C514" s="305">
        <f>'GA55'!C510</f>
        <v>0</v>
      </c>
      <c r="D514" s="231">
        <f>'GA55'!D510</f>
        <v>0</v>
      </c>
      <c r="E514" s="305">
        <f>'GA55'!E510</f>
        <v>0</v>
      </c>
      <c r="F514" s="231">
        <f>'GA55'!F510</f>
        <v>0</v>
      </c>
      <c r="G514" s="309">
        <f>'GA55'!G510</f>
        <v>0</v>
      </c>
      <c r="H514" s="231">
        <f>'GA55'!Q510</f>
        <v>0</v>
      </c>
    </row>
    <row r="515" spans="1:8" x14ac:dyDescent="0.2">
      <c r="A515" s="231">
        <f>'GA55'!A511</f>
        <v>0</v>
      </c>
      <c r="B515" s="231">
        <f>'GA55'!B511</f>
        <v>0</v>
      </c>
      <c r="C515" s="305">
        <f>'GA55'!C511</f>
        <v>0</v>
      </c>
      <c r="D515" s="231">
        <f>'GA55'!D511</f>
        <v>0</v>
      </c>
      <c r="E515" s="305">
        <f>'GA55'!E511</f>
        <v>0</v>
      </c>
      <c r="F515" s="231">
        <f>'GA55'!F511</f>
        <v>0</v>
      </c>
      <c r="G515" s="309">
        <f>'GA55'!G511</f>
        <v>0</v>
      </c>
      <c r="H515" s="231">
        <f>'GA55'!Q511</f>
        <v>0</v>
      </c>
    </row>
    <row r="516" spans="1:8" x14ac:dyDescent="0.2">
      <c r="A516" s="231">
        <f>'GA55'!A512</f>
        <v>0</v>
      </c>
      <c r="B516" s="231">
        <f>'GA55'!B512</f>
        <v>0</v>
      </c>
      <c r="C516" s="305">
        <f>'GA55'!C512</f>
        <v>0</v>
      </c>
      <c r="D516" s="231">
        <f>'GA55'!D512</f>
        <v>0</v>
      </c>
      <c r="E516" s="305">
        <f>'GA55'!E512</f>
        <v>0</v>
      </c>
      <c r="F516" s="231">
        <f>'GA55'!F512</f>
        <v>0</v>
      </c>
      <c r="G516" s="309">
        <f>'GA55'!G512</f>
        <v>0</v>
      </c>
      <c r="H516" s="231">
        <f>'GA55'!Q512</f>
        <v>0</v>
      </c>
    </row>
    <row r="517" spans="1:8" x14ac:dyDescent="0.2">
      <c r="A517" s="231">
        <f>'GA55'!A513</f>
        <v>0</v>
      </c>
      <c r="B517" s="231">
        <f>'GA55'!B513</f>
        <v>0</v>
      </c>
      <c r="C517" s="305">
        <f>'GA55'!C513</f>
        <v>0</v>
      </c>
      <c r="D517" s="231">
        <f>'GA55'!D513</f>
        <v>0</v>
      </c>
      <c r="E517" s="305">
        <f>'GA55'!E513</f>
        <v>0</v>
      </c>
      <c r="F517" s="231">
        <f>'GA55'!F513</f>
        <v>0</v>
      </c>
      <c r="G517" s="309">
        <f>'GA55'!G513</f>
        <v>0</v>
      </c>
      <c r="H517" s="231">
        <f>'GA55'!Q513</f>
        <v>0</v>
      </c>
    </row>
    <row r="518" spans="1:8" x14ac:dyDescent="0.2">
      <c r="A518" s="231">
        <f>'GA55'!A514</f>
        <v>0</v>
      </c>
      <c r="B518" s="231">
        <f>'GA55'!B514</f>
        <v>0</v>
      </c>
      <c r="C518" s="305">
        <f>'GA55'!C514</f>
        <v>0</v>
      </c>
      <c r="D518" s="231">
        <f>'GA55'!D514</f>
        <v>0</v>
      </c>
      <c r="E518" s="305">
        <f>'GA55'!E514</f>
        <v>0</v>
      </c>
      <c r="F518" s="231">
        <f>'GA55'!F514</f>
        <v>0</v>
      </c>
      <c r="G518" s="309">
        <f>'GA55'!G514</f>
        <v>0</v>
      </c>
      <c r="H518" s="231">
        <f>'GA55'!Q514</f>
        <v>0</v>
      </c>
    </row>
    <row r="519" spans="1:8" x14ac:dyDescent="0.2">
      <c r="A519" s="231">
        <f>'GA55'!A515</f>
        <v>0</v>
      </c>
      <c r="B519" s="231">
        <f>'GA55'!B515</f>
        <v>0</v>
      </c>
      <c r="C519" s="305">
        <f>'GA55'!C515</f>
        <v>0</v>
      </c>
      <c r="D519" s="231">
        <f>'GA55'!D515</f>
        <v>0</v>
      </c>
      <c r="E519" s="305">
        <f>'GA55'!E515</f>
        <v>0</v>
      </c>
      <c r="F519" s="231">
        <f>'GA55'!F515</f>
        <v>0</v>
      </c>
      <c r="G519" s="309">
        <f>'GA55'!G515</f>
        <v>0</v>
      </c>
      <c r="H519" s="231">
        <f>'GA55'!Q515</f>
        <v>0</v>
      </c>
    </row>
    <row r="520" spans="1:8" x14ac:dyDescent="0.2">
      <c r="A520" s="231">
        <f>'GA55'!A516</f>
        <v>0</v>
      </c>
      <c r="B520" s="231">
        <f>'GA55'!B516</f>
        <v>0</v>
      </c>
      <c r="C520" s="305">
        <f>'GA55'!C516</f>
        <v>0</v>
      </c>
      <c r="D520" s="231">
        <f>'GA55'!D516</f>
        <v>0</v>
      </c>
      <c r="E520" s="305">
        <f>'GA55'!E516</f>
        <v>0</v>
      </c>
      <c r="F520" s="231">
        <f>'GA55'!F516</f>
        <v>0</v>
      </c>
      <c r="G520" s="309">
        <f>'GA55'!G516</f>
        <v>0</v>
      </c>
      <c r="H520" s="231">
        <f>'GA55'!Q516</f>
        <v>0</v>
      </c>
    </row>
    <row r="521" spans="1:8" x14ac:dyDescent="0.2">
      <c r="A521" s="231">
        <f>'GA55'!A517</f>
        <v>0</v>
      </c>
      <c r="B521" s="231">
        <f>'GA55'!B517</f>
        <v>0</v>
      </c>
      <c r="C521" s="305">
        <f>'GA55'!C517</f>
        <v>0</v>
      </c>
      <c r="D521" s="231">
        <f>'GA55'!D517</f>
        <v>0</v>
      </c>
      <c r="E521" s="305">
        <f>'GA55'!E517</f>
        <v>0</v>
      </c>
      <c r="F521" s="231">
        <f>'GA55'!F517</f>
        <v>0</v>
      </c>
      <c r="G521" s="309">
        <f>'GA55'!G517</f>
        <v>0</v>
      </c>
      <c r="H521" s="231">
        <f>'GA55'!Q517</f>
        <v>0</v>
      </c>
    </row>
    <row r="522" spans="1:8" x14ac:dyDescent="0.2">
      <c r="A522" s="231">
        <f>'GA55'!A518</f>
        <v>0</v>
      </c>
      <c r="B522" s="231">
        <f>'GA55'!B518</f>
        <v>0</v>
      </c>
      <c r="C522" s="305">
        <f>'GA55'!C518</f>
        <v>0</v>
      </c>
      <c r="D522" s="231">
        <f>'GA55'!D518</f>
        <v>0</v>
      </c>
      <c r="E522" s="305">
        <f>'GA55'!E518</f>
        <v>0</v>
      </c>
      <c r="F522" s="231">
        <f>'GA55'!F518</f>
        <v>0</v>
      </c>
      <c r="G522" s="309">
        <f>'GA55'!G518</f>
        <v>0</v>
      </c>
      <c r="H522" s="231">
        <f>'GA55'!Q518</f>
        <v>0</v>
      </c>
    </row>
    <row r="523" spans="1:8" x14ac:dyDescent="0.2">
      <c r="A523" s="231">
        <f>'GA55'!A519</f>
        <v>0</v>
      </c>
      <c r="B523" s="231">
        <f>'GA55'!B519</f>
        <v>0</v>
      </c>
      <c r="C523" s="305">
        <f>'GA55'!C519</f>
        <v>0</v>
      </c>
      <c r="D523" s="231">
        <f>'GA55'!D519</f>
        <v>0</v>
      </c>
      <c r="E523" s="305">
        <f>'GA55'!E519</f>
        <v>0</v>
      </c>
      <c r="F523" s="231">
        <f>'GA55'!F519</f>
        <v>0</v>
      </c>
      <c r="G523" s="309">
        <f>'GA55'!G519</f>
        <v>0</v>
      </c>
      <c r="H523" s="231">
        <f>'GA55'!Q519</f>
        <v>0</v>
      </c>
    </row>
    <row r="524" spans="1:8" x14ac:dyDescent="0.2">
      <c r="A524" s="231">
        <f>'GA55'!A520</f>
        <v>0</v>
      </c>
      <c r="B524" s="231">
        <f>'GA55'!B520</f>
        <v>0</v>
      </c>
      <c r="C524" s="305">
        <f>'GA55'!C520</f>
        <v>0</v>
      </c>
      <c r="D524" s="231">
        <f>'GA55'!D520</f>
        <v>0</v>
      </c>
      <c r="E524" s="305">
        <f>'GA55'!E520</f>
        <v>0</v>
      </c>
      <c r="F524" s="231">
        <f>'GA55'!F520</f>
        <v>0</v>
      </c>
      <c r="G524" s="309">
        <f>'GA55'!G520</f>
        <v>0</v>
      </c>
      <c r="H524" s="231">
        <f>'GA55'!Q520</f>
        <v>0</v>
      </c>
    </row>
    <row r="525" spans="1:8" x14ac:dyDescent="0.2">
      <c r="A525" s="231">
        <f>'GA55'!A521</f>
        <v>0</v>
      </c>
      <c r="B525" s="231">
        <f>'GA55'!B521</f>
        <v>0</v>
      </c>
      <c r="C525" s="305">
        <f>'GA55'!C521</f>
        <v>0</v>
      </c>
      <c r="D525" s="231">
        <f>'GA55'!D521</f>
        <v>0</v>
      </c>
      <c r="E525" s="305">
        <f>'GA55'!E521</f>
        <v>0</v>
      </c>
      <c r="F525" s="231">
        <f>'GA55'!F521</f>
        <v>0</v>
      </c>
      <c r="G525" s="309">
        <f>'GA55'!G521</f>
        <v>0</v>
      </c>
      <c r="H525" s="231">
        <f>'GA55'!Q521</f>
        <v>0</v>
      </c>
    </row>
    <row r="526" spans="1:8" x14ac:dyDescent="0.2">
      <c r="A526" s="231">
        <f>'GA55'!A522</f>
        <v>0</v>
      </c>
      <c r="B526" s="231">
        <f>'GA55'!B522</f>
        <v>0</v>
      </c>
      <c r="C526" s="305">
        <f>'GA55'!C522</f>
        <v>0</v>
      </c>
      <c r="D526" s="231">
        <f>'GA55'!D522</f>
        <v>0</v>
      </c>
      <c r="E526" s="305">
        <f>'GA55'!E522</f>
        <v>0</v>
      </c>
      <c r="F526" s="231">
        <f>'GA55'!F522</f>
        <v>0</v>
      </c>
      <c r="G526" s="309">
        <f>'GA55'!G522</f>
        <v>0</v>
      </c>
      <c r="H526" s="231">
        <f>'GA55'!Q522</f>
        <v>0</v>
      </c>
    </row>
    <row r="527" spans="1:8" x14ac:dyDescent="0.2">
      <c r="A527" s="231">
        <f>'GA55'!A523</f>
        <v>0</v>
      </c>
      <c r="B527" s="231">
        <f>'GA55'!B523</f>
        <v>0</v>
      </c>
      <c r="C527" s="305">
        <f>'GA55'!C523</f>
        <v>0</v>
      </c>
      <c r="D527" s="231">
        <f>'GA55'!D523</f>
        <v>0</v>
      </c>
      <c r="E527" s="305">
        <f>'GA55'!E523</f>
        <v>0</v>
      </c>
      <c r="F527" s="231">
        <f>'GA55'!F523</f>
        <v>0</v>
      </c>
      <c r="G527" s="309">
        <f>'GA55'!G523</f>
        <v>0</v>
      </c>
      <c r="H527" s="231">
        <f>'GA55'!Q523</f>
        <v>0</v>
      </c>
    </row>
    <row r="528" spans="1:8" x14ac:dyDescent="0.2">
      <c r="A528" s="231">
        <f>'GA55'!A524</f>
        <v>0</v>
      </c>
      <c r="B528" s="231">
        <f>'GA55'!B524</f>
        <v>0</v>
      </c>
      <c r="C528" s="305">
        <f>'GA55'!C524</f>
        <v>0</v>
      </c>
      <c r="D528" s="231">
        <f>'GA55'!D524</f>
        <v>0</v>
      </c>
      <c r="E528" s="305">
        <f>'GA55'!E524</f>
        <v>0</v>
      </c>
      <c r="F528" s="231">
        <f>'GA55'!F524</f>
        <v>0</v>
      </c>
      <c r="G528" s="309">
        <f>'GA55'!G524</f>
        <v>0</v>
      </c>
      <c r="H528" s="231">
        <f>'GA55'!Q524</f>
        <v>0</v>
      </c>
    </row>
    <row r="529" spans="1:8" x14ac:dyDescent="0.2">
      <c r="A529" s="231">
        <f>'GA55'!A525</f>
        <v>0</v>
      </c>
      <c r="B529" s="231">
        <f>'GA55'!B525</f>
        <v>0</v>
      </c>
      <c r="C529" s="305">
        <f>'GA55'!C525</f>
        <v>0</v>
      </c>
      <c r="D529" s="231">
        <f>'GA55'!D525</f>
        <v>0</v>
      </c>
      <c r="E529" s="305">
        <f>'GA55'!E525</f>
        <v>0</v>
      </c>
      <c r="F529" s="231">
        <f>'GA55'!F525</f>
        <v>0</v>
      </c>
      <c r="G529" s="309">
        <f>'GA55'!G525</f>
        <v>0</v>
      </c>
      <c r="H529" s="231">
        <f>'GA55'!Q525</f>
        <v>0</v>
      </c>
    </row>
    <row r="530" spans="1:8" x14ac:dyDescent="0.2">
      <c r="A530" s="231">
        <f>'GA55'!A526</f>
        <v>0</v>
      </c>
      <c r="B530" s="231">
        <f>'GA55'!B526</f>
        <v>0</v>
      </c>
      <c r="C530" s="305">
        <f>'GA55'!C526</f>
        <v>0</v>
      </c>
      <c r="D530" s="231">
        <f>'GA55'!D526</f>
        <v>0</v>
      </c>
      <c r="E530" s="305">
        <f>'GA55'!E526</f>
        <v>0</v>
      </c>
      <c r="F530" s="231">
        <f>'GA55'!F526</f>
        <v>0</v>
      </c>
      <c r="G530" s="309">
        <f>'GA55'!G526</f>
        <v>0</v>
      </c>
      <c r="H530" s="231">
        <f>'GA55'!Q526</f>
        <v>0</v>
      </c>
    </row>
    <row r="531" spans="1:8" x14ac:dyDescent="0.2">
      <c r="A531" s="231">
        <f>'GA55'!A527</f>
        <v>0</v>
      </c>
      <c r="B531" s="231">
        <f>'GA55'!B527</f>
        <v>0</v>
      </c>
      <c r="C531" s="305">
        <f>'GA55'!C527</f>
        <v>0</v>
      </c>
      <c r="D531" s="231">
        <f>'GA55'!D527</f>
        <v>0</v>
      </c>
      <c r="E531" s="305">
        <f>'GA55'!E527</f>
        <v>0</v>
      </c>
      <c r="F531" s="231">
        <f>'GA55'!F527</f>
        <v>0</v>
      </c>
      <c r="G531" s="309">
        <f>'GA55'!G527</f>
        <v>0</v>
      </c>
      <c r="H531" s="231">
        <f>'GA55'!Q527</f>
        <v>0</v>
      </c>
    </row>
    <row r="532" spans="1:8" x14ac:dyDescent="0.2">
      <c r="A532" s="231">
        <f>'GA55'!A528</f>
        <v>0</v>
      </c>
      <c r="B532" s="231">
        <f>'GA55'!B528</f>
        <v>0</v>
      </c>
      <c r="C532" s="305">
        <f>'GA55'!C528</f>
        <v>0</v>
      </c>
      <c r="D532" s="231">
        <f>'GA55'!D528</f>
        <v>0</v>
      </c>
      <c r="E532" s="305">
        <f>'GA55'!E528</f>
        <v>0</v>
      </c>
      <c r="F532" s="231">
        <f>'GA55'!F528</f>
        <v>0</v>
      </c>
      <c r="G532" s="309">
        <f>'GA55'!G528</f>
        <v>0</v>
      </c>
      <c r="H532" s="231">
        <f>'GA55'!Q528</f>
        <v>0</v>
      </c>
    </row>
    <row r="533" spans="1:8" x14ac:dyDescent="0.2">
      <c r="A533" s="231">
        <f>'GA55'!A529</f>
        <v>0</v>
      </c>
      <c r="B533" s="231">
        <f>'GA55'!B529</f>
        <v>0</v>
      </c>
      <c r="C533" s="305">
        <f>'GA55'!C529</f>
        <v>0</v>
      </c>
      <c r="D533" s="231">
        <f>'GA55'!D529</f>
        <v>0</v>
      </c>
      <c r="E533" s="305">
        <f>'GA55'!E529</f>
        <v>0</v>
      </c>
      <c r="F533" s="231">
        <f>'GA55'!F529</f>
        <v>0</v>
      </c>
      <c r="G533" s="309">
        <f>'GA55'!G529</f>
        <v>0</v>
      </c>
      <c r="H533" s="231">
        <f>'GA55'!Q529</f>
        <v>0</v>
      </c>
    </row>
    <row r="534" spans="1:8" x14ac:dyDescent="0.2">
      <c r="A534" s="231">
        <f>'GA55'!A530</f>
        <v>0</v>
      </c>
      <c r="B534" s="231">
        <f>'GA55'!B530</f>
        <v>0</v>
      </c>
      <c r="C534" s="305">
        <f>'GA55'!C530</f>
        <v>0</v>
      </c>
      <c r="D534" s="231">
        <f>'GA55'!D530</f>
        <v>0</v>
      </c>
      <c r="E534" s="305">
        <f>'GA55'!E530</f>
        <v>0</v>
      </c>
      <c r="F534" s="231">
        <f>'GA55'!F530</f>
        <v>0</v>
      </c>
      <c r="G534" s="309">
        <f>'GA55'!G530</f>
        <v>0</v>
      </c>
      <c r="H534" s="231">
        <f>'GA55'!Q530</f>
        <v>0</v>
      </c>
    </row>
    <row r="535" spans="1:8" x14ac:dyDescent="0.2">
      <c r="A535" s="231">
        <f>'GA55'!A531</f>
        <v>0</v>
      </c>
      <c r="B535" s="231">
        <f>'GA55'!B531</f>
        <v>0</v>
      </c>
      <c r="C535" s="305">
        <f>'GA55'!C531</f>
        <v>0</v>
      </c>
      <c r="D535" s="231">
        <f>'GA55'!D531</f>
        <v>0</v>
      </c>
      <c r="E535" s="305">
        <f>'GA55'!E531</f>
        <v>0</v>
      </c>
      <c r="F535" s="231">
        <f>'GA55'!F531</f>
        <v>0</v>
      </c>
      <c r="G535" s="309">
        <f>'GA55'!G531</f>
        <v>0</v>
      </c>
      <c r="H535" s="231">
        <f>'GA55'!Q531</f>
        <v>0</v>
      </c>
    </row>
    <row r="536" spans="1:8" x14ac:dyDescent="0.2">
      <c r="A536" s="231">
        <f>'GA55'!A532</f>
        <v>0</v>
      </c>
      <c r="B536" s="231">
        <f>'GA55'!B532</f>
        <v>0</v>
      </c>
      <c r="C536" s="305">
        <f>'GA55'!C532</f>
        <v>0</v>
      </c>
      <c r="D536" s="231">
        <f>'GA55'!D532</f>
        <v>0</v>
      </c>
      <c r="E536" s="305">
        <f>'GA55'!E532</f>
        <v>0</v>
      </c>
      <c r="F536" s="231">
        <f>'GA55'!F532</f>
        <v>0</v>
      </c>
      <c r="G536" s="309">
        <f>'GA55'!G532</f>
        <v>0</v>
      </c>
      <c r="H536" s="231">
        <f>'GA55'!Q532</f>
        <v>0</v>
      </c>
    </row>
    <row r="537" spans="1:8" x14ac:dyDescent="0.2">
      <c r="A537" s="231">
        <f>'GA55'!A533</f>
        <v>0</v>
      </c>
      <c r="B537" s="231">
        <f>'GA55'!B533</f>
        <v>0</v>
      </c>
      <c r="C537" s="305">
        <f>'GA55'!C533</f>
        <v>0</v>
      </c>
      <c r="D537" s="231">
        <f>'GA55'!D533</f>
        <v>0</v>
      </c>
      <c r="E537" s="305">
        <f>'GA55'!E533</f>
        <v>0</v>
      </c>
      <c r="F537" s="231">
        <f>'GA55'!F533</f>
        <v>0</v>
      </c>
      <c r="G537" s="309">
        <f>'GA55'!G533</f>
        <v>0</v>
      </c>
      <c r="H537" s="231">
        <f>'GA55'!Q533</f>
        <v>0</v>
      </c>
    </row>
    <row r="538" spans="1:8" x14ac:dyDescent="0.2">
      <c r="A538" s="231">
        <f>'GA55'!A534</f>
        <v>0</v>
      </c>
      <c r="B538" s="231">
        <f>'GA55'!B534</f>
        <v>0</v>
      </c>
      <c r="C538" s="305">
        <f>'GA55'!C534</f>
        <v>0</v>
      </c>
      <c r="D538" s="231">
        <f>'GA55'!D534</f>
        <v>0</v>
      </c>
      <c r="E538" s="305">
        <f>'GA55'!E534</f>
        <v>0</v>
      </c>
      <c r="F538" s="231">
        <f>'GA55'!F534</f>
        <v>0</v>
      </c>
      <c r="G538" s="309">
        <f>'GA55'!G534</f>
        <v>0</v>
      </c>
      <c r="H538" s="231">
        <f>'GA55'!Q534</f>
        <v>0</v>
      </c>
    </row>
    <row r="539" spans="1:8" x14ac:dyDescent="0.2">
      <c r="A539" s="231">
        <f>'GA55'!A535</f>
        <v>0</v>
      </c>
      <c r="B539" s="231">
        <f>'GA55'!B535</f>
        <v>0</v>
      </c>
      <c r="C539" s="305">
        <f>'GA55'!C535</f>
        <v>0</v>
      </c>
      <c r="D539" s="231">
        <f>'GA55'!D535</f>
        <v>0</v>
      </c>
      <c r="E539" s="305">
        <f>'GA55'!E535</f>
        <v>0</v>
      </c>
      <c r="F539" s="231">
        <f>'GA55'!F535</f>
        <v>0</v>
      </c>
      <c r="G539" s="309">
        <f>'GA55'!G535</f>
        <v>0</v>
      </c>
      <c r="H539" s="231">
        <f>'GA55'!Q535</f>
        <v>0</v>
      </c>
    </row>
    <row r="540" spans="1:8" x14ac:dyDescent="0.2">
      <c r="A540" s="231">
        <f>'GA55'!A536</f>
        <v>0</v>
      </c>
      <c r="B540" s="231">
        <f>'GA55'!B536</f>
        <v>0</v>
      </c>
      <c r="C540" s="305">
        <f>'GA55'!C536</f>
        <v>0</v>
      </c>
      <c r="D540" s="231">
        <f>'GA55'!D536</f>
        <v>0</v>
      </c>
      <c r="E540" s="305">
        <f>'GA55'!E536</f>
        <v>0</v>
      </c>
      <c r="F540" s="231">
        <f>'GA55'!F536</f>
        <v>0</v>
      </c>
      <c r="G540" s="309">
        <f>'GA55'!G536</f>
        <v>0</v>
      </c>
      <c r="H540" s="231">
        <f>'GA55'!Q536</f>
        <v>0</v>
      </c>
    </row>
    <row r="541" spans="1:8" x14ac:dyDescent="0.2">
      <c r="A541" s="231">
        <f>'GA55'!A537</f>
        <v>0</v>
      </c>
      <c r="B541" s="231">
        <f>'GA55'!B537</f>
        <v>0</v>
      </c>
      <c r="C541" s="305">
        <f>'GA55'!C537</f>
        <v>0</v>
      </c>
      <c r="D541" s="231">
        <f>'GA55'!D537</f>
        <v>0</v>
      </c>
      <c r="E541" s="305">
        <f>'GA55'!E537</f>
        <v>0</v>
      </c>
      <c r="F541" s="231">
        <f>'GA55'!F537</f>
        <v>0</v>
      </c>
      <c r="G541" s="309">
        <f>'GA55'!G537</f>
        <v>0</v>
      </c>
      <c r="H541" s="231">
        <f>'GA55'!Q537</f>
        <v>0</v>
      </c>
    </row>
    <row r="542" spans="1:8" x14ac:dyDescent="0.2">
      <c r="A542" s="231">
        <f>'GA55'!A538</f>
        <v>0</v>
      </c>
      <c r="B542" s="231">
        <f>'GA55'!B538</f>
        <v>0</v>
      </c>
      <c r="C542" s="305">
        <f>'GA55'!C538</f>
        <v>0</v>
      </c>
      <c r="D542" s="231">
        <f>'GA55'!D538</f>
        <v>0</v>
      </c>
      <c r="E542" s="305">
        <f>'GA55'!E538</f>
        <v>0</v>
      </c>
      <c r="F542" s="231">
        <f>'GA55'!F538</f>
        <v>0</v>
      </c>
      <c r="G542" s="309">
        <f>'GA55'!G538</f>
        <v>0</v>
      </c>
      <c r="H542" s="231">
        <f>'GA55'!Q538</f>
        <v>0</v>
      </c>
    </row>
    <row r="543" spans="1:8" x14ac:dyDescent="0.2">
      <c r="A543" s="231">
        <f>'GA55'!A539</f>
        <v>0</v>
      </c>
      <c r="B543" s="231">
        <f>'GA55'!B539</f>
        <v>0</v>
      </c>
      <c r="C543" s="305">
        <f>'GA55'!C539</f>
        <v>0</v>
      </c>
      <c r="D543" s="231">
        <f>'GA55'!D539</f>
        <v>0</v>
      </c>
      <c r="E543" s="305">
        <f>'GA55'!E539</f>
        <v>0</v>
      </c>
      <c r="F543" s="231">
        <f>'GA55'!F539</f>
        <v>0</v>
      </c>
      <c r="G543" s="309">
        <f>'GA55'!G539</f>
        <v>0</v>
      </c>
      <c r="H543" s="231">
        <f>'GA55'!Q539</f>
        <v>0</v>
      </c>
    </row>
    <row r="544" spans="1:8" x14ac:dyDescent="0.2">
      <c r="A544" s="231">
        <f>'GA55'!A540</f>
        <v>0</v>
      </c>
      <c r="B544" s="231">
        <f>'GA55'!B540</f>
        <v>0</v>
      </c>
      <c r="C544" s="305">
        <f>'GA55'!C540</f>
        <v>0</v>
      </c>
      <c r="D544" s="231">
        <f>'GA55'!D540</f>
        <v>0</v>
      </c>
      <c r="E544" s="305">
        <f>'GA55'!E540</f>
        <v>0</v>
      </c>
      <c r="F544" s="231">
        <f>'GA55'!F540</f>
        <v>0</v>
      </c>
      <c r="G544" s="309">
        <f>'GA55'!G540</f>
        <v>0</v>
      </c>
      <c r="H544" s="231">
        <f>'GA55'!Q540</f>
        <v>0</v>
      </c>
    </row>
    <row r="545" spans="1:8" x14ac:dyDescent="0.2">
      <c r="A545" s="231">
        <f>'GA55'!A541</f>
        <v>0</v>
      </c>
      <c r="B545" s="231">
        <f>'GA55'!B541</f>
        <v>0</v>
      </c>
      <c r="C545" s="305">
        <f>'GA55'!C541</f>
        <v>0</v>
      </c>
      <c r="D545" s="231">
        <f>'GA55'!D541</f>
        <v>0</v>
      </c>
      <c r="E545" s="305">
        <f>'GA55'!E541</f>
        <v>0</v>
      </c>
      <c r="F545" s="231">
        <f>'GA55'!F541</f>
        <v>0</v>
      </c>
      <c r="G545" s="309">
        <f>'GA55'!G541</f>
        <v>0</v>
      </c>
      <c r="H545" s="231">
        <f>'GA55'!Q541</f>
        <v>0</v>
      </c>
    </row>
    <row r="546" spans="1:8" x14ac:dyDescent="0.2">
      <c r="A546" s="231">
        <f>'GA55'!A542</f>
        <v>0</v>
      </c>
      <c r="B546" s="231">
        <f>'GA55'!B542</f>
        <v>0</v>
      </c>
      <c r="C546" s="305">
        <f>'GA55'!C542</f>
        <v>0</v>
      </c>
      <c r="D546" s="231">
        <f>'GA55'!D542</f>
        <v>0</v>
      </c>
      <c r="E546" s="305">
        <f>'GA55'!E542</f>
        <v>0</v>
      </c>
      <c r="F546" s="231">
        <f>'GA55'!F542</f>
        <v>0</v>
      </c>
      <c r="G546" s="309">
        <f>'GA55'!G542</f>
        <v>0</v>
      </c>
      <c r="H546" s="231">
        <f>'GA55'!Q542</f>
        <v>0</v>
      </c>
    </row>
    <row r="547" spans="1:8" x14ac:dyDescent="0.2">
      <c r="A547" s="231">
        <f>'GA55'!A543</f>
        <v>0</v>
      </c>
      <c r="B547" s="231">
        <f>'GA55'!B543</f>
        <v>0</v>
      </c>
      <c r="C547" s="305">
        <f>'GA55'!C543</f>
        <v>0</v>
      </c>
      <c r="D547" s="231">
        <f>'GA55'!D543</f>
        <v>0</v>
      </c>
      <c r="E547" s="305">
        <f>'GA55'!E543</f>
        <v>0</v>
      </c>
      <c r="F547" s="231">
        <f>'GA55'!F543</f>
        <v>0</v>
      </c>
      <c r="G547" s="309">
        <f>'GA55'!G543</f>
        <v>0</v>
      </c>
      <c r="H547" s="231">
        <f>'GA55'!Q543</f>
        <v>0</v>
      </c>
    </row>
    <row r="548" spans="1:8" x14ac:dyDescent="0.2">
      <c r="A548" s="231">
        <f>'GA55'!A544</f>
        <v>0</v>
      </c>
      <c r="B548" s="231">
        <f>'GA55'!B544</f>
        <v>0</v>
      </c>
      <c r="C548" s="305">
        <f>'GA55'!C544</f>
        <v>0</v>
      </c>
      <c r="D548" s="231">
        <f>'GA55'!D544</f>
        <v>0</v>
      </c>
      <c r="E548" s="305">
        <f>'GA55'!E544</f>
        <v>0</v>
      </c>
      <c r="F548" s="231">
        <f>'GA55'!F544</f>
        <v>0</v>
      </c>
      <c r="G548" s="309">
        <f>'GA55'!G544</f>
        <v>0</v>
      </c>
      <c r="H548" s="231">
        <f>'GA55'!Q544</f>
        <v>0</v>
      </c>
    </row>
    <row r="549" spans="1:8" x14ac:dyDescent="0.2">
      <c r="A549" s="231">
        <f>'GA55'!A545</f>
        <v>0</v>
      </c>
      <c r="B549" s="231">
        <f>'GA55'!B545</f>
        <v>0</v>
      </c>
      <c r="C549" s="305">
        <f>'GA55'!C545</f>
        <v>0</v>
      </c>
      <c r="D549" s="231">
        <f>'GA55'!D545</f>
        <v>0</v>
      </c>
      <c r="E549" s="305">
        <f>'GA55'!E545</f>
        <v>0</v>
      </c>
      <c r="F549" s="231">
        <f>'GA55'!F545</f>
        <v>0</v>
      </c>
      <c r="G549" s="309">
        <f>'GA55'!G545</f>
        <v>0</v>
      </c>
      <c r="H549" s="231">
        <f>'GA55'!Q545</f>
        <v>0</v>
      </c>
    </row>
    <row r="550" spans="1:8" x14ac:dyDescent="0.2">
      <c r="A550" s="231">
        <f>'GA55'!A546</f>
        <v>0</v>
      </c>
      <c r="B550" s="231">
        <f>'GA55'!B546</f>
        <v>0</v>
      </c>
      <c r="C550" s="305">
        <f>'GA55'!C546</f>
        <v>0</v>
      </c>
      <c r="D550" s="231">
        <f>'GA55'!D546</f>
        <v>0</v>
      </c>
      <c r="E550" s="305">
        <f>'GA55'!E546</f>
        <v>0</v>
      </c>
      <c r="F550" s="231">
        <f>'GA55'!F546</f>
        <v>0</v>
      </c>
      <c r="G550" s="309">
        <f>'GA55'!G546</f>
        <v>0</v>
      </c>
      <c r="H550" s="231">
        <f>'GA55'!Q546</f>
        <v>0</v>
      </c>
    </row>
    <row r="551" spans="1:8" x14ac:dyDescent="0.2">
      <c r="A551" s="231">
        <f>'GA55'!A547</f>
        <v>0</v>
      </c>
      <c r="B551" s="231">
        <f>'GA55'!B547</f>
        <v>0</v>
      </c>
      <c r="C551" s="305">
        <f>'GA55'!C547</f>
        <v>0</v>
      </c>
      <c r="D551" s="231">
        <f>'GA55'!D547</f>
        <v>0</v>
      </c>
      <c r="E551" s="305">
        <f>'GA55'!E547</f>
        <v>0</v>
      </c>
      <c r="F551" s="231">
        <f>'GA55'!F547</f>
        <v>0</v>
      </c>
      <c r="G551" s="309">
        <f>'GA55'!G547</f>
        <v>0</v>
      </c>
      <c r="H551" s="231">
        <f>'GA55'!Q547</f>
        <v>0</v>
      </c>
    </row>
    <row r="552" spans="1:8" x14ac:dyDescent="0.2">
      <c r="A552" s="231">
        <f>'GA55'!A548</f>
        <v>0</v>
      </c>
      <c r="B552" s="231">
        <f>'GA55'!B548</f>
        <v>0</v>
      </c>
      <c r="C552" s="305">
        <f>'GA55'!C548</f>
        <v>0</v>
      </c>
      <c r="D552" s="231">
        <f>'GA55'!D548</f>
        <v>0</v>
      </c>
      <c r="E552" s="305">
        <f>'GA55'!E548</f>
        <v>0</v>
      </c>
      <c r="F552" s="231">
        <f>'GA55'!F548</f>
        <v>0</v>
      </c>
      <c r="G552" s="309">
        <f>'GA55'!G548</f>
        <v>0</v>
      </c>
      <c r="H552" s="231">
        <f>'GA55'!Q548</f>
        <v>0</v>
      </c>
    </row>
    <row r="553" spans="1:8" x14ac:dyDescent="0.2">
      <c r="A553" s="231">
        <f>'GA55'!A549</f>
        <v>0</v>
      </c>
      <c r="B553" s="231">
        <f>'GA55'!B549</f>
        <v>0</v>
      </c>
      <c r="C553" s="305">
        <f>'GA55'!C549</f>
        <v>0</v>
      </c>
      <c r="D553" s="231">
        <f>'GA55'!D549</f>
        <v>0</v>
      </c>
      <c r="E553" s="305">
        <f>'GA55'!E549</f>
        <v>0</v>
      </c>
      <c r="F553" s="231">
        <f>'GA55'!F549</f>
        <v>0</v>
      </c>
      <c r="G553" s="309">
        <f>'GA55'!G549</f>
        <v>0</v>
      </c>
      <c r="H553" s="231">
        <f>'GA55'!Q549</f>
        <v>0</v>
      </c>
    </row>
    <row r="554" spans="1:8" x14ac:dyDescent="0.2">
      <c r="A554" s="231">
        <f>'GA55'!A550</f>
        <v>0</v>
      </c>
      <c r="B554" s="231">
        <f>'GA55'!B550</f>
        <v>0</v>
      </c>
      <c r="C554" s="305">
        <f>'GA55'!C550</f>
        <v>0</v>
      </c>
      <c r="D554" s="231">
        <f>'GA55'!D550</f>
        <v>0</v>
      </c>
      <c r="E554" s="305">
        <f>'GA55'!E550</f>
        <v>0</v>
      </c>
      <c r="F554" s="231">
        <f>'GA55'!F550</f>
        <v>0</v>
      </c>
      <c r="G554" s="309">
        <f>'GA55'!G550</f>
        <v>0</v>
      </c>
      <c r="H554" s="231">
        <f>'GA55'!Q550</f>
        <v>0</v>
      </c>
    </row>
    <row r="555" spans="1:8" x14ac:dyDescent="0.2">
      <c r="A555" s="231">
        <f>'GA55'!A551</f>
        <v>0</v>
      </c>
      <c r="B555" s="231">
        <f>'GA55'!B551</f>
        <v>0</v>
      </c>
      <c r="C555" s="305">
        <f>'GA55'!C551</f>
        <v>0</v>
      </c>
      <c r="D555" s="231">
        <f>'GA55'!D551</f>
        <v>0</v>
      </c>
      <c r="E555" s="305">
        <f>'GA55'!E551</f>
        <v>0</v>
      </c>
      <c r="F555" s="231">
        <f>'GA55'!F551</f>
        <v>0</v>
      </c>
      <c r="G555" s="309">
        <f>'GA55'!G551</f>
        <v>0</v>
      </c>
      <c r="H555" s="231">
        <f>'GA55'!Q551</f>
        <v>0</v>
      </c>
    </row>
    <row r="556" spans="1:8" x14ac:dyDescent="0.2">
      <c r="A556" s="231">
        <f>'GA55'!A552</f>
        <v>0</v>
      </c>
      <c r="B556" s="231">
        <f>'GA55'!B552</f>
        <v>0</v>
      </c>
      <c r="C556" s="305">
        <f>'GA55'!C552</f>
        <v>0</v>
      </c>
      <c r="D556" s="231">
        <f>'GA55'!D552</f>
        <v>0</v>
      </c>
      <c r="E556" s="305">
        <f>'GA55'!E552</f>
        <v>0</v>
      </c>
      <c r="F556" s="231">
        <f>'GA55'!F552</f>
        <v>0</v>
      </c>
      <c r="G556" s="309">
        <f>'GA55'!G552</f>
        <v>0</v>
      </c>
      <c r="H556" s="231">
        <f>'GA55'!Q552</f>
        <v>0</v>
      </c>
    </row>
    <row r="557" spans="1:8" x14ac:dyDescent="0.2">
      <c r="A557" s="231">
        <f>'GA55'!A553</f>
        <v>0</v>
      </c>
      <c r="B557" s="231">
        <f>'GA55'!B553</f>
        <v>0</v>
      </c>
      <c r="C557" s="305">
        <f>'GA55'!C553</f>
        <v>0</v>
      </c>
      <c r="D557" s="231">
        <f>'GA55'!D553</f>
        <v>0</v>
      </c>
      <c r="E557" s="305">
        <f>'GA55'!E553</f>
        <v>0</v>
      </c>
      <c r="F557" s="231">
        <f>'GA55'!F553</f>
        <v>0</v>
      </c>
      <c r="G557" s="309">
        <f>'GA55'!G553</f>
        <v>0</v>
      </c>
      <c r="H557" s="231">
        <f>'GA55'!Q553</f>
        <v>0</v>
      </c>
    </row>
    <row r="558" spans="1:8" x14ac:dyDescent="0.2">
      <c r="A558" s="231">
        <f>'GA55'!A554</f>
        <v>0</v>
      </c>
      <c r="B558" s="231">
        <f>'GA55'!B554</f>
        <v>0</v>
      </c>
      <c r="C558" s="305">
        <f>'GA55'!C554</f>
        <v>0</v>
      </c>
      <c r="D558" s="231">
        <f>'GA55'!D554</f>
        <v>0</v>
      </c>
      <c r="E558" s="305">
        <f>'GA55'!E554</f>
        <v>0</v>
      </c>
      <c r="F558" s="231">
        <f>'GA55'!F554</f>
        <v>0</v>
      </c>
      <c r="G558" s="309">
        <f>'GA55'!G554</f>
        <v>0</v>
      </c>
      <c r="H558" s="231">
        <f>'GA55'!Q554</f>
        <v>0</v>
      </c>
    </row>
    <row r="559" spans="1:8" x14ac:dyDescent="0.2">
      <c r="A559" s="231">
        <f>'GA55'!A555</f>
        <v>0</v>
      </c>
      <c r="B559" s="231">
        <f>'GA55'!B555</f>
        <v>0</v>
      </c>
      <c r="C559" s="305">
        <f>'GA55'!C555</f>
        <v>0</v>
      </c>
      <c r="D559" s="231">
        <f>'GA55'!D555</f>
        <v>0</v>
      </c>
      <c r="E559" s="305">
        <f>'GA55'!E555</f>
        <v>0</v>
      </c>
      <c r="F559" s="231">
        <f>'GA55'!F555</f>
        <v>0</v>
      </c>
      <c r="G559" s="309">
        <f>'GA55'!G555</f>
        <v>0</v>
      </c>
      <c r="H559" s="231">
        <f>'GA55'!Q555</f>
        <v>0</v>
      </c>
    </row>
    <row r="560" spans="1:8" x14ac:dyDescent="0.2">
      <c r="A560" s="231">
        <f>'GA55'!A556</f>
        <v>0</v>
      </c>
      <c r="B560" s="231">
        <f>'GA55'!B556</f>
        <v>0</v>
      </c>
      <c r="C560" s="305">
        <f>'GA55'!C556</f>
        <v>0</v>
      </c>
      <c r="D560" s="231">
        <f>'GA55'!D556</f>
        <v>0</v>
      </c>
      <c r="E560" s="305">
        <f>'GA55'!E556</f>
        <v>0</v>
      </c>
      <c r="F560" s="231">
        <f>'GA55'!F556</f>
        <v>0</v>
      </c>
      <c r="G560" s="309">
        <f>'GA55'!G556</f>
        <v>0</v>
      </c>
      <c r="H560" s="231">
        <f>'GA55'!Q556</f>
        <v>0</v>
      </c>
    </row>
    <row r="561" spans="1:8" x14ac:dyDescent="0.2">
      <c r="A561" s="231">
        <f>'GA55'!A557</f>
        <v>0</v>
      </c>
      <c r="B561" s="231">
        <f>'GA55'!B557</f>
        <v>0</v>
      </c>
      <c r="C561" s="305">
        <f>'GA55'!C557</f>
        <v>0</v>
      </c>
      <c r="D561" s="231">
        <f>'GA55'!D557</f>
        <v>0</v>
      </c>
      <c r="E561" s="305">
        <f>'GA55'!E557</f>
        <v>0</v>
      </c>
      <c r="F561" s="231">
        <f>'GA55'!F557</f>
        <v>0</v>
      </c>
      <c r="G561" s="309">
        <f>'GA55'!G557</f>
        <v>0</v>
      </c>
      <c r="H561" s="231">
        <f>'GA55'!Q557</f>
        <v>0</v>
      </c>
    </row>
    <row r="562" spans="1:8" x14ac:dyDescent="0.2">
      <c r="A562" s="231">
        <f>'GA55'!A558</f>
        <v>0</v>
      </c>
      <c r="B562" s="231">
        <f>'GA55'!B558</f>
        <v>0</v>
      </c>
      <c r="C562" s="305">
        <f>'GA55'!C558</f>
        <v>0</v>
      </c>
      <c r="D562" s="231">
        <f>'GA55'!D558</f>
        <v>0</v>
      </c>
      <c r="E562" s="305">
        <f>'GA55'!E558</f>
        <v>0</v>
      </c>
      <c r="F562" s="231">
        <f>'GA55'!F558</f>
        <v>0</v>
      </c>
      <c r="G562" s="309">
        <f>'GA55'!G558</f>
        <v>0</v>
      </c>
      <c r="H562" s="231">
        <f>'GA55'!Q558</f>
        <v>0</v>
      </c>
    </row>
    <row r="563" spans="1:8" x14ac:dyDescent="0.2">
      <c r="A563" s="231">
        <f>'GA55'!A559</f>
        <v>0</v>
      </c>
      <c r="B563" s="231">
        <f>'GA55'!B559</f>
        <v>0</v>
      </c>
      <c r="C563" s="305">
        <f>'GA55'!C559</f>
        <v>0</v>
      </c>
      <c r="D563" s="231">
        <f>'GA55'!D559</f>
        <v>0</v>
      </c>
      <c r="E563" s="305">
        <f>'GA55'!E559</f>
        <v>0</v>
      </c>
      <c r="F563" s="231">
        <f>'GA55'!F559</f>
        <v>0</v>
      </c>
      <c r="G563" s="309">
        <f>'GA55'!G559</f>
        <v>0</v>
      </c>
      <c r="H563" s="231">
        <f>'GA55'!Q559</f>
        <v>0</v>
      </c>
    </row>
    <row r="564" spans="1:8" x14ac:dyDescent="0.2">
      <c r="A564" s="231">
        <f>'GA55'!A560</f>
        <v>0</v>
      </c>
      <c r="B564" s="231">
        <f>'GA55'!B560</f>
        <v>0</v>
      </c>
      <c r="C564" s="305">
        <f>'GA55'!C560</f>
        <v>0</v>
      </c>
      <c r="D564" s="231">
        <f>'GA55'!D560</f>
        <v>0</v>
      </c>
      <c r="E564" s="305">
        <f>'GA55'!E560</f>
        <v>0</v>
      </c>
      <c r="F564" s="231">
        <f>'GA55'!F560</f>
        <v>0</v>
      </c>
      <c r="G564" s="309">
        <f>'GA55'!G560</f>
        <v>0</v>
      </c>
      <c r="H564" s="231">
        <f>'GA55'!Q560</f>
        <v>0</v>
      </c>
    </row>
    <row r="565" spans="1:8" x14ac:dyDescent="0.2">
      <c r="A565" s="231">
        <f>'GA55'!A561</f>
        <v>0</v>
      </c>
      <c r="B565" s="231">
        <f>'GA55'!B561</f>
        <v>0</v>
      </c>
      <c r="C565" s="305">
        <f>'GA55'!C561</f>
        <v>0</v>
      </c>
      <c r="D565" s="231">
        <f>'GA55'!D561</f>
        <v>0</v>
      </c>
      <c r="E565" s="305">
        <f>'GA55'!E561</f>
        <v>0</v>
      </c>
      <c r="F565" s="231">
        <f>'GA55'!F561</f>
        <v>0</v>
      </c>
      <c r="G565" s="309">
        <f>'GA55'!G561</f>
        <v>0</v>
      </c>
      <c r="H565" s="231">
        <f>'GA55'!Q561</f>
        <v>0</v>
      </c>
    </row>
    <row r="566" spans="1:8" x14ac:dyDescent="0.2">
      <c r="A566" s="231">
        <f>'GA55'!A562</f>
        <v>0</v>
      </c>
      <c r="B566" s="231">
        <f>'GA55'!B562</f>
        <v>0</v>
      </c>
      <c r="C566" s="305">
        <f>'GA55'!C562</f>
        <v>0</v>
      </c>
      <c r="D566" s="231">
        <f>'GA55'!D562</f>
        <v>0</v>
      </c>
      <c r="E566" s="305">
        <f>'GA55'!E562</f>
        <v>0</v>
      </c>
      <c r="F566" s="231">
        <f>'GA55'!F562</f>
        <v>0</v>
      </c>
      <c r="G566" s="309">
        <f>'GA55'!G562</f>
        <v>0</v>
      </c>
      <c r="H566" s="231">
        <f>'GA55'!Q562</f>
        <v>0</v>
      </c>
    </row>
    <row r="567" spans="1:8" x14ac:dyDescent="0.2">
      <c r="A567" s="231">
        <f>'GA55'!A563</f>
        <v>0</v>
      </c>
      <c r="B567" s="231">
        <f>'GA55'!B563</f>
        <v>0</v>
      </c>
      <c r="C567" s="305">
        <f>'GA55'!C563</f>
        <v>0</v>
      </c>
      <c r="D567" s="231">
        <f>'GA55'!D563</f>
        <v>0</v>
      </c>
      <c r="E567" s="305">
        <f>'GA55'!E563</f>
        <v>0</v>
      </c>
      <c r="F567" s="231">
        <f>'GA55'!F563</f>
        <v>0</v>
      </c>
      <c r="G567" s="309">
        <f>'GA55'!G563</f>
        <v>0</v>
      </c>
      <c r="H567" s="231">
        <f>'GA55'!Q563</f>
        <v>0</v>
      </c>
    </row>
    <row r="568" spans="1:8" x14ac:dyDescent="0.2">
      <c r="A568" s="231">
        <f>'GA55'!A564</f>
        <v>0</v>
      </c>
      <c r="B568" s="231">
        <f>'GA55'!B564</f>
        <v>0</v>
      </c>
      <c r="C568" s="305">
        <f>'GA55'!C564</f>
        <v>0</v>
      </c>
      <c r="D568" s="231">
        <f>'GA55'!D564</f>
        <v>0</v>
      </c>
      <c r="E568" s="305">
        <f>'GA55'!E564</f>
        <v>0</v>
      </c>
      <c r="F568" s="231">
        <f>'GA55'!F564</f>
        <v>0</v>
      </c>
      <c r="G568" s="309">
        <f>'GA55'!G564</f>
        <v>0</v>
      </c>
      <c r="H568" s="231">
        <f>'GA55'!Q564</f>
        <v>0</v>
      </c>
    </row>
    <row r="569" spans="1:8" x14ac:dyDescent="0.2">
      <c r="A569" s="231">
        <f>'GA55'!A565</f>
        <v>0</v>
      </c>
      <c r="B569" s="231">
        <f>'GA55'!B565</f>
        <v>0</v>
      </c>
      <c r="C569" s="305">
        <f>'GA55'!C565</f>
        <v>0</v>
      </c>
      <c r="D569" s="231">
        <f>'GA55'!D565</f>
        <v>0</v>
      </c>
      <c r="E569" s="305">
        <f>'GA55'!E565</f>
        <v>0</v>
      </c>
      <c r="F569" s="231">
        <f>'GA55'!F565</f>
        <v>0</v>
      </c>
      <c r="G569" s="309">
        <f>'GA55'!G565</f>
        <v>0</v>
      </c>
      <c r="H569" s="231">
        <f>'GA55'!Q565</f>
        <v>0</v>
      </c>
    </row>
    <row r="570" spans="1:8" x14ac:dyDescent="0.2">
      <c r="A570" s="231">
        <f>'GA55'!A566</f>
        <v>0</v>
      </c>
      <c r="B570" s="231">
        <f>'GA55'!B566</f>
        <v>0</v>
      </c>
      <c r="C570" s="305">
        <f>'GA55'!C566</f>
        <v>0</v>
      </c>
      <c r="D570" s="231">
        <f>'GA55'!D566</f>
        <v>0</v>
      </c>
      <c r="E570" s="305">
        <f>'GA55'!E566</f>
        <v>0</v>
      </c>
      <c r="F570" s="231">
        <f>'GA55'!F566</f>
        <v>0</v>
      </c>
      <c r="G570" s="309">
        <f>'GA55'!G566</f>
        <v>0</v>
      </c>
      <c r="H570" s="231">
        <f>'GA55'!Q566</f>
        <v>0</v>
      </c>
    </row>
    <row r="571" spans="1:8" x14ac:dyDescent="0.2">
      <c r="A571" s="231">
        <f>'GA55'!A567</f>
        <v>0</v>
      </c>
      <c r="B571" s="231">
        <f>'GA55'!B567</f>
        <v>0</v>
      </c>
      <c r="C571" s="305">
        <f>'GA55'!C567</f>
        <v>0</v>
      </c>
      <c r="D571" s="231">
        <f>'GA55'!D567</f>
        <v>0</v>
      </c>
      <c r="E571" s="305">
        <f>'GA55'!E567</f>
        <v>0</v>
      </c>
      <c r="F571" s="231">
        <f>'GA55'!F567</f>
        <v>0</v>
      </c>
      <c r="G571" s="309">
        <f>'GA55'!G567</f>
        <v>0</v>
      </c>
      <c r="H571" s="231">
        <f>'GA55'!Q567</f>
        <v>0</v>
      </c>
    </row>
    <row r="572" spans="1:8" x14ac:dyDescent="0.2">
      <c r="A572" s="231">
        <f>'GA55'!A568</f>
        <v>0</v>
      </c>
      <c r="B572" s="231">
        <f>'GA55'!B568</f>
        <v>0</v>
      </c>
      <c r="C572" s="305">
        <f>'GA55'!C568</f>
        <v>0</v>
      </c>
      <c r="D572" s="231">
        <f>'GA55'!D568</f>
        <v>0</v>
      </c>
      <c r="E572" s="305">
        <f>'GA55'!E568</f>
        <v>0</v>
      </c>
      <c r="F572" s="231">
        <f>'GA55'!F568</f>
        <v>0</v>
      </c>
      <c r="G572" s="309">
        <f>'GA55'!G568</f>
        <v>0</v>
      </c>
      <c r="H572" s="231">
        <f>'GA55'!Q568</f>
        <v>0</v>
      </c>
    </row>
    <row r="573" spans="1:8" x14ac:dyDescent="0.2">
      <c r="A573" s="231">
        <f>'GA55'!A569</f>
        <v>0</v>
      </c>
      <c r="B573" s="231">
        <f>'GA55'!B569</f>
        <v>0</v>
      </c>
      <c r="C573" s="305">
        <f>'GA55'!C569</f>
        <v>0</v>
      </c>
      <c r="D573" s="231">
        <f>'GA55'!D569</f>
        <v>0</v>
      </c>
      <c r="E573" s="305">
        <f>'GA55'!E569</f>
        <v>0</v>
      </c>
      <c r="F573" s="231">
        <f>'GA55'!F569</f>
        <v>0</v>
      </c>
      <c r="G573" s="309">
        <f>'GA55'!G569</f>
        <v>0</v>
      </c>
      <c r="H573" s="231">
        <f>'GA55'!Q569</f>
        <v>0</v>
      </c>
    </row>
    <row r="574" spans="1:8" x14ac:dyDescent="0.2">
      <c r="A574" s="231">
        <f>'GA55'!A570</f>
        <v>0</v>
      </c>
      <c r="B574" s="231">
        <f>'GA55'!B570</f>
        <v>0</v>
      </c>
      <c r="C574" s="305">
        <f>'GA55'!C570</f>
        <v>0</v>
      </c>
      <c r="D574" s="231">
        <f>'GA55'!D570</f>
        <v>0</v>
      </c>
      <c r="E574" s="305">
        <f>'GA55'!E570</f>
        <v>0</v>
      </c>
      <c r="F574" s="231">
        <f>'GA55'!F570</f>
        <v>0</v>
      </c>
      <c r="G574" s="309">
        <f>'GA55'!G570</f>
        <v>0</v>
      </c>
      <c r="H574" s="231">
        <f>'GA55'!Q570</f>
        <v>0</v>
      </c>
    </row>
    <row r="575" spans="1:8" x14ac:dyDescent="0.2">
      <c r="A575" s="231">
        <f>'GA55'!A571</f>
        <v>0</v>
      </c>
      <c r="B575" s="231">
        <f>'GA55'!B571</f>
        <v>0</v>
      </c>
      <c r="C575" s="305">
        <f>'GA55'!C571</f>
        <v>0</v>
      </c>
      <c r="D575" s="231">
        <f>'GA55'!D571</f>
        <v>0</v>
      </c>
      <c r="E575" s="305">
        <f>'GA55'!E571</f>
        <v>0</v>
      </c>
      <c r="F575" s="231">
        <f>'GA55'!F571</f>
        <v>0</v>
      </c>
      <c r="G575" s="309">
        <f>'GA55'!G571</f>
        <v>0</v>
      </c>
      <c r="H575" s="231">
        <f>'GA55'!Q571</f>
        <v>0</v>
      </c>
    </row>
    <row r="576" spans="1:8" x14ac:dyDescent="0.2">
      <c r="A576" s="231">
        <f>'GA55'!A572</f>
        <v>0</v>
      </c>
      <c r="B576" s="231">
        <f>'GA55'!B572</f>
        <v>0</v>
      </c>
      <c r="C576" s="305">
        <f>'GA55'!C572</f>
        <v>0</v>
      </c>
      <c r="D576" s="231">
        <f>'GA55'!D572</f>
        <v>0</v>
      </c>
      <c r="E576" s="305">
        <f>'GA55'!E572</f>
        <v>0</v>
      </c>
      <c r="F576" s="231">
        <f>'GA55'!F572</f>
        <v>0</v>
      </c>
      <c r="G576" s="309">
        <f>'GA55'!G572</f>
        <v>0</v>
      </c>
      <c r="H576" s="231">
        <f>'GA55'!Q572</f>
        <v>0</v>
      </c>
    </row>
    <row r="577" spans="1:8" x14ac:dyDescent="0.2">
      <c r="A577" s="231">
        <f>'GA55'!A573</f>
        <v>0</v>
      </c>
      <c r="B577" s="231">
        <f>'GA55'!B573</f>
        <v>0</v>
      </c>
      <c r="C577" s="305">
        <f>'GA55'!C573</f>
        <v>0</v>
      </c>
      <c r="D577" s="231">
        <f>'GA55'!D573</f>
        <v>0</v>
      </c>
      <c r="E577" s="305">
        <f>'GA55'!E573</f>
        <v>0</v>
      </c>
      <c r="F577" s="231">
        <f>'GA55'!F573</f>
        <v>0</v>
      </c>
      <c r="G577" s="309">
        <f>'GA55'!G573</f>
        <v>0</v>
      </c>
      <c r="H577" s="231">
        <f>'GA55'!Q573</f>
        <v>0</v>
      </c>
    </row>
    <row r="578" spans="1:8" x14ac:dyDescent="0.2">
      <c r="A578" s="231">
        <f>'GA55'!A574</f>
        <v>0</v>
      </c>
      <c r="B578" s="231">
        <f>'GA55'!B574</f>
        <v>0</v>
      </c>
      <c r="C578" s="305">
        <f>'GA55'!C574</f>
        <v>0</v>
      </c>
      <c r="D578" s="231">
        <f>'GA55'!D574</f>
        <v>0</v>
      </c>
      <c r="E578" s="305">
        <f>'GA55'!E574</f>
        <v>0</v>
      </c>
      <c r="F578" s="231">
        <f>'GA55'!F574</f>
        <v>0</v>
      </c>
      <c r="G578" s="309">
        <f>'GA55'!G574</f>
        <v>0</v>
      </c>
      <c r="H578" s="231">
        <f>'GA55'!Q574</f>
        <v>0</v>
      </c>
    </row>
    <row r="579" spans="1:8" x14ac:dyDescent="0.2">
      <c r="A579" s="231">
        <f>'GA55'!A575</f>
        <v>0</v>
      </c>
      <c r="B579" s="231">
        <f>'GA55'!B575</f>
        <v>0</v>
      </c>
      <c r="C579" s="305">
        <f>'GA55'!C575</f>
        <v>0</v>
      </c>
      <c r="D579" s="231">
        <f>'GA55'!D575</f>
        <v>0</v>
      </c>
      <c r="E579" s="305">
        <f>'GA55'!E575</f>
        <v>0</v>
      </c>
      <c r="F579" s="231">
        <f>'GA55'!F575</f>
        <v>0</v>
      </c>
      <c r="G579" s="309">
        <f>'GA55'!G575</f>
        <v>0</v>
      </c>
      <c r="H579" s="231">
        <f>'GA55'!Q575</f>
        <v>0</v>
      </c>
    </row>
    <row r="580" spans="1:8" x14ac:dyDescent="0.2">
      <c r="A580" s="231">
        <f>'GA55'!A576</f>
        <v>0</v>
      </c>
      <c r="B580" s="231">
        <f>'GA55'!B576</f>
        <v>0</v>
      </c>
      <c r="C580" s="305">
        <f>'GA55'!C576</f>
        <v>0</v>
      </c>
      <c r="D580" s="231">
        <f>'GA55'!D576</f>
        <v>0</v>
      </c>
      <c r="E580" s="305">
        <f>'GA55'!E576</f>
        <v>0</v>
      </c>
      <c r="F580" s="231">
        <f>'GA55'!F576</f>
        <v>0</v>
      </c>
      <c r="G580" s="309">
        <f>'GA55'!G576</f>
        <v>0</v>
      </c>
      <c r="H580" s="231">
        <f>'GA55'!Q576</f>
        <v>0</v>
      </c>
    </row>
    <row r="581" spans="1:8" x14ac:dyDescent="0.2">
      <c r="A581" s="231">
        <f>'GA55'!A577</f>
        <v>0</v>
      </c>
      <c r="B581" s="231">
        <f>'GA55'!B577</f>
        <v>0</v>
      </c>
      <c r="C581" s="305">
        <f>'GA55'!C577</f>
        <v>0</v>
      </c>
      <c r="D581" s="231">
        <f>'GA55'!D577</f>
        <v>0</v>
      </c>
      <c r="E581" s="305">
        <f>'GA55'!E577</f>
        <v>0</v>
      </c>
      <c r="F581" s="231">
        <f>'GA55'!F577</f>
        <v>0</v>
      </c>
      <c r="G581" s="309">
        <f>'GA55'!G577</f>
        <v>0</v>
      </c>
      <c r="H581" s="231">
        <f>'GA55'!Q577</f>
        <v>0</v>
      </c>
    </row>
    <row r="582" spans="1:8" x14ac:dyDescent="0.2">
      <c r="A582" s="231">
        <f>'GA55'!A578</f>
        <v>0</v>
      </c>
      <c r="B582" s="231">
        <f>'GA55'!B578</f>
        <v>0</v>
      </c>
      <c r="C582" s="305">
        <f>'GA55'!C578</f>
        <v>0</v>
      </c>
      <c r="D582" s="231">
        <f>'GA55'!D578</f>
        <v>0</v>
      </c>
      <c r="E582" s="305">
        <f>'GA55'!E578</f>
        <v>0</v>
      </c>
      <c r="F582" s="231">
        <f>'GA55'!F578</f>
        <v>0</v>
      </c>
      <c r="G582" s="309">
        <f>'GA55'!G578</f>
        <v>0</v>
      </c>
      <c r="H582" s="231">
        <f>'GA55'!Q578</f>
        <v>0</v>
      </c>
    </row>
    <row r="583" spans="1:8" x14ac:dyDescent="0.2">
      <c r="A583" s="231">
        <f>'GA55'!A579</f>
        <v>0</v>
      </c>
      <c r="B583" s="231">
        <f>'GA55'!B579</f>
        <v>0</v>
      </c>
      <c r="C583" s="305">
        <f>'GA55'!C579</f>
        <v>0</v>
      </c>
      <c r="D583" s="231">
        <f>'GA55'!D579</f>
        <v>0</v>
      </c>
      <c r="E583" s="305">
        <f>'GA55'!E579</f>
        <v>0</v>
      </c>
      <c r="F583" s="231">
        <f>'GA55'!F579</f>
        <v>0</v>
      </c>
      <c r="G583" s="309">
        <f>'GA55'!G579</f>
        <v>0</v>
      </c>
      <c r="H583" s="231">
        <f>'GA55'!Q579</f>
        <v>0</v>
      </c>
    </row>
    <row r="584" spans="1:8" x14ac:dyDescent="0.2">
      <c r="A584" s="231">
        <f>'GA55'!A580</f>
        <v>0</v>
      </c>
      <c r="B584" s="231">
        <f>'GA55'!B580</f>
        <v>0</v>
      </c>
      <c r="C584" s="305">
        <f>'GA55'!C580</f>
        <v>0</v>
      </c>
      <c r="D584" s="231">
        <f>'GA55'!D580</f>
        <v>0</v>
      </c>
      <c r="E584" s="305">
        <f>'GA55'!E580</f>
        <v>0</v>
      </c>
      <c r="F584" s="231">
        <f>'GA55'!F580</f>
        <v>0</v>
      </c>
      <c r="G584" s="309">
        <f>'GA55'!G580</f>
        <v>0</v>
      </c>
      <c r="H584" s="231">
        <f>'GA55'!Q580</f>
        <v>0</v>
      </c>
    </row>
    <row r="585" spans="1:8" x14ac:dyDescent="0.2">
      <c r="A585" s="231">
        <f>'GA55'!A581</f>
        <v>0</v>
      </c>
      <c r="B585" s="231">
        <f>'GA55'!B581</f>
        <v>0</v>
      </c>
      <c r="C585" s="305">
        <f>'GA55'!C581</f>
        <v>0</v>
      </c>
      <c r="D585" s="231">
        <f>'GA55'!D581</f>
        <v>0</v>
      </c>
      <c r="E585" s="305">
        <f>'GA55'!E581</f>
        <v>0</v>
      </c>
      <c r="F585" s="231">
        <f>'GA55'!F581</f>
        <v>0</v>
      </c>
      <c r="G585" s="309">
        <f>'GA55'!G581</f>
        <v>0</v>
      </c>
      <c r="H585" s="231">
        <f>'GA55'!Q581</f>
        <v>0</v>
      </c>
    </row>
    <row r="586" spans="1:8" x14ac:dyDescent="0.2">
      <c r="A586" s="231">
        <f>'GA55'!A582</f>
        <v>0</v>
      </c>
      <c r="B586" s="231">
        <f>'GA55'!B582</f>
        <v>0</v>
      </c>
      <c r="C586" s="305">
        <f>'GA55'!C582</f>
        <v>0</v>
      </c>
      <c r="D586" s="231">
        <f>'GA55'!D582</f>
        <v>0</v>
      </c>
      <c r="E586" s="305">
        <f>'GA55'!E582</f>
        <v>0</v>
      </c>
      <c r="F586" s="231">
        <f>'GA55'!F582</f>
        <v>0</v>
      </c>
      <c r="G586" s="309">
        <f>'GA55'!G582</f>
        <v>0</v>
      </c>
      <c r="H586" s="231">
        <f>'GA55'!Q582</f>
        <v>0</v>
      </c>
    </row>
    <row r="587" spans="1:8" x14ac:dyDescent="0.2">
      <c r="A587" s="231">
        <f>'GA55'!A583</f>
        <v>0</v>
      </c>
      <c r="B587" s="231">
        <f>'GA55'!B583</f>
        <v>0</v>
      </c>
      <c r="C587" s="305">
        <f>'GA55'!C583</f>
        <v>0</v>
      </c>
      <c r="D587" s="231">
        <f>'GA55'!D583</f>
        <v>0</v>
      </c>
      <c r="E587" s="305">
        <f>'GA55'!E583</f>
        <v>0</v>
      </c>
      <c r="F587" s="231">
        <f>'GA55'!F583</f>
        <v>0</v>
      </c>
      <c r="G587" s="309">
        <f>'GA55'!G583</f>
        <v>0</v>
      </c>
      <c r="H587" s="231">
        <f>'GA55'!Q583</f>
        <v>0</v>
      </c>
    </row>
    <row r="588" spans="1:8" x14ac:dyDescent="0.2">
      <c r="A588" s="231">
        <f>'GA55'!A584</f>
        <v>0</v>
      </c>
      <c r="B588" s="231">
        <f>'GA55'!B584</f>
        <v>0</v>
      </c>
      <c r="C588" s="305">
        <f>'GA55'!C584</f>
        <v>0</v>
      </c>
      <c r="D588" s="231">
        <f>'GA55'!D584</f>
        <v>0</v>
      </c>
      <c r="E588" s="305">
        <f>'GA55'!E584</f>
        <v>0</v>
      </c>
      <c r="F588" s="231">
        <f>'GA55'!F584</f>
        <v>0</v>
      </c>
      <c r="G588" s="309">
        <f>'GA55'!G584</f>
        <v>0</v>
      </c>
      <c r="H588" s="231">
        <f>'GA55'!Q584</f>
        <v>0</v>
      </c>
    </row>
    <row r="589" spans="1:8" x14ac:dyDescent="0.2">
      <c r="A589" s="231">
        <f>'GA55'!A585</f>
        <v>0</v>
      </c>
      <c r="B589" s="231">
        <f>'GA55'!B585</f>
        <v>0</v>
      </c>
      <c r="C589" s="305">
        <f>'GA55'!C585</f>
        <v>0</v>
      </c>
      <c r="D589" s="231">
        <f>'GA55'!D585</f>
        <v>0</v>
      </c>
      <c r="E589" s="305">
        <f>'GA55'!E585</f>
        <v>0</v>
      </c>
      <c r="F589" s="231">
        <f>'GA55'!F585</f>
        <v>0</v>
      </c>
      <c r="G589" s="309">
        <f>'GA55'!G585</f>
        <v>0</v>
      </c>
      <c r="H589" s="231">
        <f>'GA55'!Q585</f>
        <v>0</v>
      </c>
    </row>
    <row r="590" spans="1:8" x14ac:dyDescent="0.2">
      <c r="A590" s="231">
        <f>'GA55'!A586</f>
        <v>0</v>
      </c>
      <c r="B590" s="231">
        <f>'GA55'!B586</f>
        <v>0</v>
      </c>
      <c r="C590" s="305">
        <f>'GA55'!C586</f>
        <v>0</v>
      </c>
      <c r="D590" s="231">
        <f>'GA55'!D586</f>
        <v>0</v>
      </c>
      <c r="E590" s="305">
        <f>'GA55'!E586</f>
        <v>0</v>
      </c>
      <c r="F590" s="231">
        <f>'GA55'!F586</f>
        <v>0</v>
      </c>
      <c r="G590" s="309">
        <f>'GA55'!G586</f>
        <v>0</v>
      </c>
      <c r="H590" s="231">
        <f>'GA55'!Q586</f>
        <v>0</v>
      </c>
    </row>
    <row r="591" spans="1:8" x14ac:dyDescent="0.2">
      <c r="A591" s="231">
        <f>'GA55'!A587</f>
        <v>0</v>
      </c>
      <c r="B591" s="231">
        <f>'GA55'!B587</f>
        <v>0</v>
      </c>
      <c r="C591" s="305">
        <f>'GA55'!C587</f>
        <v>0</v>
      </c>
      <c r="D591" s="231">
        <f>'GA55'!D587</f>
        <v>0</v>
      </c>
      <c r="E591" s="305">
        <f>'GA55'!E587</f>
        <v>0</v>
      </c>
      <c r="F591" s="231">
        <f>'GA55'!F587</f>
        <v>0</v>
      </c>
      <c r="G591" s="309">
        <f>'GA55'!G587</f>
        <v>0</v>
      </c>
      <c r="H591" s="231">
        <f>'GA55'!Q587</f>
        <v>0</v>
      </c>
    </row>
    <row r="592" spans="1:8" x14ac:dyDescent="0.2">
      <c r="A592" s="231">
        <f>'GA55'!A588</f>
        <v>0</v>
      </c>
      <c r="B592" s="231">
        <f>'GA55'!B588</f>
        <v>0</v>
      </c>
      <c r="C592" s="305">
        <f>'GA55'!C588</f>
        <v>0</v>
      </c>
      <c r="D592" s="231">
        <f>'GA55'!D588</f>
        <v>0</v>
      </c>
      <c r="E592" s="305">
        <f>'GA55'!E588</f>
        <v>0</v>
      </c>
      <c r="F592" s="231">
        <f>'GA55'!F588</f>
        <v>0</v>
      </c>
      <c r="G592" s="309">
        <f>'GA55'!G588</f>
        <v>0</v>
      </c>
      <c r="H592" s="231">
        <f>'GA55'!Q588</f>
        <v>0</v>
      </c>
    </row>
    <row r="593" spans="1:8" x14ac:dyDescent="0.2">
      <c r="A593" s="231">
        <f>'GA55'!A589</f>
        <v>0</v>
      </c>
      <c r="B593" s="231">
        <f>'GA55'!B589</f>
        <v>0</v>
      </c>
      <c r="C593" s="305">
        <f>'GA55'!C589</f>
        <v>0</v>
      </c>
      <c r="D593" s="231">
        <f>'GA55'!D589</f>
        <v>0</v>
      </c>
      <c r="E593" s="305">
        <f>'GA55'!E589</f>
        <v>0</v>
      </c>
      <c r="F593" s="231">
        <f>'GA55'!F589</f>
        <v>0</v>
      </c>
      <c r="G593" s="309">
        <f>'GA55'!G589</f>
        <v>0</v>
      </c>
      <c r="H593" s="231">
        <f>'GA55'!Q589</f>
        <v>0</v>
      </c>
    </row>
    <row r="594" spans="1:8" x14ac:dyDescent="0.2">
      <c r="A594" s="231">
        <f>'GA55'!A590</f>
        <v>0</v>
      </c>
      <c r="B594" s="231">
        <f>'GA55'!B590</f>
        <v>0</v>
      </c>
      <c r="C594" s="305">
        <f>'GA55'!C590</f>
        <v>0</v>
      </c>
      <c r="D594" s="231">
        <f>'GA55'!D590</f>
        <v>0</v>
      </c>
      <c r="E594" s="305">
        <f>'GA55'!E590</f>
        <v>0</v>
      </c>
      <c r="F594" s="231">
        <f>'GA55'!F590</f>
        <v>0</v>
      </c>
      <c r="G594" s="309">
        <f>'GA55'!G590</f>
        <v>0</v>
      </c>
      <c r="H594" s="231">
        <f>'GA55'!Q590</f>
        <v>0</v>
      </c>
    </row>
    <row r="595" spans="1:8" x14ac:dyDescent="0.2">
      <c r="A595" s="231">
        <f>'GA55'!A591</f>
        <v>0</v>
      </c>
      <c r="B595" s="231">
        <f>'GA55'!B591</f>
        <v>0</v>
      </c>
      <c r="C595" s="305">
        <f>'GA55'!C591</f>
        <v>0</v>
      </c>
      <c r="D595" s="231">
        <f>'GA55'!D591</f>
        <v>0</v>
      </c>
      <c r="E595" s="305">
        <f>'GA55'!E591</f>
        <v>0</v>
      </c>
      <c r="F595" s="231">
        <f>'GA55'!F591</f>
        <v>0</v>
      </c>
      <c r="G595" s="309">
        <f>'GA55'!G591</f>
        <v>0</v>
      </c>
      <c r="H595" s="231">
        <f>'GA55'!Q591</f>
        <v>0</v>
      </c>
    </row>
    <row r="596" spans="1:8" x14ac:dyDescent="0.2">
      <c r="A596" s="231">
        <f>'GA55'!A592</f>
        <v>0</v>
      </c>
      <c r="B596" s="231">
        <f>'GA55'!B592</f>
        <v>0</v>
      </c>
      <c r="C596" s="305">
        <f>'GA55'!C592</f>
        <v>0</v>
      </c>
      <c r="D596" s="231">
        <f>'GA55'!D592</f>
        <v>0</v>
      </c>
      <c r="E596" s="305">
        <f>'GA55'!E592</f>
        <v>0</v>
      </c>
      <c r="F596" s="231">
        <f>'GA55'!F592</f>
        <v>0</v>
      </c>
      <c r="G596" s="309">
        <f>'GA55'!G592</f>
        <v>0</v>
      </c>
      <c r="H596" s="231">
        <f>'GA55'!Q592</f>
        <v>0</v>
      </c>
    </row>
    <row r="597" spans="1:8" x14ac:dyDescent="0.2">
      <c r="A597" s="231">
        <f>'GA55'!A593</f>
        <v>0</v>
      </c>
      <c r="B597" s="231">
        <f>'GA55'!B593</f>
        <v>0</v>
      </c>
      <c r="C597" s="305">
        <f>'GA55'!C593</f>
        <v>0</v>
      </c>
      <c r="D597" s="231">
        <f>'GA55'!D593</f>
        <v>0</v>
      </c>
      <c r="E597" s="305">
        <f>'GA55'!E593</f>
        <v>0</v>
      </c>
      <c r="F597" s="231">
        <f>'GA55'!F593</f>
        <v>0</v>
      </c>
      <c r="G597" s="309">
        <f>'GA55'!G593</f>
        <v>0</v>
      </c>
      <c r="H597" s="231">
        <f>'GA55'!Q593</f>
        <v>0</v>
      </c>
    </row>
    <row r="598" spans="1:8" x14ac:dyDescent="0.2">
      <c r="A598" s="231">
        <f>'GA55'!A594</f>
        <v>0</v>
      </c>
      <c r="B598" s="231">
        <f>'GA55'!B594</f>
        <v>0</v>
      </c>
      <c r="C598" s="305">
        <f>'GA55'!C594</f>
        <v>0</v>
      </c>
      <c r="D598" s="231">
        <f>'GA55'!D594</f>
        <v>0</v>
      </c>
      <c r="E598" s="305">
        <f>'GA55'!E594</f>
        <v>0</v>
      </c>
      <c r="F598" s="231">
        <f>'GA55'!F594</f>
        <v>0</v>
      </c>
      <c r="G598" s="309">
        <f>'GA55'!G594</f>
        <v>0</v>
      </c>
      <c r="H598" s="231">
        <f>'GA55'!Q594</f>
        <v>0</v>
      </c>
    </row>
    <row r="599" spans="1:8" x14ac:dyDescent="0.2">
      <c r="A599" s="231">
        <f>'GA55'!A595</f>
        <v>0</v>
      </c>
      <c r="B599" s="231">
        <f>'GA55'!B595</f>
        <v>0</v>
      </c>
      <c r="C599" s="305">
        <f>'GA55'!C595</f>
        <v>0</v>
      </c>
      <c r="D599" s="231">
        <f>'GA55'!D595</f>
        <v>0</v>
      </c>
      <c r="E599" s="305">
        <f>'GA55'!E595</f>
        <v>0</v>
      </c>
      <c r="F599" s="231">
        <f>'GA55'!F595</f>
        <v>0</v>
      </c>
      <c r="G599" s="309">
        <f>'GA55'!G595</f>
        <v>0</v>
      </c>
      <c r="H599" s="231">
        <f>'GA55'!Q595</f>
        <v>0</v>
      </c>
    </row>
    <row r="600" spans="1:8" x14ac:dyDescent="0.2">
      <c r="A600" s="231">
        <f>'GA55'!A596</f>
        <v>0</v>
      </c>
      <c r="B600" s="231">
        <f>'GA55'!B596</f>
        <v>0</v>
      </c>
      <c r="C600" s="305">
        <f>'GA55'!C596</f>
        <v>0</v>
      </c>
      <c r="D600" s="231">
        <f>'GA55'!D596</f>
        <v>0</v>
      </c>
      <c r="E600" s="305">
        <f>'GA55'!E596</f>
        <v>0</v>
      </c>
      <c r="F600" s="231">
        <f>'GA55'!F596</f>
        <v>0</v>
      </c>
      <c r="G600" s="309">
        <f>'GA55'!G596</f>
        <v>0</v>
      </c>
      <c r="H600" s="231">
        <f>'GA55'!Q596</f>
        <v>0</v>
      </c>
    </row>
    <row r="601" spans="1:8" x14ac:dyDescent="0.2">
      <c r="A601" s="231">
        <f>'GA55'!A597</f>
        <v>0</v>
      </c>
      <c r="B601" s="231">
        <f>'GA55'!B597</f>
        <v>0</v>
      </c>
      <c r="C601" s="305">
        <f>'GA55'!C597</f>
        <v>0</v>
      </c>
      <c r="D601" s="231">
        <f>'GA55'!D597</f>
        <v>0</v>
      </c>
      <c r="E601" s="305">
        <f>'GA55'!E597</f>
        <v>0</v>
      </c>
      <c r="F601" s="231">
        <f>'GA55'!F597</f>
        <v>0</v>
      </c>
      <c r="G601" s="309">
        <f>'GA55'!G597</f>
        <v>0</v>
      </c>
      <c r="H601" s="231">
        <f>'GA55'!Q597</f>
        <v>0</v>
      </c>
    </row>
    <row r="602" spans="1:8" x14ac:dyDescent="0.2">
      <c r="A602" s="231">
        <f>'GA55'!A598</f>
        <v>0</v>
      </c>
      <c r="B602" s="231">
        <f>'GA55'!B598</f>
        <v>0</v>
      </c>
      <c r="C602" s="305">
        <f>'GA55'!C598</f>
        <v>0</v>
      </c>
      <c r="D602" s="231">
        <f>'GA55'!D598</f>
        <v>0</v>
      </c>
      <c r="E602" s="305">
        <f>'GA55'!E598</f>
        <v>0</v>
      </c>
      <c r="F602" s="231">
        <f>'GA55'!F598</f>
        <v>0</v>
      </c>
      <c r="G602" s="309">
        <f>'GA55'!G598</f>
        <v>0</v>
      </c>
      <c r="H602" s="231">
        <f>'GA55'!Q598</f>
        <v>0</v>
      </c>
    </row>
    <row r="603" spans="1:8" x14ac:dyDescent="0.2">
      <c r="A603" s="231">
        <f>'GA55'!A599</f>
        <v>0</v>
      </c>
      <c r="B603" s="231">
        <f>'GA55'!B599</f>
        <v>0</v>
      </c>
      <c r="C603" s="305">
        <f>'GA55'!C599</f>
        <v>0</v>
      </c>
      <c r="D603" s="231">
        <f>'GA55'!D599</f>
        <v>0</v>
      </c>
      <c r="E603" s="305">
        <f>'GA55'!E599</f>
        <v>0</v>
      </c>
      <c r="F603" s="231">
        <f>'GA55'!F599</f>
        <v>0</v>
      </c>
      <c r="G603" s="309">
        <f>'GA55'!G599</f>
        <v>0</v>
      </c>
      <c r="H603" s="231">
        <f>'GA55'!Q599</f>
        <v>0</v>
      </c>
    </row>
    <row r="604" spans="1:8" x14ac:dyDescent="0.2">
      <c r="A604" s="231">
        <f>'GA55'!A600</f>
        <v>0</v>
      </c>
      <c r="B604" s="231">
        <f>'GA55'!B600</f>
        <v>0</v>
      </c>
      <c r="C604" s="305">
        <f>'GA55'!C600</f>
        <v>0</v>
      </c>
      <c r="D604" s="231">
        <f>'GA55'!D600</f>
        <v>0</v>
      </c>
      <c r="E604" s="305">
        <f>'GA55'!E600</f>
        <v>0</v>
      </c>
      <c r="F604" s="231">
        <f>'GA55'!F600</f>
        <v>0</v>
      </c>
      <c r="G604" s="309">
        <f>'GA55'!G600</f>
        <v>0</v>
      </c>
      <c r="H604" s="231">
        <f>'GA55'!Q600</f>
        <v>0</v>
      </c>
    </row>
    <row r="605" spans="1:8" x14ac:dyDescent="0.2">
      <c r="A605" s="231">
        <f>'GA55'!A601</f>
        <v>0</v>
      </c>
      <c r="B605" s="231">
        <f>'GA55'!B601</f>
        <v>0</v>
      </c>
      <c r="C605" s="305">
        <f>'GA55'!C601</f>
        <v>0</v>
      </c>
      <c r="D605" s="231">
        <f>'GA55'!D601</f>
        <v>0</v>
      </c>
      <c r="E605" s="305">
        <f>'GA55'!E601</f>
        <v>0</v>
      </c>
      <c r="F605" s="231">
        <f>'GA55'!F601</f>
        <v>0</v>
      </c>
      <c r="G605" s="309">
        <f>'GA55'!G601</f>
        <v>0</v>
      </c>
      <c r="H605" s="231">
        <f>'GA55'!Q601</f>
        <v>0</v>
      </c>
    </row>
    <row r="606" spans="1:8" x14ac:dyDescent="0.2">
      <c r="A606" s="231">
        <f>'GA55'!A602</f>
        <v>0</v>
      </c>
      <c r="B606" s="231">
        <f>'GA55'!B602</f>
        <v>0</v>
      </c>
      <c r="C606" s="305">
        <f>'GA55'!C602</f>
        <v>0</v>
      </c>
      <c r="D606" s="231">
        <f>'GA55'!D602</f>
        <v>0</v>
      </c>
      <c r="E606" s="305">
        <f>'GA55'!E602</f>
        <v>0</v>
      </c>
      <c r="F606" s="231">
        <f>'GA55'!F602</f>
        <v>0</v>
      </c>
      <c r="G606" s="309">
        <f>'GA55'!G602</f>
        <v>0</v>
      </c>
      <c r="H606" s="231">
        <f>'GA55'!Q602</f>
        <v>0</v>
      </c>
    </row>
    <row r="607" spans="1:8" x14ac:dyDescent="0.2">
      <c r="A607" s="231">
        <f>'GA55'!A603</f>
        <v>0</v>
      </c>
      <c r="B607" s="231">
        <f>'GA55'!B603</f>
        <v>0</v>
      </c>
      <c r="C607" s="305">
        <f>'GA55'!C603</f>
        <v>0</v>
      </c>
      <c r="D607" s="231">
        <f>'GA55'!D603</f>
        <v>0</v>
      </c>
      <c r="E607" s="305">
        <f>'GA55'!E603</f>
        <v>0</v>
      </c>
      <c r="F607" s="231">
        <f>'GA55'!F603</f>
        <v>0</v>
      </c>
      <c r="G607" s="309">
        <f>'GA55'!G603</f>
        <v>0</v>
      </c>
      <c r="H607" s="231">
        <f>'GA55'!Q603</f>
        <v>0</v>
      </c>
    </row>
    <row r="608" spans="1:8" x14ac:dyDescent="0.2">
      <c r="A608" s="231">
        <f>'GA55'!A604</f>
        <v>0</v>
      </c>
      <c r="B608" s="231">
        <f>'GA55'!B604</f>
        <v>0</v>
      </c>
      <c r="C608" s="305">
        <f>'GA55'!C604</f>
        <v>0</v>
      </c>
      <c r="D608" s="231">
        <f>'GA55'!D604</f>
        <v>0</v>
      </c>
      <c r="E608" s="305">
        <f>'GA55'!E604</f>
        <v>0</v>
      </c>
      <c r="F608" s="231">
        <f>'GA55'!F604</f>
        <v>0</v>
      </c>
      <c r="G608" s="309">
        <f>'GA55'!G604</f>
        <v>0</v>
      </c>
      <c r="H608" s="231">
        <f>'GA55'!Q604</f>
        <v>0</v>
      </c>
    </row>
    <row r="609" spans="1:8" x14ac:dyDescent="0.2">
      <c r="A609" s="231">
        <f>'GA55'!A605</f>
        <v>0</v>
      </c>
      <c r="B609" s="231">
        <f>'GA55'!B605</f>
        <v>0</v>
      </c>
      <c r="C609" s="305">
        <f>'GA55'!C605</f>
        <v>0</v>
      </c>
      <c r="D609" s="231">
        <f>'GA55'!D605</f>
        <v>0</v>
      </c>
      <c r="E609" s="305">
        <f>'GA55'!E605</f>
        <v>0</v>
      </c>
      <c r="F609" s="231">
        <f>'GA55'!F605</f>
        <v>0</v>
      </c>
      <c r="G609" s="309">
        <f>'GA55'!G605</f>
        <v>0</v>
      </c>
      <c r="H609" s="231">
        <f>'GA55'!Q605</f>
        <v>0</v>
      </c>
    </row>
    <row r="610" spans="1:8" x14ac:dyDescent="0.2">
      <c r="A610" s="231">
        <f>'GA55'!A606</f>
        <v>0</v>
      </c>
      <c r="B610" s="231">
        <f>'GA55'!B606</f>
        <v>0</v>
      </c>
      <c r="C610" s="305">
        <f>'GA55'!C606</f>
        <v>0</v>
      </c>
      <c r="D610" s="231">
        <f>'GA55'!D606</f>
        <v>0</v>
      </c>
      <c r="E610" s="305">
        <f>'GA55'!E606</f>
        <v>0</v>
      </c>
      <c r="F610" s="231">
        <f>'GA55'!F606</f>
        <v>0</v>
      </c>
      <c r="G610" s="309">
        <f>'GA55'!G606</f>
        <v>0</v>
      </c>
      <c r="H610" s="231">
        <f>'GA55'!Q606</f>
        <v>0</v>
      </c>
    </row>
    <row r="611" spans="1:8" x14ac:dyDescent="0.2">
      <c r="A611" s="231">
        <f>'GA55'!A607</f>
        <v>0</v>
      </c>
      <c r="B611" s="231">
        <f>'GA55'!B607</f>
        <v>0</v>
      </c>
      <c r="C611" s="305">
        <f>'GA55'!C607</f>
        <v>0</v>
      </c>
      <c r="D611" s="231">
        <f>'GA55'!D607</f>
        <v>0</v>
      </c>
      <c r="E611" s="305">
        <f>'GA55'!E607</f>
        <v>0</v>
      </c>
      <c r="F611" s="231">
        <f>'GA55'!F607</f>
        <v>0</v>
      </c>
      <c r="G611" s="309">
        <f>'GA55'!G607</f>
        <v>0</v>
      </c>
      <c r="H611" s="231">
        <f>'GA55'!Q607</f>
        <v>0</v>
      </c>
    </row>
    <row r="612" spans="1:8" x14ac:dyDescent="0.2">
      <c r="A612" s="231">
        <f>'GA55'!A608</f>
        <v>0</v>
      </c>
      <c r="B612" s="231">
        <f>'GA55'!B608</f>
        <v>0</v>
      </c>
      <c r="C612" s="305">
        <f>'GA55'!C608</f>
        <v>0</v>
      </c>
      <c r="D612" s="231">
        <f>'GA55'!D608</f>
        <v>0</v>
      </c>
      <c r="E612" s="305">
        <f>'GA55'!E608</f>
        <v>0</v>
      </c>
      <c r="F612" s="231">
        <f>'GA55'!F608</f>
        <v>0</v>
      </c>
      <c r="G612" s="309">
        <f>'GA55'!G608</f>
        <v>0</v>
      </c>
      <c r="H612" s="231">
        <f>'GA55'!Q608</f>
        <v>0</v>
      </c>
    </row>
    <row r="613" spans="1:8" x14ac:dyDescent="0.2">
      <c r="A613" s="231">
        <f>'GA55'!A609</f>
        <v>0</v>
      </c>
      <c r="B613" s="231">
        <f>'GA55'!B609</f>
        <v>0</v>
      </c>
      <c r="C613" s="305">
        <f>'GA55'!C609</f>
        <v>0</v>
      </c>
      <c r="D613" s="231">
        <f>'GA55'!D609</f>
        <v>0</v>
      </c>
      <c r="E613" s="305">
        <f>'GA55'!E609</f>
        <v>0</v>
      </c>
      <c r="F613" s="231">
        <f>'GA55'!F609</f>
        <v>0</v>
      </c>
      <c r="G613" s="309">
        <f>'GA55'!G609</f>
        <v>0</v>
      </c>
      <c r="H613" s="231">
        <f>'GA55'!Q609</f>
        <v>0</v>
      </c>
    </row>
    <row r="614" spans="1:8" x14ac:dyDescent="0.2">
      <c r="A614" s="231">
        <f>'GA55'!A610</f>
        <v>0</v>
      </c>
      <c r="B614" s="231">
        <f>'GA55'!B610</f>
        <v>0</v>
      </c>
      <c r="C614" s="305">
        <f>'GA55'!C610</f>
        <v>0</v>
      </c>
      <c r="D614" s="231">
        <f>'GA55'!D610</f>
        <v>0</v>
      </c>
      <c r="E614" s="305">
        <f>'GA55'!E610</f>
        <v>0</v>
      </c>
      <c r="F614" s="231">
        <f>'GA55'!F610</f>
        <v>0</v>
      </c>
      <c r="G614" s="309">
        <f>'GA55'!G610</f>
        <v>0</v>
      </c>
      <c r="H614" s="231">
        <f>'GA55'!Q610</f>
        <v>0</v>
      </c>
    </row>
    <row r="615" spans="1:8" x14ac:dyDescent="0.2">
      <c r="A615" s="231">
        <f>'GA55'!A611</f>
        <v>0</v>
      </c>
      <c r="B615" s="231">
        <f>'GA55'!B611</f>
        <v>0</v>
      </c>
      <c r="C615" s="305">
        <f>'GA55'!C611</f>
        <v>0</v>
      </c>
      <c r="D615" s="231">
        <f>'GA55'!D611</f>
        <v>0</v>
      </c>
      <c r="E615" s="305">
        <f>'GA55'!E611</f>
        <v>0</v>
      </c>
      <c r="F615" s="231">
        <f>'GA55'!F611</f>
        <v>0</v>
      </c>
      <c r="G615" s="309">
        <f>'GA55'!G611</f>
        <v>0</v>
      </c>
      <c r="H615" s="231">
        <f>'GA55'!Q611</f>
        <v>0</v>
      </c>
    </row>
    <row r="616" spans="1:8" x14ac:dyDescent="0.2">
      <c r="A616" s="231">
        <f>'GA55'!A612</f>
        <v>0</v>
      </c>
      <c r="B616" s="231">
        <f>'GA55'!B612</f>
        <v>0</v>
      </c>
      <c r="C616" s="305">
        <f>'GA55'!C612</f>
        <v>0</v>
      </c>
      <c r="D616" s="231">
        <f>'GA55'!D612</f>
        <v>0</v>
      </c>
      <c r="E616" s="305">
        <f>'GA55'!E612</f>
        <v>0</v>
      </c>
      <c r="F616" s="231">
        <f>'GA55'!F612</f>
        <v>0</v>
      </c>
      <c r="G616" s="309">
        <f>'GA55'!G612</f>
        <v>0</v>
      </c>
      <c r="H616" s="231">
        <f>'GA55'!Q612</f>
        <v>0</v>
      </c>
    </row>
    <row r="617" spans="1:8" x14ac:dyDescent="0.2">
      <c r="A617" s="231">
        <f>'GA55'!A613</f>
        <v>0</v>
      </c>
      <c r="B617" s="231">
        <f>'GA55'!B613</f>
        <v>0</v>
      </c>
      <c r="C617" s="305">
        <f>'GA55'!C613</f>
        <v>0</v>
      </c>
      <c r="D617" s="231">
        <f>'GA55'!D613</f>
        <v>0</v>
      </c>
      <c r="E617" s="305">
        <f>'GA55'!E613</f>
        <v>0</v>
      </c>
      <c r="F617" s="231">
        <f>'GA55'!F613</f>
        <v>0</v>
      </c>
      <c r="G617" s="309">
        <f>'GA55'!G613</f>
        <v>0</v>
      </c>
      <c r="H617" s="231">
        <f>'GA55'!Q613</f>
        <v>0</v>
      </c>
    </row>
    <row r="618" spans="1:8" x14ac:dyDescent="0.2">
      <c r="A618" s="231">
        <f>'GA55'!A614</f>
        <v>0</v>
      </c>
      <c r="B618" s="231">
        <f>'GA55'!B614</f>
        <v>0</v>
      </c>
      <c r="C618" s="305">
        <f>'GA55'!C614</f>
        <v>0</v>
      </c>
      <c r="D618" s="231">
        <f>'GA55'!D614</f>
        <v>0</v>
      </c>
      <c r="E618" s="305">
        <f>'GA55'!E614</f>
        <v>0</v>
      </c>
      <c r="F618" s="231">
        <f>'GA55'!F614</f>
        <v>0</v>
      </c>
      <c r="G618" s="309">
        <f>'GA55'!G614</f>
        <v>0</v>
      </c>
      <c r="H618" s="231">
        <f>'GA55'!Q614</f>
        <v>0</v>
      </c>
    </row>
    <row r="619" spans="1:8" x14ac:dyDescent="0.2">
      <c r="A619" s="231">
        <f>'GA55'!A615</f>
        <v>0</v>
      </c>
      <c r="B619" s="231">
        <f>'GA55'!B615</f>
        <v>0</v>
      </c>
      <c r="C619" s="305">
        <f>'GA55'!C615</f>
        <v>0</v>
      </c>
      <c r="D619" s="231">
        <f>'GA55'!D615</f>
        <v>0</v>
      </c>
      <c r="E619" s="305">
        <f>'GA55'!E615</f>
        <v>0</v>
      </c>
      <c r="F619" s="231">
        <f>'GA55'!F615</f>
        <v>0</v>
      </c>
      <c r="G619" s="309">
        <f>'GA55'!G615</f>
        <v>0</v>
      </c>
      <c r="H619" s="231">
        <f>'GA55'!Q615</f>
        <v>0</v>
      </c>
    </row>
    <row r="620" spans="1:8" x14ac:dyDescent="0.2">
      <c r="A620" s="231">
        <f>'GA55'!A616</f>
        <v>0</v>
      </c>
      <c r="B620" s="231">
        <f>'GA55'!B616</f>
        <v>0</v>
      </c>
      <c r="C620" s="305">
        <f>'GA55'!C616</f>
        <v>0</v>
      </c>
      <c r="D620" s="231">
        <f>'GA55'!D616</f>
        <v>0</v>
      </c>
      <c r="E620" s="305">
        <f>'GA55'!E616</f>
        <v>0</v>
      </c>
      <c r="F620" s="231">
        <f>'GA55'!F616</f>
        <v>0</v>
      </c>
      <c r="G620" s="309">
        <f>'GA55'!G616</f>
        <v>0</v>
      </c>
      <c r="H620" s="231">
        <f>'GA55'!Q616</f>
        <v>0</v>
      </c>
    </row>
    <row r="621" spans="1:8" x14ac:dyDescent="0.2">
      <c r="A621" s="231">
        <f>'GA55'!A617</f>
        <v>0</v>
      </c>
      <c r="B621" s="231">
        <f>'GA55'!B617</f>
        <v>0</v>
      </c>
      <c r="C621" s="305">
        <f>'GA55'!C617</f>
        <v>0</v>
      </c>
      <c r="D621" s="231">
        <f>'GA55'!D617</f>
        <v>0</v>
      </c>
      <c r="E621" s="305">
        <f>'GA55'!E617</f>
        <v>0</v>
      </c>
      <c r="F621" s="231">
        <f>'GA55'!F617</f>
        <v>0</v>
      </c>
      <c r="G621" s="309">
        <f>'GA55'!G617</f>
        <v>0</v>
      </c>
      <c r="H621" s="231">
        <f>'GA55'!Q617</f>
        <v>0</v>
      </c>
    </row>
    <row r="622" spans="1:8" x14ac:dyDescent="0.2">
      <c r="A622" s="231">
        <f>'GA55'!A618</f>
        <v>0</v>
      </c>
      <c r="B622" s="231">
        <f>'GA55'!B618</f>
        <v>0</v>
      </c>
      <c r="C622" s="305">
        <f>'GA55'!C618</f>
        <v>0</v>
      </c>
      <c r="D622" s="231">
        <f>'GA55'!D618</f>
        <v>0</v>
      </c>
      <c r="E622" s="305">
        <f>'GA55'!E618</f>
        <v>0</v>
      </c>
      <c r="F622" s="231">
        <f>'GA55'!F618</f>
        <v>0</v>
      </c>
      <c r="G622" s="309">
        <f>'GA55'!G618</f>
        <v>0</v>
      </c>
      <c r="H622" s="231">
        <f>'GA55'!Q618</f>
        <v>0</v>
      </c>
    </row>
    <row r="623" spans="1:8" x14ac:dyDescent="0.2">
      <c r="A623" s="231">
        <f>'GA55'!A619</f>
        <v>0</v>
      </c>
      <c r="B623" s="231">
        <f>'GA55'!B619</f>
        <v>0</v>
      </c>
      <c r="C623" s="305">
        <f>'GA55'!C619</f>
        <v>0</v>
      </c>
      <c r="D623" s="231">
        <f>'GA55'!D619</f>
        <v>0</v>
      </c>
      <c r="E623" s="305">
        <f>'GA55'!E619</f>
        <v>0</v>
      </c>
      <c r="F623" s="231">
        <f>'GA55'!F619</f>
        <v>0</v>
      </c>
      <c r="G623" s="309">
        <f>'GA55'!G619</f>
        <v>0</v>
      </c>
      <c r="H623" s="231">
        <f>'GA55'!Q619</f>
        <v>0</v>
      </c>
    </row>
    <row r="624" spans="1:8" x14ac:dyDescent="0.2">
      <c r="A624" s="231">
        <f>'GA55'!A620</f>
        <v>0</v>
      </c>
      <c r="B624" s="231">
        <f>'GA55'!B620</f>
        <v>0</v>
      </c>
      <c r="C624" s="305">
        <f>'GA55'!C620</f>
        <v>0</v>
      </c>
      <c r="D624" s="231">
        <f>'GA55'!D620</f>
        <v>0</v>
      </c>
      <c r="E624" s="305">
        <f>'GA55'!E620</f>
        <v>0</v>
      </c>
      <c r="F624" s="231">
        <f>'GA55'!F620</f>
        <v>0</v>
      </c>
      <c r="G624" s="309">
        <f>'GA55'!G620</f>
        <v>0</v>
      </c>
      <c r="H624" s="231">
        <f>'GA55'!Q620</f>
        <v>0</v>
      </c>
    </row>
    <row r="625" spans="1:8" x14ac:dyDescent="0.2">
      <c r="A625" s="231">
        <f>'GA55'!A621</f>
        <v>0</v>
      </c>
      <c r="B625" s="231">
        <f>'GA55'!B621</f>
        <v>0</v>
      </c>
      <c r="C625" s="305">
        <f>'GA55'!C621</f>
        <v>0</v>
      </c>
      <c r="D625" s="231">
        <f>'GA55'!D621</f>
        <v>0</v>
      </c>
      <c r="E625" s="305">
        <f>'GA55'!E621</f>
        <v>0</v>
      </c>
      <c r="F625" s="231">
        <f>'GA55'!F621</f>
        <v>0</v>
      </c>
      <c r="G625" s="309">
        <f>'GA55'!G621</f>
        <v>0</v>
      </c>
      <c r="H625" s="231">
        <f>'GA55'!Q621</f>
        <v>0</v>
      </c>
    </row>
    <row r="626" spans="1:8" x14ac:dyDescent="0.2">
      <c r="A626" s="231">
        <f>'GA55'!A622</f>
        <v>0</v>
      </c>
      <c r="B626" s="231">
        <f>'GA55'!B622</f>
        <v>0</v>
      </c>
      <c r="C626" s="305">
        <f>'GA55'!C622</f>
        <v>0</v>
      </c>
      <c r="D626" s="231">
        <f>'GA55'!D622</f>
        <v>0</v>
      </c>
      <c r="E626" s="305">
        <f>'GA55'!E622</f>
        <v>0</v>
      </c>
      <c r="F626" s="231">
        <f>'GA55'!F622</f>
        <v>0</v>
      </c>
      <c r="G626" s="309">
        <f>'GA55'!G622</f>
        <v>0</v>
      </c>
      <c r="H626" s="231">
        <f>'GA55'!Q622</f>
        <v>0</v>
      </c>
    </row>
    <row r="627" spans="1:8" x14ac:dyDescent="0.2">
      <c r="A627" s="231">
        <f>'GA55'!A623</f>
        <v>0</v>
      </c>
      <c r="B627" s="231">
        <f>'GA55'!B623</f>
        <v>0</v>
      </c>
      <c r="C627" s="305">
        <f>'GA55'!C623</f>
        <v>0</v>
      </c>
      <c r="D627" s="231">
        <f>'GA55'!D623</f>
        <v>0</v>
      </c>
      <c r="E627" s="305">
        <f>'GA55'!E623</f>
        <v>0</v>
      </c>
      <c r="F627" s="231">
        <f>'GA55'!F623</f>
        <v>0</v>
      </c>
      <c r="G627" s="309">
        <f>'GA55'!G623</f>
        <v>0</v>
      </c>
      <c r="H627" s="231">
        <f>'GA55'!Q623</f>
        <v>0</v>
      </c>
    </row>
    <row r="628" spans="1:8" x14ac:dyDescent="0.2">
      <c r="A628" s="231">
        <f>'GA55'!A624</f>
        <v>0</v>
      </c>
      <c r="B628" s="231">
        <f>'GA55'!B624</f>
        <v>0</v>
      </c>
      <c r="C628" s="305">
        <f>'GA55'!C624</f>
        <v>0</v>
      </c>
      <c r="D628" s="231">
        <f>'GA55'!D624</f>
        <v>0</v>
      </c>
      <c r="E628" s="305">
        <f>'GA55'!E624</f>
        <v>0</v>
      </c>
      <c r="F628" s="231">
        <f>'GA55'!F624</f>
        <v>0</v>
      </c>
      <c r="G628" s="309">
        <f>'GA55'!G624</f>
        <v>0</v>
      </c>
      <c r="H628" s="231">
        <f>'GA55'!Q624</f>
        <v>0</v>
      </c>
    </row>
    <row r="629" spans="1:8" x14ac:dyDescent="0.2">
      <c r="A629" s="231">
        <f>'GA55'!A625</f>
        <v>0</v>
      </c>
      <c r="B629" s="231">
        <f>'GA55'!B625</f>
        <v>0</v>
      </c>
      <c r="C629" s="305">
        <f>'GA55'!C625</f>
        <v>0</v>
      </c>
      <c r="D629" s="231">
        <f>'GA55'!D625</f>
        <v>0</v>
      </c>
      <c r="E629" s="305">
        <f>'GA55'!E625</f>
        <v>0</v>
      </c>
      <c r="F629" s="231">
        <f>'GA55'!F625</f>
        <v>0</v>
      </c>
      <c r="G629" s="309">
        <f>'GA55'!G625</f>
        <v>0</v>
      </c>
      <c r="H629" s="231">
        <f>'GA55'!Q625</f>
        <v>0</v>
      </c>
    </row>
    <row r="630" spans="1:8" x14ac:dyDescent="0.2">
      <c r="A630" s="231">
        <f>'GA55'!A626</f>
        <v>0</v>
      </c>
      <c r="B630" s="231">
        <f>'GA55'!B626</f>
        <v>0</v>
      </c>
      <c r="C630" s="305">
        <f>'GA55'!C626</f>
        <v>0</v>
      </c>
      <c r="D630" s="231">
        <f>'GA55'!D626</f>
        <v>0</v>
      </c>
      <c r="E630" s="305">
        <f>'GA55'!E626</f>
        <v>0</v>
      </c>
      <c r="F630" s="231">
        <f>'GA55'!F626</f>
        <v>0</v>
      </c>
      <c r="G630" s="309">
        <f>'GA55'!G626</f>
        <v>0</v>
      </c>
      <c r="H630" s="231">
        <f>'GA55'!Q626</f>
        <v>0</v>
      </c>
    </row>
    <row r="631" spans="1:8" x14ac:dyDescent="0.2">
      <c r="A631" s="231">
        <f>'GA55'!A627</f>
        <v>0</v>
      </c>
      <c r="B631" s="231">
        <f>'GA55'!B627</f>
        <v>0</v>
      </c>
      <c r="C631" s="305">
        <f>'GA55'!C627</f>
        <v>0</v>
      </c>
      <c r="D631" s="231">
        <f>'GA55'!D627</f>
        <v>0</v>
      </c>
      <c r="E631" s="305">
        <f>'GA55'!E627</f>
        <v>0</v>
      </c>
      <c r="F631" s="231">
        <f>'GA55'!F627</f>
        <v>0</v>
      </c>
      <c r="G631" s="309">
        <f>'GA55'!G627</f>
        <v>0</v>
      </c>
      <c r="H631" s="231">
        <f>'GA55'!Q627</f>
        <v>0</v>
      </c>
    </row>
    <row r="632" spans="1:8" x14ac:dyDescent="0.2">
      <c r="A632" s="231">
        <f>'GA55'!A628</f>
        <v>0</v>
      </c>
      <c r="B632" s="231">
        <f>'GA55'!B628</f>
        <v>0</v>
      </c>
      <c r="C632" s="305">
        <f>'GA55'!C628</f>
        <v>0</v>
      </c>
      <c r="D632" s="231">
        <f>'GA55'!D628</f>
        <v>0</v>
      </c>
      <c r="E632" s="305">
        <f>'GA55'!E628</f>
        <v>0</v>
      </c>
      <c r="F632" s="231">
        <f>'GA55'!F628</f>
        <v>0</v>
      </c>
      <c r="G632" s="309">
        <f>'GA55'!G628</f>
        <v>0</v>
      </c>
      <c r="H632" s="231">
        <f>'GA55'!Q628</f>
        <v>0</v>
      </c>
    </row>
    <row r="633" spans="1:8" x14ac:dyDescent="0.2">
      <c r="A633" s="231">
        <f>'GA55'!A629</f>
        <v>0</v>
      </c>
      <c r="B633" s="231">
        <f>'GA55'!B629</f>
        <v>0</v>
      </c>
      <c r="C633" s="305">
        <f>'GA55'!C629</f>
        <v>0</v>
      </c>
      <c r="D633" s="231">
        <f>'GA55'!D629</f>
        <v>0</v>
      </c>
      <c r="E633" s="305">
        <f>'GA55'!E629</f>
        <v>0</v>
      </c>
      <c r="F633" s="231">
        <f>'GA55'!F629</f>
        <v>0</v>
      </c>
      <c r="G633" s="309">
        <f>'GA55'!G629</f>
        <v>0</v>
      </c>
      <c r="H633" s="231">
        <f>'GA55'!Q629</f>
        <v>0</v>
      </c>
    </row>
    <row r="634" spans="1:8" x14ac:dyDescent="0.2">
      <c r="A634" s="231">
        <f>'GA55'!A630</f>
        <v>0</v>
      </c>
      <c r="B634" s="231">
        <f>'GA55'!B630</f>
        <v>0</v>
      </c>
      <c r="C634" s="305">
        <f>'GA55'!C630</f>
        <v>0</v>
      </c>
      <c r="D634" s="231">
        <f>'GA55'!D630</f>
        <v>0</v>
      </c>
      <c r="E634" s="305">
        <f>'GA55'!E630</f>
        <v>0</v>
      </c>
      <c r="F634" s="231">
        <f>'GA55'!F630</f>
        <v>0</v>
      </c>
      <c r="G634" s="309">
        <f>'GA55'!G630</f>
        <v>0</v>
      </c>
      <c r="H634" s="231">
        <f>'GA55'!Q630</f>
        <v>0</v>
      </c>
    </row>
    <row r="635" spans="1:8" x14ac:dyDescent="0.2">
      <c r="A635" s="231">
        <f>'GA55'!A631</f>
        <v>0</v>
      </c>
      <c r="B635" s="231">
        <f>'GA55'!B631</f>
        <v>0</v>
      </c>
      <c r="C635" s="305">
        <f>'GA55'!C631</f>
        <v>0</v>
      </c>
      <c r="D635" s="231">
        <f>'GA55'!D631</f>
        <v>0</v>
      </c>
      <c r="E635" s="305">
        <f>'GA55'!E631</f>
        <v>0</v>
      </c>
      <c r="F635" s="231">
        <f>'GA55'!F631</f>
        <v>0</v>
      </c>
      <c r="G635" s="309">
        <f>'GA55'!G631</f>
        <v>0</v>
      </c>
      <c r="H635" s="231">
        <f>'GA55'!Q631</f>
        <v>0</v>
      </c>
    </row>
    <row r="636" spans="1:8" x14ac:dyDescent="0.2">
      <c r="A636" s="231">
        <f>'GA55'!A632</f>
        <v>0</v>
      </c>
      <c r="B636" s="231">
        <f>'GA55'!B632</f>
        <v>0</v>
      </c>
      <c r="C636" s="305">
        <f>'GA55'!C632</f>
        <v>0</v>
      </c>
      <c r="D636" s="231">
        <f>'GA55'!D632</f>
        <v>0</v>
      </c>
      <c r="E636" s="305">
        <f>'GA55'!E632</f>
        <v>0</v>
      </c>
      <c r="F636" s="231">
        <f>'GA55'!F632</f>
        <v>0</v>
      </c>
      <c r="G636" s="309">
        <f>'GA55'!G632</f>
        <v>0</v>
      </c>
      <c r="H636" s="231">
        <f>'GA55'!Q632</f>
        <v>0</v>
      </c>
    </row>
    <row r="637" spans="1:8" x14ac:dyDescent="0.2">
      <c r="A637" s="231">
        <f>'GA55'!A633</f>
        <v>0</v>
      </c>
      <c r="B637" s="231">
        <f>'GA55'!B633</f>
        <v>0</v>
      </c>
      <c r="C637" s="305">
        <f>'GA55'!C633</f>
        <v>0</v>
      </c>
      <c r="D637" s="231">
        <f>'GA55'!D633</f>
        <v>0</v>
      </c>
      <c r="E637" s="305">
        <f>'GA55'!E633</f>
        <v>0</v>
      </c>
      <c r="F637" s="231">
        <f>'GA55'!F633</f>
        <v>0</v>
      </c>
      <c r="G637" s="309">
        <f>'GA55'!G633</f>
        <v>0</v>
      </c>
      <c r="H637" s="231">
        <f>'GA55'!Q633</f>
        <v>0</v>
      </c>
    </row>
    <row r="638" spans="1:8" x14ac:dyDescent="0.2">
      <c r="A638" s="231">
        <f>'GA55'!A634</f>
        <v>0</v>
      </c>
      <c r="B638" s="231">
        <f>'GA55'!B634</f>
        <v>0</v>
      </c>
      <c r="C638" s="305">
        <f>'GA55'!C634</f>
        <v>0</v>
      </c>
      <c r="D638" s="231">
        <f>'GA55'!D634</f>
        <v>0</v>
      </c>
      <c r="E638" s="305">
        <f>'GA55'!E634</f>
        <v>0</v>
      </c>
      <c r="F638" s="231">
        <f>'GA55'!F634</f>
        <v>0</v>
      </c>
      <c r="G638" s="309">
        <f>'GA55'!G634</f>
        <v>0</v>
      </c>
      <c r="H638" s="231">
        <f>'GA55'!Q634</f>
        <v>0</v>
      </c>
    </row>
    <row r="639" spans="1:8" x14ac:dyDescent="0.2">
      <c r="A639" s="231">
        <f>'GA55'!A635</f>
        <v>0</v>
      </c>
      <c r="B639" s="231">
        <f>'GA55'!B635</f>
        <v>0</v>
      </c>
      <c r="C639" s="305">
        <f>'GA55'!C635</f>
        <v>0</v>
      </c>
      <c r="D639" s="231">
        <f>'GA55'!D635</f>
        <v>0</v>
      </c>
      <c r="E639" s="305">
        <f>'GA55'!E635</f>
        <v>0</v>
      </c>
      <c r="F639" s="231">
        <f>'GA55'!F635</f>
        <v>0</v>
      </c>
      <c r="G639" s="309">
        <f>'GA55'!G635</f>
        <v>0</v>
      </c>
      <c r="H639" s="231">
        <f>'GA55'!Q635</f>
        <v>0</v>
      </c>
    </row>
    <row r="640" spans="1:8" x14ac:dyDescent="0.2">
      <c r="A640" s="231">
        <f>'GA55'!A636</f>
        <v>0</v>
      </c>
      <c r="B640" s="231">
        <f>'GA55'!B636</f>
        <v>0</v>
      </c>
      <c r="C640" s="305">
        <f>'GA55'!C636</f>
        <v>0</v>
      </c>
      <c r="D640" s="231">
        <f>'GA55'!D636</f>
        <v>0</v>
      </c>
      <c r="E640" s="305">
        <f>'GA55'!E636</f>
        <v>0</v>
      </c>
      <c r="F640" s="231">
        <f>'GA55'!F636</f>
        <v>0</v>
      </c>
      <c r="G640" s="309">
        <f>'GA55'!G636</f>
        <v>0</v>
      </c>
      <c r="H640" s="231">
        <f>'GA55'!Q636</f>
        <v>0</v>
      </c>
    </row>
    <row r="641" spans="1:8" x14ac:dyDescent="0.2">
      <c r="A641" s="231">
        <f>'GA55'!A637</f>
        <v>0</v>
      </c>
      <c r="B641" s="231">
        <f>'GA55'!B637</f>
        <v>0</v>
      </c>
      <c r="C641" s="305">
        <f>'GA55'!C637</f>
        <v>0</v>
      </c>
      <c r="D641" s="231">
        <f>'GA55'!D637</f>
        <v>0</v>
      </c>
      <c r="E641" s="305">
        <f>'GA55'!E637</f>
        <v>0</v>
      </c>
      <c r="F641" s="231">
        <f>'GA55'!F637</f>
        <v>0</v>
      </c>
      <c r="G641" s="309">
        <f>'GA55'!G637</f>
        <v>0</v>
      </c>
      <c r="H641" s="231">
        <f>'GA55'!Q637</f>
        <v>0</v>
      </c>
    </row>
    <row r="642" spans="1:8" x14ac:dyDescent="0.2">
      <c r="A642" s="231">
        <f>'GA55'!A638</f>
        <v>0</v>
      </c>
      <c r="B642" s="231">
        <f>'GA55'!B638</f>
        <v>0</v>
      </c>
      <c r="C642" s="305">
        <f>'GA55'!C638</f>
        <v>0</v>
      </c>
      <c r="D642" s="231">
        <f>'GA55'!D638</f>
        <v>0</v>
      </c>
      <c r="E642" s="305">
        <f>'GA55'!E638</f>
        <v>0</v>
      </c>
      <c r="F642" s="231">
        <f>'GA55'!F638</f>
        <v>0</v>
      </c>
      <c r="G642" s="309">
        <f>'GA55'!G638</f>
        <v>0</v>
      </c>
      <c r="H642" s="231">
        <f>'GA55'!Q638</f>
        <v>0</v>
      </c>
    </row>
    <row r="643" spans="1:8" x14ac:dyDescent="0.2">
      <c r="A643" s="231">
        <f>'GA55'!A639</f>
        <v>0</v>
      </c>
      <c r="B643" s="231">
        <f>'GA55'!B639</f>
        <v>0</v>
      </c>
      <c r="C643" s="305">
        <f>'GA55'!C639</f>
        <v>0</v>
      </c>
      <c r="D643" s="231">
        <f>'GA55'!D639</f>
        <v>0</v>
      </c>
      <c r="E643" s="305">
        <f>'GA55'!E639</f>
        <v>0</v>
      </c>
      <c r="F643" s="231">
        <f>'GA55'!F639</f>
        <v>0</v>
      </c>
      <c r="G643" s="309">
        <f>'GA55'!G639</f>
        <v>0</v>
      </c>
      <c r="H643" s="231">
        <f>'GA55'!Q639</f>
        <v>0</v>
      </c>
    </row>
    <row r="644" spans="1:8" x14ac:dyDescent="0.2">
      <c r="A644" s="231">
        <f>'GA55'!A640</f>
        <v>0</v>
      </c>
      <c r="B644" s="231">
        <f>'GA55'!B640</f>
        <v>0</v>
      </c>
      <c r="C644" s="305">
        <f>'GA55'!C640</f>
        <v>0</v>
      </c>
      <c r="D644" s="231">
        <f>'GA55'!D640</f>
        <v>0</v>
      </c>
      <c r="E644" s="305">
        <f>'GA55'!E640</f>
        <v>0</v>
      </c>
      <c r="F644" s="231">
        <f>'GA55'!F640</f>
        <v>0</v>
      </c>
      <c r="G644" s="309">
        <f>'GA55'!G640</f>
        <v>0</v>
      </c>
      <c r="H644" s="231">
        <f>'GA55'!Q640</f>
        <v>0</v>
      </c>
    </row>
    <row r="645" spans="1:8" x14ac:dyDescent="0.2">
      <c r="A645" s="231">
        <f>'GA55'!A641</f>
        <v>0</v>
      </c>
      <c r="B645" s="231">
        <f>'GA55'!B641</f>
        <v>0</v>
      </c>
      <c r="C645" s="305">
        <f>'GA55'!C641</f>
        <v>0</v>
      </c>
      <c r="D645" s="231">
        <f>'GA55'!D641</f>
        <v>0</v>
      </c>
      <c r="E645" s="305">
        <f>'GA55'!E641</f>
        <v>0</v>
      </c>
      <c r="F645" s="231">
        <f>'GA55'!F641</f>
        <v>0</v>
      </c>
      <c r="G645" s="309">
        <f>'GA55'!G641</f>
        <v>0</v>
      </c>
      <c r="H645" s="231">
        <f>'GA55'!Q641</f>
        <v>0</v>
      </c>
    </row>
    <row r="646" spans="1:8" x14ac:dyDescent="0.2">
      <c r="A646" s="231">
        <f>'GA55'!A642</f>
        <v>0</v>
      </c>
      <c r="B646" s="231">
        <f>'GA55'!B642</f>
        <v>0</v>
      </c>
      <c r="C646" s="305">
        <f>'GA55'!C642</f>
        <v>0</v>
      </c>
      <c r="D646" s="231">
        <f>'GA55'!D642</f>
        <v>0</v>
      </c>
      <c r="E646" s="305">
        <f>'GA55'!E642</f>
        <v>0</v>
      </c>
      <c r="F646" s="231">
        <f>'GA55'!F642</f>
        <v>0</v>
      </c>
      <c r="G646" s="309">
        <f>'GA55'!G642</f>
        <v>0</v>
      </c>
      <c r="H646" s="231">
        <f>'GA55'!Q642</f>
        <v>0</v>
      </c>
    </row>
    <row r="647" spans="1:8" x14ac:dyDescent="0.2">
      <c r="A647" s="231">
        <f>'GA55'!A643</f>
        <v>0</v>
      </c>
      <c r="B647" s="231">
        <f>'GA55'!B643</f>
        <v>0</v>
      </c>
      <c r="C647" s="305">
        <f>'GA55'!C643</f>
        <v>0</v>
      </c>
      <c r="D647" s="231">
        <f>'GA55'!D643</f>
        <v>0</v>
      </c>
      <c r="E647" s="305">
        <f>'GA55'!E643</f>
        <v>0</v>
      </c>
      <c r="F647" s="231">
        <f>'GA55'!F643</f>
        <v>0</v>
      </c>
      <c r="G647" s="309">
        <f>'GA55'!G643</f>
        <v>0</v>
      </c>
      <c r="H647" s="231">
        <f>'GA55'!Q643</f>
        <v>0</v>
      </c>
    </row>
    <row r="648" spans="1:8" x14ac:dyDescent="0.2">
      <c r="A648" s="231">
        <f>'GA55'!A644</f>
        <v>0</v>
      </c>
      <c r="B648" s="231">
        <f>'GA55'!B644</f>
        <v>0</v>
      </c>
      <c r="C648" s="305">
        <f>'GA55'!C644</f>
        <v>0</v>
      </c>
      <c r="D648" s="231">
        <f>'GA55'!D644</f>
        <v>0</v>
      </c>
      <c r="E648" s="305">
        <f>'GA55'!E644</f>
        <v>0</v>
      </c>
      <c r="F648" s="231">
        <f>'GA55'!F644</f>
        <v>0</v>
      </c>
      <c r="G648" s="309">
        <f>'GA55'!G644</f>
        <v>0</v>
      </c>
      <c r="H648" s="231">
        <f>'GA55'!Q644</f>
        <v>0</v>
      </c>
    </row>
    <row r="649" spans="1:8" x14ac:dyDescent="0.2">
      <c r="A649" s="231">
        <f>'GA55'!A645</f>
        <v>0</v>
      </c>
      <c r="B649" s="231">
        <f>'GA55'!B645</f>
        <v>0</v>
      </c>
      <c r="C649" s="305">
        <f>'GA55'!C645</f>
        <v>0</v>
      </c>
      <c r="D649" s="231">
        <f>'GA55'!D645</f>
        <v>0</v>
      </c>
      <c r="E649" s="305">
        <f>'GA55'!E645</f>
        <v>0</v>
      </c>
      <c r="F649" s="231">
        <f>'GA55'!F645</f>
        <v>0</v>
      </c>
      <c r="G649" s="309">
        <f>'GA55'!G645</f>
        <v>0</v>
      </c>
      <c r="H649" s="231">
        <f>'GA55'!Q645</f>
        <v>0</v>
      </c>
    </row>
    <row r="650" spans="1:8" x14ac:dyDescent="0.2">
      <c r="A650" s="231">
        <f>'GA55'!A646</f>
        <v>0</v>
      </c>
      <c r="B650" s="231">
        <f>'GA55'!B646</f>
        <v>0</v>
      </c>
      <c r="C650" s="305">
        <f>'GA55'!C646</f>
        <v>0</v>
      </c>
      <c r="D650" s="231">
        <f>'GA55'!D646</f>
        <v>0</v>
      </c>
      <c r="E650" s="305">
        <f>'GA55'!E646</f>
        <v>0</v>
      </c>
      <c r="F650" s="231">
        <f>'GA55'!F646</f>
        <v>0</v>
      </c>
      <c r="G650" s="309">
        <f>'GA55'!G646</f>
        <v>0</v>
      </c>
      <c r="H650" s="231">
        <f>'GA55'!Q646</f>
        <v>0</v>
      </c>
    </row>
    <row r="651" spans="1:8" x14ac:dyDescent="0.2">
      <c r="A651" s="231">
        <f>'GA55'!A647</f>
        <v>0</v>
      </c>
      <c r="B651" s="231">
        <f>'GA55'!B647</f>
        <v>0</v>
      </c>
      <c r="C651" s="305">
        <f>'GA55'!C647</f>
        <v>0</v>
      </c>
      <c r="D651" s="231">
        <f>'GA55'!D647</f>
        <v>0</v>
      </c>
      <c r="E651" s="305">
        <f>'GA55'!E647</f>
        <v>0</v>
      </c>
      <c r="F651" s="231">
        <f>'GA55'!F647</f>
        <v>0</v>
      </c>
      <c r="G651" s="309">
        <f>'GA55'!G647</f>
        <v>0</v>
      </c>
      <c r="H651" s="231">
        <f>'GA55'!Q647</f>
        <v>0</v>
      </c>
    </row>
    <row r="652" spans="1:8" x14ac:dyDescent="0.2">
      <c r="A652" s="231">
        <f>'GA55'!A648</f>
        <v>0</v>
      </c>
      <c r="B652" s="231">
        <f>'GA55'!B648</f>
        <v>0</v>
      </c>
      <c r="C652" s="305">
        <f>'GA55'!C648</f>
        <v>0</v>
      </c>
      <c r="D652" s="231">
        <f>'GA55'!D648</f>
        <v>0</v>
      </c>
      <c r="E652" s="305">
        <f>'GA55'!E648</f>
        <v>0</v>
      </c>
      <c r="F652" s="231">
        <f>'GA55'!F648</f>
        <v>0</v>
      </c>
      <c r="G652" s="309">
        <f>'GA55'!G648</f>
        <v>0</v>
      </c>
      <c r="H652" s="231">
        <f>'GA55'!Q648</f>
        <v>0</v>
      </c>
    </row>
    <row r="653" spans="1:8" x14ac:dyDescent="0.2">
      <c r="A653" s="231">
        <f>'GA55'!A649</f>
        <v>0</v>
      </c>
      <c r="B653" s="231">
        <f>'GA55'!B649</f>
        <v>0</v>
      </c>
      <c r="C653" s="305">
        <f>'GA55'!C649</f>
        <v>0</v>
      </c>
      <c r="D653" s="231">
        <f>'GA55'!D649</f>
        <v>0</v>
      </c>
      <c r="E653" s="305">
        <f>'GA55'!E649</f>
        <v>0</v>
      </c>
      <c r="F653" s="231">
        <f>'GA55'!F649</f>
        <v>0</v>
      </c>
      <c r="G653" s="309">
        <f>'GA55'!G649</f>
        <v>0</v>
      </c>
      <c r="H653" s="231">
        <f>'GA55'!Q649</f>
        <v>0</v>
      </c>
    </row>
    <row r="654" spans="1:8" x14ac:dyDescent="0.2">
      <c r="A654" s="231">
        <f>'GA55'!A650</f>
        <v>0</v>
      </c>
      <c r="B654" s="231">
        <f>'GA55'!B650</f>
        <v>0</v>
      </c>
      <c r="C654" s="305">
        <f>'GA55'!C650</f>
        <v>0</v>
      </c>
      <c r="D654" s="231">
        <f>'GA55'!D650</f>
        <v>0</v>
      </c>
      <c r="E654" s="305">
        <f>'GA55'!E650</f>
        <v>0</v>
      </c>
      <c r="F654" s="231">
        <f>'GA55'!F650</f>
        <v>0</v>
      </c>
      <c r="G654" s="309">
        <f>'GA55'!G650</f>
        <v>0</v>
      </c>
      <c r="H654" s="231">
        <f>'GA55'!Q650</f>
        <v>0</v>
      </c>
    </row>
    <row r="655" spans="1:8" x14ac:dyDescent="0.2">
      <c r="A655" s="231">
        <f>'GA55'!A651</f>
        <v>0</v>
      </c>
      <c r="B655" s="231">
        <f>'GA55'!B651</f>
        <v>0</v>
      </c>
      <c r="C655" s="305">
        <f>'GA55'!C651</f>
        <v>0</v>
      </c>
      <c r="D655" s="231">
        <f>'GA55'!D651</f>
        <v>0</v>
      </c>
      <c r="E655" s="305">
        <f>'GA55'!E651</f>
        <v>0</v>
      </c>
      <c r="F655" s="231">
        <f>'GA55'!F651</f>
        <v>0</v>
      </c>
      <c r="G655" s="309">
        <f>'GA55'!G651</f>
        <v>0</v>
      </c>
      <c r="H655" s="231">
        <f>'GA55'!Q651</f>
        <v>0</v>
      </c>
    </row>
    <row r="656" spans="1:8" x14ac:dyDescent="0.2">
      <c r="A656" s="231">
        <f>'GA55'!A652</f>
        <v>0</v>
      </c>
      <c r="B656" s="231">
        <f>'GA55'!B652</f>
        <v>0</v>
      </c>
      <c r="C656" s="305">
        <f>'GA55'!C652</f>
        <v>0</v>
      </c>
      <c r="D656" s="231">
        <f>'GA55'!D652</f>
        <v>0</v>
      </c>
      <c r="E656" s="305">
        <f>'GA55'!E652</f>
        <v>0</v>
      </c>
      <c r="F656" s="231">
        <f>'GA55'!F652</f>
        <v>0</v>
      </c>
      <c r="G656" s="309">
        <f>'GA55'!G652</f>
        <v>0</v>
      </c>
      <c r="H656" s="231">
        <f>'GA55'!Q652</f>
        <v>0</v>
      </c>
    </row>
    <row r="657" spans="1:8" x14ac:dyDescent="0.2">
      <c r="A657" s="231">
        <f>'GA55'!A653</f>
        <v>0</v>
      </c>
      <c r="B657" s="231">
        <f>'GA55'!B653</f>
        <v>0</v>
      </c>
      <c r="C657" s="305">
        <f>'GA55'!C653</f>
        <v>0</v>
      </c>
      <c r="D657" s="231">
        <f>'GA55'!D653</f>
        <v>0</v>
      </c>
      <c r="E657" s="305">
        <f>'GA55'!E653</f>
        <v>0</v>
      </c>
      <c r="F657" s="231">
        <f>'GA55'!F653</f>
        <v>0</v>
      </c>
      <c r="G657" s="309">
        <f>'GA55'!G653</f>
        <v>0</v>
      </c>
      <c r="H657" s="231">
        <f>'GA55'!Q653</f>
        <v>0</v>
      </c>
    </row>
    <row r="658" spans="1:8" x14ac:dyDescent="0.2">
      <c r="A658" s="231">
        <f>'GA55'!A654</f>
        <v>0</v>
      </c>
      <c r="B658" s="231">
        <f>'GA55'!B654</f>
        <v>0</v>
      </c>
      <c r="C658" s="305">
        <f>'GA55'!C654</f>
        <v>0</v>
      </c>
      <c r="D658" s="231">
        <f>'GA55'!D654</f>
        <v>0</v>
      </c>
      <c r="E658" s="305">
        <f>'GA55'!E654</f>
        <v>0</v>
      </c>
      <c r="F658" s="231">
        <f>'GA55'!F654</f>
        <v>0</v>
      </c>
      <c r="G658" s="309">
        <f>'GA55'!G654</f>
        <v>0</v>
      </c>
      <c r="H658" s="231">
        <f>'GA55'!Q654</f>
        <v>0</v>
      </c>
    </row>
    <row r="659" spans="1:8" x14ac:dyDescent="0.2">
      <c r="A659" s="231">
        <f>'GA55'!A655</f>
        <v>0</v>
      </c>
      <c r="B659" s="231">
        <f>'GA55'!B655</f>
        <v>0</v>
      </c>
      <c r="C659" s="305">
        <f>'GA55'!C655</f>
        <v>0</v>
      </c>
      <c r="D659" s="231">
        <f>'GA55'!D655</f>
        <v>0</v>
      </c>
      <c r="E659" s="305">
        <f>'GA55'!E655</f>
        <v>0</v>
      </c>
      <c r="F659" s="231">
        <f>'GA55'!F655</f>
        <v>0</v>
      </c>
      <c r="G659" s="309">
        <f>'GA55'!G655</f>
        <v>0</v>
      </c>
      <c r="H659" s="231">
        <f>'GA55'!Q655</f>
        <v>0</v>
      </c>
    </row>
    <row r="660" spans="1:8" x14ac:dyDescent="0.2">
      <c r="A660" s="231">
        <f>'GA55'!A656</f>
        <v>0</v>
      </c>
      <c r="B660" s="231">
        <f>'GA55'!B656</f>
        <v>0</v>
      </c>
      <c r="C660" s="305">
        <f>'GA55'!C656</f>
        <v>0</v>
      </c>
      <c r="D660" s="231">
        <f>'GA55'!D656</f>
        <v>0</v>
      </c>
      <c r="E660" s="305">
        <f>'GA55'!E656</f>
        <v>0</v>
      </c>
      <c r="F660" s="231">
        <f>'GA55'!F656</f>
        <v>0</v>
      </c>
      <c r="G660" s="309">
        <f>'GA55'!G656</f>
        <v>0</v>
      </c>
      <c r="H660" s="231">
        <f>'GA55'!Q656</f>
        <v>0</v>
      </c>
    </row>
    <row r="661" spans="1:8" x14ac:dyDescent="0.2">
      <c r="A661" s="231">
        <f>'GA55'!A657</f>
        <v>0</v>
      </c>
      <c r="B661" s="231">
        <f>'GA55'!B657</f>
        <v>0</v>
      </c>
      <c r="C661" s="305">
        <f>'GA55'!C657</f>
        <v>0</v>
      </c>
      <c r="D661" s="231">
        <f>'GA55'!D657</f>
        <v>0</v>
      </c>
      <c r="E661" s="305">
        <f>'GA55'!E657</f>
        <v>0</v>
      </c>
      <c r="F661" s="231">
        <f>'GA55'!F657</f>
        <v>0</v>
      </c>
      <c r="G661" s="309">
        <f>'GA55'!G657</f>
        <v>0</v>
      </c>
      <c r="H661" s="231">
        <f>'GA55'!Q657</f>
        <v>0</v>
      </c>
    </row>
    <row r="662" spans="1:8" x14ac:dyDescent="0.2">
      <c r="A662" s="231">
        <f>'GA55'!A658</f>
        <v>0</v>
      </c>
      <c r="B662" s="231">
        <f>'GA55'!B658</f>
        <v>0</v>
      </c>
      <c r="C662" s="305">
        <f>'GA55'!C658</f>
        <v>0</v>
      </c>
      <c r="D662" s="231">
        <f>'GA55'!D658</f>
        <v>0</v>
      </c>
      <c r="E662" s="305">
        <f>'GA55'!E658</f>
        <v>0</v>
      </c>
      <c r="F662" s="231">
        <f>'GA55'!F658</f>
        <v>0</v>
      </c>
      <c r="G662" s="309">
        <f>'GA55'!G658</f>
        <v>0</v>
      </c>
      <c r="H662" s="231">
        <f>'GA55'!Q658</f>
        <v>0</v>
      </c>
    </row>
    <row r="663" spans="1:8" x14ac:dyDescent="0.2">
      <c r="A663" s="231">
        <f>'GA55'!A659</f>
        <v>0</v>
      </c>
      <c r="B663" s="231">
        <f>'GA55'!B659</f>
        <v>0</v>
      </c>
      <c r="C663" s="305">
        <f>'GA55'!C659</f>
        <v>0</v>
      </c>
      <c r="D663" s="231">
        <f>'GA55'!D659</f>
        <v>0</v>
      </c>
      <c r="E663" s="305">
        <f>'GA55'!E659</f>
        <v>0</v>
      </c>
      <c r="F663" s="231">
        <f>'GA55'!F659</f>
        <v>0</v>
      </c>
      <c r="G663" s="309">
        <f>'GA55'!G659</f>
        <v>0</v>
      </c>
      <c r="H663" s="231">
        <f>'GA55'!Q659</f>
        <v>0</v>
      </c>
    </row>
    <row r="664" spans="1:8" x14ac:dyDescent="0.2">
      <c r="A664" s="231">
        <f>'GA55'!A660</f>
        <v>0</v>
      </c>
      <c r="B664" s="231">
        <f>'GA55'!B660</f>
        <v>0</v>
      </c>
      <c r="C664" s="305">
        <f>'GA55'!C660</f>
        <v>0</v>
      </c>
      <c r="D664" s="231">
        <f>'GA55'!D660</f>
        <v>0</v>
      </c>
      <c r="E664" s="305">
        <f>'GA55'!E660</f>
        <v>0</v>
      </c>
      <c r="F664" s="231">
        <f>'GA55'!F660</f>
        <v>0</v>
      </c>
      <c r="G664" s="309">
        <f>'GA55'!G660</f>
        <v>0</v>
      </c>
      <c r="H664" s="231">
        <f>'GA55'!Q660</f>
        <v>0</v>
      </c>
    </row>
    <row r="665" spans="1:8" x14ac:dyDescent="0.2">
      <c r="A665" s="231">
        <f>'GA55'!A661</f>
        <v>0</v>
      </c>
      <c r="B665" s="231">
        <f>'GA55'!B661</f>
        <v>0</v>
      </c>
      <c r="C665" s="305">
        <f>'GA55'!C661</f>
        <v>0</v>
      </c>
      <c r="D665" s="231">
        <f>'GA55'!D661</f>
        <v>0</v>
      </c>
      <c r="E665" s="305">
        <f>'GA55'!E661</f>
        <v>0</v>
      </c>
      <c r="F665" s="231">
        <f>'GA55'!F661</f>
        <v>0</v>
      </c>
      <c r="G665" s="309">
        <f>'GA55'!G661</f>
        <v>0</v>
      </c>
      <c r="H665" s="231">
        <f>'GA55'!Q661</f>
        <v>0</v>
      </c>
    </row>
    <row r="666" spans="1:8" x14ac:dyDescent="0.2">
      <c r="A666" s="231">
        <f>'GA55'!A662</f>
        <v>0</v>
      </c>
      <c r="B666" s="231">
        <f>'GA55'!B662</f>
        <v>0</v>
      </c>
      <c r="C666" s="305">
        <f>'GA55'!C662</f>
        <v>0</v>
      </c>
      <c r="D666" s="231">
        <f>'GA55'!D662</f>
        <v>0</v>
      </c>
      <c r="E666" s="305">
        <f>'GA55'!E662</f>
        <v>0</v>
      </c>
      <c r="F666" s="231">
        <f>'GA55'!F662</f>
        <v>0</v>
      </c>
      <c r="G666" s="309">
        <f>'GA55'!G662</f>
        <v>0</v>
      </c>
      <c r="H666" s="231">
        <f>'GA55'!Q662</f>
        <v>0</v>
      </c>
    </row>
    <row r="667" spans="1:8" x14ac:dyDescent="0.2">
      <c r="A667" s="231">
        <f>'GA55'!A663</f>
        <v>0</v>
      </c>
      <c r="B667" s="231">
        <f>'GA55'!B663</f>
        <v>0</v>
      </c>
      <c r="C667" s="305">
        <f>'GA55'!C663</f>
        <v>0</v>
      </c>
      <c r="D667" s="231">
        <f>'GA55'!D663</f>
        <v>0</v>
      </c>
      <c r="E667" s="305">
        <f>'GA55'!E663</f>
        <v>0</v>
      </c>
      <c r="F667" s="231">
        <f>'GA55'!F663</f>
        <v>0</v>
      </c>
      <c r="G667" s="309">
        <f>'GA55'!G663</f>
        <v>0</v>
      </c>
      <c r="H667" s="231">
        <f>'GA55'!Q663</f>
        <v>0</v>
      </c>
    </row>
    <row r="668" spans="1:8" x14ac:dyDescent="0.2">
      <c r="A668" s="231">
        <f>'GA55'!A664</f>
        <v>0</v>
      </c>
      <c r="B668" s="231">
        <f>'GA55'!B664</f>
        <v>0</v>
      </c>
      <c r="C668" s="305">
        <f>'GA55'!C664</f>
        <v>0</v>
      </c>
      <c r="D668" s="231">
        <f>'GA55'!D664</f>
        <v>0</v>
      </c>
      <c r="E668" s="305">
        <f>'GA55'!E664</f>
        <v>0</v>
      </c>
      <c r="F668" s="231">
        <f>'GA55'!F664</f>
        <v>0</v>
      </c>
      <c r="G668" s="309">
        <f>'GA55'!G664</f>
        <v>0</v>
      </c>
      <c r="H668" s="231">
        <f>'GA55'!Q664</f>
        <v>0</v>
      </c>
    </row>
    <row r="669" spans="1:8" x14ac:dyDescent="0.2">
      <c r="A669" s="231">
        <f>'GA55'!A665</f>
        <v>0</v>
      </c>
      <c r="B669" s="231">
        <f>'GA55'!B665</f>
        <v>0</v>
      </c>
      <c r="C669" s="305">
        <f>'GA55'!C665</f>
        <v>0</v>
      </c>
      <c r="D669" s="231">
        <f>'GA55'!D665</f>
        <v>0</v>
      </c>
      <c r="E669" s="305">
        <f>'GA55'!E665</f>
        <v>0</v>
      </c>
      <c r="F669" s="231">
        <f>'GA55'!F665</f>
        <v>0</v>
      </c>
      <c r="G669" s="309">
        <f>'GA55'!G665</f>
        <v>0</v>
      </c>
      <c r="H669" s="231">
        <f>'GA55'!Q665</f>
        <v>0</v>
      </c>
    </row>
    <row r="670" spans="1:8" x14ac:dyDescent="0.2">
      <c r="A670" s="231">
        <f>'GA55'!A666</f>
        <v>0</v>
      </c>
      <c r="B670" s="231">
        <f>'GA55'!B666</f>
        <v>0</v>
      </c>
      <c r="C670" s="305">
        <f>'GA55'!C666</f>
        <v>0</v>
      </c>
      <c r="D670" s="231">
        <f>'GA55'!D666</f>
        <v>0</v>
      </c>
      <c r="E670" s="305">
        <f>'GA55'!E666</f>
        <v>0</v>
      </c>
      <c r="F670" s="231">
        <f>'GA55'!F666</f>
        <v>0</v>
      </c>
      <c r="G670" s="309">
        <f>'GA55'!G666</f>
        <v>0</v>
      </c>
      <c r="H670" s="231">
        <f>'GA55'!Q666</f>
        <v>0</v>
      </c>
    </row>
    <row r="671" spans="1:8" x14ac:dyDescent="0.2">
      <c r="A671" s="231">
        <f>'GA55'!A667</f>
        <v>0</v>
      </c>
      <c r="B671" s="231">
        <f>'GA55'!B667</f>
        <v>0</v>
      </c>
      <c r="C671" s="305">
        <f>'GA55'!C667</f>
        <v>0</v>
      </c>
      <c r="D671" s="231">
        <f>'GA55'!D667</f>
        <v>0</v>
      </c>
      <c r="E671" s="305">
        <f>'GA55'!E667</f>
        <v>0</v>
      </c>
      <c r="F671" s="231">
        <f>'GA55'!F667</f>
        <v>0</v>
      </c>
      <c r="G671" s="309">
        <f>'GA55'!G667</f>
        <v>0</v>
      </c>
      <c r="H671" s="231">
        <f>'GA55'!Q667</f>
        <v>0</v>
      </c>
    </row>
    <row r="672" spans="1:8" x14ac:dyDescent="0.2">
      <c r="A672" s="231">
        <f>'GA55'!A668</f>
        <v>0</v>
      </c>
      <c r="B672" s="231">
        <f>'GA55'!B668</f>
        <v>0</v>
      </c>
      <c r="C672" s="305">
        <f>'GA55'!C668</f>
        <v>0</v>
      </c>
      <c r="D672" s="231">
        <f>'GA55'!D668</f>
        <v>0</v>
      </c>
      <c r="E672" s="305">
        <f>'GA55'!E668</f>
        <v>0</v>
      </c>
      <c r="F672" s="231">
        <f>'GA55'!F668</f>
        <v>0</v>
      </c>
      <c r="G672" s="309">
        <f>'GA55'!G668</f>
        <v>0</v>
      </c>
      <c r="H672" s="231">
        <f>'GA55'!Q668</f>
        <v>0</v>
      </c>
    </row>
    <row r="673" spans="1:8" x14ac:dyDescent="0.2">
      <c r="A673" s="231">
        <f>'GA55'!A669</f>
        <v>0</v>
      </c>
      <c r="B673" s="231">
        <f>'GA55'!B669</f>
        <v>0</v>
      </c>
      <c r="C673" s="305">
        <f>'GA55'!C669</f>
        <v>0</v>
      </c>
      <c r="D673" s="231">
        <f>'GA55'!D669</f>
        <v>0</v>
      </c>
      <c r="E673" s="305">
        <f>'GA55'!E669</f>
        <v>0</v>
      </c>
      <c r="F673" s="231">
        <f>'GA55'!F669</f>
        <v>0</v>
      </c>
      <c r="G673" s="309">
        <f>'GA55'!G669</f>
        <v>0</v>
      </c>
      <c r="H673" s="231">
        <f>'GA55'!Q669</f>
        <v>0</v>
      </c>
    </row>
    <row r="674" spans="1:8" x14ac:dyDescent="0.2">
      <c r="A674" s="231">
        <f>'GA55'!A670</f>
        <v>0</v>
      </c>
      <c r="B674" s="231">
        <f>'GA55'!B670</f>
        <v>0</v>
      </c>
      <c r="C674" s="305">
        <f>'GA55'!C670</f>
        <v>0</v>
      </c>
      <c r="D674" s="231">
        <f>'GA55'!D670</f>
        <v>0</v>
      </c>
      <c r="E674" s="305">
        <f>'GA55'!E670</f>
        <v>0</v>
      </c>
      <c r="F674" s="231">
        <f>'GA55'!F670</f>
        <v>0</v>
      </c>
      <c r="G674" s="309">
        <f>'GA55'!G670</f>
        <v>0</v>
      </c>
      <c r="H674" s="231">
        <f>'GA55'!Q670</f>
        <v>0</v>
      </c>
    </row>
    <row r="675" spans="1:8" x14ac:dyDescent="0.2">
      <c r="A675" s="231">
        <f>'GA55'!A671</f>
        <v>0</v>
      </c>
      <c r="B675" s="231">
        <f>'GA55'!B671</f>
        <v>0</v>
      </c>
      <c r="C675" s="305">
        <f>'GA55'!C671</f>
        <v>0</v>
      </c>
      <c r="D675" s="231">
        <f>'GA55'!D671</f>
        <v>0</v>
      </c>
      <c r="E675" s="305">
        <f>'GA55'!E671</f>
        <v>0</v>
      </c>
      <c r="F675" s="231">
        <f>'GA55'!F671</f>
        <v>0</v>
      </c>
      <c r="G675" s="309">
        <f>'GA55'!G671</f>
        <v>0</v>
      </c>
      <c r="H675" s="231">
        <f>'GA55'!Q671</f>
        <v>0</v>
      </c>
    </row>
    <row r="676" spans="1:8" x14ac:dyDescent="0.2">
      <c r="A676" s="231">
        <f>'GA55'!A672</f>
        <v>0</v>
      </c>
      <c r="B676" s="231">
        <f>'GA55'!B672</f>
        <v>0</v>
      </c>
      <c r="C676" s="305">
        <f>'GA55'!C672</f>
        <v>0</v>
      </c>
      <c r="D676" s="231">
        <f>'GA55'!D672</f>
        <v>0</v>
      </c>
      <c r="E676" s="305">
        <f>'GA55'!E672</f>
        <v>0</v>
      </c>
      <c r="F676" s="231">
        <f>'GA55'!F672</f>
        <v>0</v>
      </c>
      <c r="G676" s="309">
        <f>'GA55'!G672</f>
        <v>0</v>
      </c>
      <c r="H676" s="231">
        <f>'GA55'!Q672</f>
        <v>0</v>
      </c>
    </row>
    <row r="677" spans="1:8" x14ac:dyDescent="0.2">
      <c r="A677" s="231">
        <f>'GA55'!A673</f>
        <v>0</v>
      </c>
      <c r="B677" s="231">
        <f>'GA55'!B673</f>
        <v>0</v>
      </c>
      <c r="C677" s="305">
        <f>'GA55'!C673</f>
        <v>0</v>
      </c>
      <c r="D677" s="231">
        <f>'GA55'!D673</f>
        <v>0</v>
      </c>
      <c r="E677" s="305">
        <f>'GA55'!E673</f>
        <v>0</v>
      </c>
      <c r="F677" s="231">
        <f>'GA55'!F673</f>
        <v>0</v>
      </c>
      <c r="G677" s="309">
        <f>'GA55'!G673</f>
        <v>0</v>
      </c>
      <c r="H677" s="231">
        <f>'GA55'!Q673</f>
        <v>0</v>
      </c>
    </row>
    <row r="678" spans="1:8" x14ac:dyDescent="0.2">
      <c r="A678" s="231">
        <f>'GA55'!A674</f>
        <v>0</v>
      </c>
      <c r="B678" s="231">
        <f>'GA55'!B674</f>
        <v>0</v>
      </c>
      <c r="C678" s="305">
        <f>'GA55'!C674</f>
        <v>0</v>
      </c>
      <c r="D678" s="231">
        <f>'GA55'!D674</f>
        <v>0</v>
      </c>
      <c r="E678" s="305">
        <f>'GA55'!E674</f>
        <v>0</v>
      </c>
      <c r="F678" s="231">
        <f>'GA55'!F674</f>
        <v>0</v>
      </c>
      <c r="G678" s="309">
        <f>'GA55'!G674</f>
        <v>0</v>
      </c>
      <c r="H678" s="231">
        <f>'GA55'!Q674</f>
        <v>0</v>
      </c>
    </row>
    <row r="679" spans="1:8" x14ac:dyDescent="0.2">
      <c r="A679" s="231">
        <f>'GA55'!A675</f>
        <v>0</v>
      </c>
      <c r="B679" s="231">
        <f>'GA55'!B675</f>
        <v>0</v>
      </c>
      <c r="C679" s="305">
        <f>'GA55'!C675</f>
        <v>0</v>
      </c>
      <c r="D679" s="231">
        <f>'GA55'!D675</f>
        <v>0</v>
      </c>
      <c r="E679" s="305">
        <f>'GA55'!E675</f>
        <v>0</v>
      </c>
      <c r="F679" s="231">
        <f>'GA55'!F675</f>
        <v>0</v>
      </c>
      <c r="G679" s="309">
        <f>'GA55'!G675</f>
        <v>0</v>
      </c>
      <c r="H679" s="231">
        <f>'GA55'!Q675</f>
        <v>0</v>
      </c>
    </row>
    <row r="680" spans="1:8" x14ac:dyDescent="0.2">
      <c r="A680" s="231">
        <f>'GA55'!A676</f>
        <v>0</v>
      </c>
      <c r="B680" s="231">
        <f>'GA55'!B676</f>
        <v>0</v>
      </c>
      <c r="C680" s="305">
        <f>'GA55'!C676</f>
        <v>0</v>
      </c>
      <c r="D680" s="231">
        <f>'GA55'!D676</f>
        <v>0</v>
      </c>
      <c r="E680" s="305">
        <f>'GA55'!E676</f>
        <v>0</v>
      </c>
      <c r="F680" s="231">
        <f>'GA55'!F676</f>
        <v>0</v>
      </c>
      <c r="G680" s="309">
        <f>'GA55'!G676</f>
        <v>0</v>
      </c>
      <c r="H680" s="231">
        <f>'GA55'!Q676</f>
        <v>0</v>
      </c>
    </row>
    <row r="681" spans="1:8" x14ac:dyDescent="0.2">
      <c r="A681" s="231">
        <f>'GA55'!A677</f>
        <v>0</v>
      </c>
      <c r="B681" s="231">
        <f>'GA55'!B677</f>
        <v>0</v>
      </c>
      <c r="C681" s="305">
        <f>'GA55'!C677</f>
        <v>0</v>
      </c>
      <c r="D681" s="231">
        <f>'GA55'!D677</f>
        <v>0</v>
      </c>
      <c r="E681" s="305">
        <f>'GA55'!E677</f>
        <v>0</v>
      </c>
      <c r="F681" s="231">
        <f>'GA55'!F677</f>
        <v>0</v>
      </c>
      <c r="G681" s="309">
        <f>'GA55'!G677</f>
        <v>0</v>
      </c>
      <c r="H681" s="231">
        <f>'GA55'!Q677</f>
        <v>0</v>
      </c>
    </row>
    <row r="682" spans="1:8" x14ac:dyDescent="0.2">
      <c r="A682" s="231">
        <f>'GA55'!A678</f>
        <v>0</v>
      </c>
      <c r="B682" s="231">
        <f>'GA55'!B678</f>
        <v>0</v>
      </c>
      <c r="C682" s="305">
        <f>'GA55'!C678</f>
        <v>0</v>
      </c>
      <c r="D682" s="231">
        <f>'GA55'!D678</f>
        <v>0</v>
      </c>
      <c r="E682" s="305">
        <f>'GA55'!E678</f>
        <v>0</v>
      </c>
      <c r="F682" s="231">
        <f>'GA55'!F678</f>
        <v>0</v>
      </c>
      <c r="G682" s="309">
        <f>'GA55'!G678</f>
        <v>0</v>
      </c>
      <c r="H682" s="231">
        <f>'GA55'!Q678</f>
        <v>0</v>
      </c>
    </row>
    <row r="683" spans="1:8" x14ac:dyDescent="0.2">
      <c r="A683" s="231">
        <f>'GA55'!A679</f>
        <v>0</v>
      </c>
      <c r="B683" s="231">
        <f>'GA55'!B679</f>
        <v>0</v>
      </c>
      <c r="C683" s="305">
        <f>'GA55'!C679</f>
        <v>0</v>
      </c>
      <c r="D683" s="231">
        <f>'GA55'!D679</f>
        <v>0</v>
      </c>
      <c r="E683" s="305">
        <f>'GA55'!E679</f>
        <v>0</v>
      </c>
      <c r="F683" s="231">
        <f>'GA55'!F679</f>
        <v>0</v>
      </c>
      <c r="G683" s="309">
        <f>'GA55'!G679</f>
        <v>0</v>
      </c>
      <c r="H683" s="231">
        <f>'GA55'!Q679</f>
        <v>0</v>
      </c>
    </row>
    <row r="684" spans="1:8" x14ac:dyDescent="0.2">
      <c r="A684" s="231">
        <f>'GA55'!A680</f>
        <v>0</v>
      </c>
      <c r="B684" s="231">
        <f>'GA55'!B680</f>
        <v>0</v>
      </c>
      <c r="C684" s="305">
        <f>'GA55'!C680</f>
        <v>0</v>
      </c>
      <c r="D684" s="231">
        <f>'GA55'!D680</f>
        <v>0</v>
      </c>
      <c r="E684" s="305">
        <f>'GA55'!E680</f>
        <v>0</v>
      </c>
      <c r="F684" s="231">
        <f>'GA55'!F680</f>
        <v>0</v>
      </c>
      <c r="G684" s="309">
        <f>'GA55'!G680</f>
        <v>0</v>
      </c>
      <c r="H684" s="231">
        <f>'GA55'!Q680</f>
        <v>0</v>
      </c>
    </row>
    <row r="685" spans="1:8" x14ac:dyDescent="0.2">
      <c r="A685" s="231">
        <f>'GA55'!A681</f>
        <v>0</v>
      </c>
      <c r="B685" s="231">
        <f>'GA55'!B681</f>
        <v>0</v>
      </c>
      <c r="C685" s="305">
        <f>'GA55'!C681</f>
        <v>0</v>
      </c>
      <c r="D685" s="231">
        <f>'GA55'!D681</f>
        <v>0</v>
      </c>
      <c r="E685" s="305">
        <f>'GA55'!E681</f>
        <v>0</v>
      </c>
      <c r="F685" s="231">
        <f>'GA55'!F681</f>
        <v>0</v>
      </c>
      <c r="G685" s="309">
        <f>'GA55'!G681</f>
        <v>0</v>
      </c>
      <c r="H685" s="231">
        <f>'GA55'!Q681</f>
        <v>0</v>
      </c>
    </row>
    <row r="686" spans="1:8" x14ac:dyDescent="0.2">
      <c r="A686" s="231">
        <f>'GA55'!A682</f>
        <v>0</v>
      </c>
      <c r="B686" s="231">
        <f>'GA55'!B682</f>
        <v>0</v>
      </c>
      <c r="C686" s="305">
        <f>'GA55'!C682</f>
        <v>0</v>
      </c>
      <c r="D686" s="231">
        <f>'GA55'!D682</f>
        <v>0</v>
      </c>
      <c r="E686" s="305">
        <f>'GA55'!E682</f>
        <v>0</v>
      </c>
      <c r="F686" s="231">
        <f>'GA55'!F682</f>
        <v>0</v>
      </c>
      <c r="G686" s="309">
        <f>'GA55'!G682</f>
        <v>0</v>
      </c>
      <c r="H686" s="231">
        <f>'GA55'!Q682</f>
        <v>0</v>
      </c>
    </row>
    <row r="687" spans="1:8" x14ac:dyDescent="0.2">
      <c r="A687" s="231">
        <f>'GA55'!A683</f>
        <v>0</v>
      </c>
      <c r="B687" s="231">
        <f>'GA55'!B683</f>
        <v>0</v>
      </c>
      <c r="C687" s="305">
        <f>'GA55'!C683</f>
        <v>0</v>
      </c>
      <c r="D687" s="231">
        <f>'GA55'!D683</f>
        <v>0</v>
      </c>
      <c r="E687" s="305">
        <f>'GA55'!E683</f>
        <v>0</v>
      </c>
      <c r="F687" s="231">
        <f>'GA55'!F683</f>
        <v>0</v>
      </c>
      <c r="G687" s="309">
        <f>'GA55'!G683</f>
        <v>0</v>
      </c>
      <c r="H687" s="231">
        <f>'GA55'!Q683</f>
        <v>0</v>
      </c>
    </row>
    <row r="688" spans="1:8" x14ac:dyDescent="0.2">
      <c r="A688" s="231">
        <f>'GA55'!A684</f>
        <v>0</v>
      </c>
      <c r="B688" s="231">
        <f>'GA55'!B684</f>
        <v>0</v>
      </c>
      <c r="C688" s="305">
        <f>'GA55'!C684</f>
        <v>0</v>
      </c>
      <c r="D688" s="231">
        <f>'GA55'!D684</f>
        <v>0</v>
      </c>
      <c r="E688" s="305">
        <f>'GA55'!E684</f>
        <v>0</v>
      </c>
      <c r="F688" s="231">
        <f>'GA55'!F684</f>
        <v>0</v>
      </c>
      <c r="G688" s="309">
        <f>'GA55'!G684</f>
        <v>0</v>
      </c>
      <c r="H688" s="231">
        <f>'GA55'!Q684</f>
        <v>0</v>
      </c>
    </row>
    <row r="689" spans="1:8" x14ac:dyDescent="0.2">
      <c r="A689" s="231">
        <f>'GA55'!A685</f>
        <v>0</v>
      </c>
      <c r="B689" s="231">
        <f>'GA55'!B685</f>
        <v>0</v>
      </c>
      <c r="C689" s="305">
        <f>'GA55'!C685</f>
        <v>0</v>
      </c>
      <c r="D689" s="231">
        <f>'GA55'!D685</f>
        <v>0</v>
      </c>
      <c r="E689" s="305">
        <f>'GA55'!E685</f>
        <v>0</v>
      </c>
      <c r="F689" s="231">
        <f>'GA55'!F685</f>
        <v>0</v>
      </c>
      <c r="G689" s="309">
        <f>'GA55'!G685</f>
        <v>0</v>
      </c>
      <c r="H689" s="231">
        <f>'GA55'!Q685</f>
        <v>0</v>
      </c>
    </row>
    <row r="690" spans="1:8" x14ac:dyDescent="0.2">
      <c r="A690" s="231">
        <f>'GA55'!A686</f>
        <v>0</v>
      </c>
      <c r="B690" s="231">
        <f>'GA55'!B686</f>
        <v>0</v>
      </c>
      <c r="C690" s="305">
        <f>'GA55'!C686</f>
        <v>0</v>
      </c>
      <c r="D690" s="231">
        <f>'GA55'!D686</f>
        <v>0</v>
      </c>
      <c r="E690" s="305">
        <f>'GA55'!E686</f>
        <v>0</v>
      </c>
      <c r="F690" s="231">
        <f>'GA55'!F686</f>
        <v>0</v>
      </c>
      <c r="G690" s="309">
        <f>'GA55'!G686</f>
        <v>0</v>
      </c>
      <c r="H690" s="231">
        <f>'GA55'!Q686</f>
        <v>0</v>
      </c>
    </row>
    <row r="691" spans="1:8" x14ac:dyDescent="0.2">
      <c r="A691" s="231">
        <f>'GA55'!A687</f>
        <v>0</v>
      </c>
      <c r="B691" s="231">
        <f>'GA55'!B687</f>
        <v>0</v>
      </c>
      <c r="C691" s="305">
        <f>'GA55'!C687</f>
        <v>0</v>
      </c>
      <c r="D691" s="231">
        <f>'GA55'!D687</f>
        <v>0</v>
      </c>
      <c r="E691" s="305">
        <f>'GA55'!E687</f>
        <v>0</v>
      </c>
      <c r="F691" s="231">
        <f>'GA55'!F687</f>
        <v>0</v>
      </c>
      <c r="G691" s="309">
        <f>'GA55'!G687</f>
        <v>0</v>
      </c>
      <c r="H691" s="231">
        <f>'GA55'!Q687</f>
        <v>0</v>
      </c>
    </row>
    <row r="692" spans="1:8" x14ac:dyDescent="0.2">
      <c r="A692" s="231">
        <f>'GA55'!A688</f>
        <v>0</v>
      </c>
      <c r="B692" s="231">
        <f>'GA55'!B688</f>
        <v>0</v>
      </c>
      <c r="C692" s="305">
        <f>'GA55'!C688</f>
        <v>0</v>
      </c>
      <c r="D692" s="231">
        <f>'GA55'!D688</f>
        <v>0</v>
      </c>
      <c r="E692" s="305">
        <f>'GA55'!E688</f>
        <v>0</v>
      </c>
      <c r="F692" s="231">
        <f>'GA55'!F688</f>
        <v>0</v>
      </c>
      <c r="G692" s="309">
        <f>'GA55'!G688</f>
        <v>0</v>
      </c>
      <c r="H692" s="231">
        <f>'GA55'!Q688</f>
        <v>0</v>
      </c>
    </row>
    <row r="693" spans="1:8" x14ac:dyDescent="0.2">
      <c r="A693" s="231">
        <f>'GA55'!A689</f>
        <v>0</v>
      </c>
      <c r="B693" s="231">
        <f>'GA55'!B689</f>
        <v>0</v>
      </c>
      <c r="C693" s="305">
        <f>'GA55'!C689</f>
        <v>0</v>
      </c>
      <c r="D693" s="231">
        <f>'GA55'!D689</f>
        <v>0</v>
      </c>
      <c r="E693" s="305">
        <f>'GA55'!E689</f>
        <v>0</v>
      </c>
      <c r="F693" s="231">
        <f>'GA55'!F689</f>
        <v>0</v>
      </c>
      <c r="G693" s="309">
        <f>'GA55'!G689</f>
        <v>0</v>
      </c>
      <c r="H693" s="231">
        <f>'GA55'!Q689</f>
        <v>0</v>
      </c>
    </row>
    <row r="694" spans="1:8" x14ac:dyDescent="0.2">
      <c r="A694" s="231">
        <f>'GA55'!A690</f>
        <v>0</v>
      </c>
      <c r="B694" s="231">
        <f>'GA55'!B690</f>
        <v>0</v>
      </c>
      <c r="C694" s="305">
        <f>'GA55'!C690</f>
        <v>0</v>
      </c>
      <c r="D694" s="231">
        <f>'GA55'!D690</f>
        <v>0</v>
      </c>
      <c r="E694" s="305">
        <f>'GA55'!E690</f>
        <v>0</v>
      </c>
      <c r="F694" s="231">
        <f>'GA55'!F690</f>
        <v>0</v>
      </c>
      <c r="G694" s="309">
        <f>'GA55'!G690</f>
        <v>0</v>
      </c>
      <c r="H694" s="231">
        <f>'GA55'!Q690</f>
        <v>0</v>
      </c>
    </row>
    <row r="695" spans="1:8" x14ac:dyDescent="0.2">
      <c r="A695" s="231">
        <f>'GA55'!A691</f>
        <v>0</v>
      </c>
      <c r="B695" s="231">
        <f>'GA55'!B691</f>
        <v>0</v>
      </c>
      <c r="C695" s="305">
        <f>'GA55'!C691</f>
        <v>0</v>
      </c>
      <c r="D695" s="231">
        <f>'GA55'!D691</f>
        <v>0</v>
      </c>
      <c r="E695" s="305">
        <f>'GA55'!E691</f>
        <v>0</v>
      </c>
      <c r="F695" s="231">
        <f>'GA55'!F691</f>
        <v>0</v>
      </c>
      <c r="G695" s="309">
        <f>'GA55'!G691</f>
        <v>0</v>
      </c>
      <c r="H695" s="231">
        <f>'GA55'!Q691</f>
        <v>0</v>
      </c>
    </row>
    <row r="696" spans="1:8" x14ac:dyDescent="0.2">
      <c r="A696" s="231">
        <f>'GA55'!A692</f>
        <v>0</v>
      </c>
      <c r="B696" s="231">
        <f>'GA55'!B692</f>
        <v>0</v>
      </c>
      <c r="C696" s="305">
        <f>'GA55'!C692</f>
        <v>0</v>
      </c>
      <c r="D696" s="231">
        <f>'GA55'!D692</f>
        <v>0</v>
      </c>
      <c r="E696" s="305">
        <f>'GA55'!E692</f>
        <v>0</v>
      </c>
      <c r="F696" s="231">
        <f>'GA55'!F692</f>
        <v>0</v>
      </c>
      <c r="G696" s="309">
        <f>'GA55'!G692</f>
        <v>0</v>
      </c>
      <c r="H696" s="231">
        <f>'GA55'!Q692</f>
        <v>0</v>
      </c>
    </row>
    <row r="697" spans="1:8" x14ac:dyDescent="0.2">
      <c r="A697" s="231">
        <f>'GA55'!A693</f>
        <v>0</v>
      </c>
      <c r="B697" s="231">
        <f>'GA55'!B693</f>
        <v>0</v>
      </c>
      <c r="C697" s="305">
        <f>'GA55'!C693</f>
        <v>0</v>
      </c>
      <c r="D697" s="231">
        <f>'GA55'!D693</f>
        <v>0</v>
      </c>
      <c r="E697" s="305">
        <f>'GA55'!E693</f>
        <v>0</v>
      </c>
      <c r="F697" s="231">
        <f>'GA55'!F693</f>
        <v>0</v>
      </c>
      <c r="G697" s="309">
        <f>'GA55'!G693</f>
        <v>0</v>
      </c>
      <c r="H697" s="231">
        <f>'GA55'!Q693</f>
        <v>0</v>
      </c>
    </row>
    <row r="698" spans="1:8" x14ac:dyDescent="0.2">
      <c r="A698" s="231">
        <f>'GA55'!A694</f>
        <v>0</v>
      </c>
      <c r="B698" s="231">
        <f>'GA55'!B694</f>
        <v>0</v>
      </c>
      <c r="C698" s="305">
        <f>'GA55'!C694</f>
        <v>0</v>
      </c>
      <c r="D698" s="231">
        <f>'GA55'!D694</f>
        <v>0</v>
      </c>
      <c r="E698" s="305">
        <f>'GA55'!E694</f>
        <v>0</v>
      </c>
      <c r="F698" s="231">
        <f>'GA55'!F694</f>
        <v>0</v>
      </c>
      <c r="G698" s="309">
        <f>'GA55'!G694</f>
        <v>0</v>
      </c>
      <c r="H698" s="231">
        <f>'GA55'!Q694</f>
        <v>0</v>
      </c>
    </row>
    <row r="699" spans="1:8" x14ac:dyDescent="0.2">
      <c r="A699" s="231">
        <f>'GA55'!A695</f>
        <v>0</v>
      </c>
      <c r="B699" s="231">
        <f>'GA55'!B695</f>
        <v>0</v>
      </c>
      <c r="C699" s="305">
        <f>'GA55'!C695</f>
        <v>0</v>
      </c>
      <c r="D699" s="231">
        <f>'GA55'!D695</f>
        <v>0</v>
      </c>
      <c r="E699" s="305">
        <f>'GA55'!E695</f>
        <v>0</v>
      </c>
      <c r="F699" s="231">
        <f>'GA55'!F695</f>
        <v>0</v>
      </c>
      <c r="G699" s="309">
        <f>'GA55'!G695</f>
        <v>0</v>
      </c>
      <c r="H699" s="231">
        <f>'GA55'!Q695</f>
        <v>0</v>
      </c>
    </row>
    <row r="700" spans="1:8" x14ac:dyDescent="0.2">
      <c r="A700" s="231">
        <f>'GA55'!A696</f>
        <v>0</v>
      </c>
      <c r="B700" s="231">
        <f>'GA55'!B696</f>
        <v>0</v>
      </c>
      <c r="C700" s="305">
        <f>'GA55'!C696</f>
        <v>0</v>
      </c>
      <c r="D700" s="231">
        <f>'GA55'!D696</f>
        <v>0</v>
      </c>
      <c r="E700" s="305">
        <f>'GA55'!E696</f>
        <v>0</v>
      </c>
      <c r="F700" s="231">
        <f>'GA55'!F696</f>
        <v>0</v>
      </c>
      <c r="G700" s="309">
        <f>'GA55'!G696</f>
        <v>0</v>
      </c>
      <c r="H700" s="231">
        <f>'GA55'!Q696</f>
        <v>0</v>
      </c>
    </row>
    <row r="701" spans="1:8" x14ac:dyDescent="0.2">
      <c r="A701" s="231">
        <f>'GA55'!A697</f>
        <v>0</v>
      </c>
      <c r="B701" s="231">
        <f>'GA55'!B697</f>
        <v>0</v>
      </c>
      <c r="C701" s="305">
        <f>'GA55'!C697</f>
        <v>0</v>
      </c>
      <c r="D701" s="231">
        <f>'GA55'!D697</f>
        <v>0</v>
      </c>
      <c r="E701" s="305">
        <f>'GA55'!E697</f>
        <v>0</v>
      </c>
      <c r="F701" s="231">
        <f>'GA55'!F697</f>
        <v>0</v>
      </c>
      <c r="G701" s="309">
        <f>'GA55'!G697</f>
        <v>0</v>
      </c>
      <c r="H701" s="231">
        <f>'GA55'!Q697</f>
        <v>0</v>
      </c>
    </row>
    <row r="702" spans="1:8" x14ac:dyDescent="0.2">
      <c r="A702" s="231">
        <f>'GA55'!A698</f>
        <v>0</v>
      </c>
      <c r="B702" s="231">
        <f>'GA55'!B698</f>
        <v>0</v>
      </c>
      <c r="C702" s="305">
        <f>'GA55'!C698</f>
        <v>0</v>
      </c>
      <c r="D702" s="231">
        <f>'GA55'!D698</f>
        <v>0</v>
      </c>
      <c r="E702" s="305">
        <f>'GA55'!E698</f>
        <v>0</v>
      </c>
      <c r="F702" s="231">
        <f>'GA55'!F698</f>
        <v>0</v>
      </c>
      <c r="G702" s="309">
        <f>'GA55'!G698</f>
        <v>0</v>
      </c>
      <c r="H702" s="231">
        <f>'GA55'!Q698</f>
        <v>0</v>
      </c>
    </row>
    <row r="703" spans="1:8" x14ac:dyDescent="0.2">
      <c r="A703" s="231">
        <f>'GA55'!A699</f>
        <v>0</v>
      </c>
      <c r="B703" s="231">
        <f>'GA55'!B699</f>
        <v>0</v>
      </c>
      <c r="C703" s="305">
        <f>'GA55'!C699</f>
        <v>0</v>
      </c>
      <c r="D703" s="231">
        <f>'GA55'!D699</f>
        <v>0</v>
      </c>
      <c r="E703" s="305">
        <f>'GA55'!E699</f>
        <v>0</v>
      </c>
      <c r="F703" s="231">
        <f>'GA55'!F699</f>
        <v>0</v>
      </c>
      <c r="G703" s="309">
        <f>'GA55'!G699</f>
        <v>0</v>
      </c>
      <c r="H703" s="231">
        <f>'GA55'!Q699</f>
        <v>0</v>
      </c>
    </row>
    <row r="704" spans="1:8" x14ac:dyDescent="0.2">
      <c r="A704" s="231">
        <f>'GA55'!A700</f>
        <v>0</v>
      </c>
      <c r="B704" s="231">
        <f>'GA55'!B700</f>
        <v>0</v>
      </c>
      <c r="C704" s="305">
        <f>'GA55'!C700</f>
        <v>0</v>
      </c>
      <c r="D704" s="231">
        <f>'GA55'!D700</f>
        <v>0</v>
      </c>
      <c r="E704" s="305">
        <f>'GA55'!E700</f>
        <v>0</v>
      </c>
      <c r="F704" s="231">
        <f>'GA55'!F700</f>
        <v>0</v>
      </c>
      <c r="G704" s="309">
        <f>'GA55'!G700</f>
        <v>0</v>
      </c>
      <c r="H704" s="231">
        <f>'GA55'!Q700</f>
        <v>0</v>
      </c>
    </row>
    <row r="705" spans="1:8" x14ac:dyDescent="0.2">
      <c r="A705" s="231">
        <f>'GA55'!A701</f>
        <v>0</v>
      </c>
      <c r="B705" s="231">
        <f>'GA55'!B701</f>
        <v>0</v>
      </c>
      <c r="C705" s="305">
        <f>'GA55'!C701</f>
        <v>0</v>
      </c>
      <c r="D705" s="231">
        <f>'GA55'!D701</f>
        <v>0</v>
      </c>
      <c r="E705" s="305">
        <f>'GA55'!E701</f>
        <v>0</v>
      </c>
      <c r="F705" s="231">
        <f>'GA55'!F701</f>
        <v>0</v>
      </c>
      <c r="G705" s="309">
        <f>'GA55'!G701</f>
        <v>0</v>
      </c>
      <c r="H705" s="231">
        <f>'GA55'!Q701</f>
        <v>0</v>
      </c>
    </row>
    <row r="706" spans="1:8" x14ac:dyDescent="0.2">
      <c r="A706" s="231">
        <f>'GA55'!A702</f>
        <v>0</v>
      </c>
      <c r="B706" s="231">
        <f>'GA55'!B702</f>
        <v>0</v>
      </c>
      <c r="C706" s="305">
        <f>'GA55'!C702</f>
        <v>0</v>
      </c>
      <c r="D706" s="231">
        <f>'GA55'!D702</f>
        <v>0</v>
      </c>
      <c r="E706" s="305">
        <f>'GA55'!E702</f>
        <v>0</v>
      </c>
      <c r="F706" s="231">
        <f>'GA55'!F702</f>
        <v>0</v>
      </c>
      <c r="G706" s="309">
        <f>'GA55'!G702</f>
        <v>0</v>
      </c>
      <c r="H706" s="231">
        <f>'GA55'!Q702</f>
        <v>0</v>
      </c>
    </row>
    <row r="707" spans="1:8" x14ac:dyDescent="0.2">
      <c r="A707" s="231">
        <f>'GA55'!A703</f>
        <v>0</v>
      </c>
      <c r="B707" s="231">
        <f>'GA55'!B703</f>
        <v>0</v>
      </c>
      <c r="C707" s="305">
        <f>'GA55'!C703</f>
        <v>0</v>
      </c>
      <c r="D707" s="231">
        <f>'GA55'!D703</f>
        <v>0</v>
      </c>
      <c r="E707" s="305">
        <f>'GA55'!E703</f>
        <v>0</v>
      </c>
      <c r="F707" s="231">
        <f>'GA55'!F703</f>
        <v>0</v>
      </c>
      <c r="G707" s="309">
        <f>'GA55'!G703</f>
        <v>0</v>
      </c>
      <c r="H707" s="231">
        <f>'GA55'!Q703</f>
        <v>0</v>
      </c>
    </row>
    <row r="708" spans="1:8" x14ac:dyDescent="0.2">
      <c r="A708" s="231">
        <f>'GA55'!A704</f>
        <v>0</v>
      </c>
      <c r="B708" s="231">
        <f>'GA55'!B704</f>
        <v>0</v>
      </c>
      <c r="C708" s="305">
        <f>'GA55'!C704</f>
        <v>0</v>
      </c>
      <c r="D708" s="231">
        <f>'GA55'!D704</f>
        <v>0</v>
      </c>
      <c r="E708" s="305">
        <f>'GA55'!E704</f>
        <v>0</v>
      </c>
      <c r="F708" s="231">
        <f>'GA55'!F704</f>
        <v>0</v>
      </c>
      <c r="G708" s="309">
        <f>'GA55'!G704</f>
        <v>0</v>
      </c>
      <c r="H708" s="231">
        <f>'GA55'!Q704</f>
        <v>0</v>
      </c>
    </row>
    <row r="709" spans="1:8" x14ac:dyDescent="0.2">
      <c r="A709" s="231">
        <f>'GA55'!A705</f>
        <v>0</v>
      </c>
      <c r="B709" s="231">
        <f>'GA55'!B705</f>
        <v>0</v>
      </c>
      <c r="C709" s="305">
        <f>'GA55'!C705</f>
        <v>0</v>
      </c>
      <c r="D709" s="231">
        <f>'GA55'!D705</f>
        <v>0</v>
      </c>
      <c r="E709" s="305">
        <f>'GA55'!E705</f>
        <v>0</v>
      </c>
      <c r="F709" s="231">
        <f>'GA55'!F705</f>
        <v>0</v>
      </c>
      <c r="G709" s="309">
        <f>'GA55'!G705</f>
        <v>0</v>
      </c>
      <c r="H709" s="231">
        <f>'GA55'!Q705</f>
        <v>0</v>
      </c>
    </row>
    <row r="710" spans="1:8" x14ac:dyDescent="0.2">
      <c r="A710" s="231">
        <f>'GA55'!A706</f>
        <v>0</v>
      </c>
      <c r="B710" s="231">
        <f>'GA55'!B706</f>
        <v>0</v>
      </c>
      <c r="C710" s="305">
        <f>'GA55'!C706</f>
        <v>0</v>
      </c>
      <c r="D710" s="231">
        <f>'GA55'!D706</f>
        <v>0</v>
      </c>
      <c r="E710" s="305">
        <f>'GA55'!E706</f>
        <v>0</v>
      </c>
      <c r="F710" s="231">
        <f>'GA55'!F706</f>
        <v>0</v>
      </c>
      <c r="G710" s="309">
        <f>'GA55'!G706</f>
        <v>0</v>
      </c>
      <c r="H710" s="231">
        <f>'GA55'!Q706</f>
        <v>0</v>
      </c>
    </row>
    <row r="711" spans="1:8" x14ac:dyDescent="0.2">
      <c r="A711" s="231">
        <f>'GA55'!A707</f>
        <v>0</v>
      </c>
      <c r="B711" s="231">
        <f>'GA55'!B707</f>
        <v>0</v>
      </c>
      <c r="C711" s="305">
        <f>'GA55'!C707</f>
        <v>0</v>
      </c>
      <c r="D711" s="231">
        <f>'GA55'!D707</f>
        <v>0</v>
      </c>
      <c r="E711" s="305">
        <f>'GA55'!E707</f>
        <v>0</v>
      </c>
      <c r="F711" s="231">
        <f>'GA55'!F707</f>
        <v>0</v>
      </c>
      <c r="G711" s="309">
        <f>'GA55'!G707</f>
        <v>0</v>
      </c>
      <c r="H711" s="231">
        <f>'GA55'!Q707</f>
        <v>0</v>
      </c>
    </row>
    <row r="712" spans="1:8" x14ac:dyDescent="0.2">
      <c r="A712" s="231">
        <f>'GA55'!A708</f>
        <v>0</v>
      </c>
      <c r="B712" s="231">
        <f>'GA55'!B708</f>
        <v>0</v>
      </c>
      <c r="C712" s="305">
        <f>'GA55'!C708</f>
        <v>0</v>
      </c>
      <c r="D712" s="231">
        <f>'GA55'!D708</f>
        <v>0</v>
      </c>
      <c r="E712" s="305">
        <f>'GA55'!E708</f>
        <v>0</v>
      </c>
      <c r="F712" s="231">
        <f>'GA55'!F708</f>
        <v>0</v>
      </c>
      <c r="G712" s="309">
        <f>'GA55'!G708</f>
        <v>0</v>
      </c>
      <c r="H712" s="231">
        <f>'GA55'!Q708</f>
        <v>0</v>
      </c>
    </row>
    <row r="713" spans="1:8" x14ac:dyDescent="0.2">
      <c r="A713" s="231">
        <f>'GA55'!A709</f>
        <v>0</v>
      </c>
      <c r="B713" s="231">
        <f>'GA55'!B709</f>
        <v>0</v>
      </c>
      <c r="C713" s="305">
        <f>'GA55'!C709</f>
        <v>0</v>
      </c>
      <c r="D713" s="231">
        <f>'GA55'!D709</f>
        <v>0</v>
      </c>
      <c r="E713" s="305">
        <f>'GA55'!E709</f>
        <v>0</v>
      </c>
      <c r="F713" s="231">
        <f>'GA55'!F709</f>
        <v>0</v>
      </c>
      <c r="G713" s="309">
        <f>'GA55'!G709</f>
        <v>0</v>
      </c>
      <c r="H713" s="231">
        <f>'GA55'!Q709</f>
        <v>0</v>
      </c>
    </row>
    <row r="714" spans="1:8" x14ac:dyDescent="0.2">
      <c r="A714" s="231">
        <f>'GA55'!A710</f>
        <v>0</v>
      </c>
      <c r="B714" s="231">
        <f>'GA55'!B710</f>
        <v>0</v>
      </c>
      <c r="C714" s="305">
        <f>'GA55'!C710</f>
        <v>0</v>
      </c>
      <c r="D714" s="231">
        <f>'GA55'!D710</f>
        <v>0</v>
      </c>
      <c r="E714" s="305">
        <f>'GA55'!E710</f>
        <v>0</v>
      </c>
      <c r="F714" s="231">
        <f>'GA55'!F710</f>
        <v>0</v>
      </c>
      <c r="G714" s="309">
        <f>'GA55'!G710</f>
        <v>0</v>
      </c>
      <c r="H714" s="231">
        <f>'GA55'!Q710</f>
        <v>0</v>
      </c>
    </row>
    <row r="715" spans="1:8" x14ac:dyDescent="0.2">
      <c r="A715" s="231">
        <f>'GA55'!A711</f>
        <v>0</v>
      </c>
      <c r="B715" s="231">
        <f>'GA55'!B711</f>
        <v>0</v>
      </c>
      <c r="C715" s="305">
        <f>'GA55'!C711</f>
        <v>0</v>
      </c>
      <c r="D715" s="231">
        <f>'GA55'!D711</f>
        <v>0</v>
      </c>
      <c r="E715" s="305">
        <f>'GA55'!E711</f>
        <v>0</v>
      </c>
      <c r="F715" s="231">
        <f>'GA55'!F711</f>
        <v>0</v>
      </c>
      <c r="G715" s="309">
        <f>'GA55'!G711</f>
        <v>0</v>
      </c>
      <c r="H715" s="231">
        <f>'GA55'!Q711</f>
        <v>0</v>
      </c>
    </row>
    <row r="716" spans="1:8" x14ac:dyDescent="0.2">
      <c r="A716" s="231">
        <f>'GA55'!A712</f>
        <v>0</v>
      </c>
      <c r="B716" s="231">
        <f>'GA55'!B712</f>
        <v>0</v>
      </c>
      <c r="C716" s="305">
        <f>'GA55'!C712</f>
        <v>0</v>
      </c>
      <c r="D716" s="231">
        <f>'GA55'!D712</f>
        <v>0</v>
      </c>
      <c r="E716" s="305">
        <f>'GA55'!E712</f>
        <v>0</v>
      </c>
      <c r="F716" s="231">
        <f>'GA55'!F712</f>
        <v>0</v>
      </c>
      <c r="G716" s="309">
        <f>'GA55'!G712</f>
        <v>0</v>
      </c>
      <c r="H716" s="231">
        <f>'GA55'!Q712</f>
        <v>0</v>
      </c>
    </row>
    <row r="717" spans="1:8" x14ac:dyDescent="0.2">
      <c r="A717" s="231">
        <f>'GA55'!A713</f>
        <v>0</v>
      </c>
      <c r="B717" s="231">
        <f>'GA55'!B713</f>
        <v>0</v>
      </c>
      <c r="C717" s="305">
        <f>'GA55'!C713</f>
        <v>0</v>
      </c>
      <c r="D717" s="231">
        <f>'GA55'!D713</f>
        <v>0</v>
      </c>
      <c r="E717" s="305">
        <f>'GA55'!E713</f>
        <v>0</v>
      </c>
      <c r="F717" s="231">
        <f>'GA55'!F713</f>
        <v>0</v>
      </c>
      <c r="G717" s="309">
        <f>'GA55'!G713</f>
        <v>0</v>
      </c>
      <c r="H717" s="231">
        <f>'GA55'!Q713</f>
        <v>0</v>
      </c>
    </row>
    <row r="718" spans="1:8" x14ac:dyDescent="0.2">
      <c r="A718" s="231">
        <f>'GA55'!A714</f>
        <v>0</v>
      </c>
      <c r="B718" s="231">
        <f>'GA55'!B714</f>
        <v>0</v>
      </c>
      <c r="C718" s="305">
        <f>'GA55'!C714</f>
        <v>0</v>
      </c>
      <c r="D718" s="231">
        <f>'GA55'!D714</f>
        <v>0</v>
      </c>
      <c r="E718" s="305">
        <f>'GA55'!E714</f>
        <v>0</v>
      </c>
      <c r="F718" s="231">
        <f>'GA55'!F714</f>
        <v>0</v>
      </c>
      <c r="G718" s="309">
        <f>'GA55'!G714</f>
        <v>0</v>
      </c>
      <c r="H718" s="231">
        <f>'GA55'!Q714</f>
        <v>0</v>
      </c>
    </row>
    <row r="719" spans="1:8" x14ac:dyDescent="0.2">
      <c r="A719" s="231">
        <f>'GA55'!A715</f>
        <v>0</v>
      </c>
      <c r="B719" s="231">
        <f>'GA55'!B715</f>
        <v>0</v>
      </c>
      <c r="C719" s="305">
        <f>'GA55'!C715</f>
        <v>0</v>
      </c>
      <c r="D719" s="231">
        <f>'GA55'!D715</f>
        <v>0</v>
      </c>
      <c r="E719" s="305">
        <f>'GA55'!E715</f>
        <v>0</v>
      </c>
      <c r="F719" s="231">
        <f>'GA55'!F715</f>
        <v>0</v>
      </c>
      <c r="G719" s="309">
        <f>'GA55'!G715</f>
        <v>0</v>
      </c>
      <c r="H719" s="231">
        <f>'GA55'!Q715</f>
        <v>0</v>
      </c>
    </row>
    <row r="720" spans="1:8" x14ac:dyDescent="0.2">
      <c r="A720" s="231">
        <f>'GA55'!A716</f>
        <v>0</v>
      </c>
      <c r="B720" s="231">
        <f>'GA55'!B716</f>
        <v>0</v>
      </c>
      <c r="C720" s="305">
        <f>'GA55'!C716</f>
        <v>0</v>
      </c>
      <c r="D720" s="231">
        <f>'GA55'!D716</f>
        <v>0</v>
      </c>
      <c r="E720" s="305">
        <f>'GA55'!E716</f>
        <v>0</v>
      </c>
      <c r="F720" s="231">
        <f>'GA55'!F716</f>
        <v>0</v>
      </c>
      <c r="G720" s="309">
        <f>'GA55'!G716</f>
        <v>0</v>
      </c>
      <c r="H720" s="231">
        <f>'GA55'!Q716</f>
        <v>0</v>
      </c>
    </row>
    <row r="721" spans="1:8" x14ac:dyDescent="0.2">
      <c r="A721" s="231">
        <f>'GA55'!A717</f>
        <v>0</v>
      </c>
      <c r="B721" s="231">
        <f>'GA55'!B717</f>
        <v>0</v>
      </c>
      <c r="C721" s="305">
        <f>'GA55'!C717</f>
        <v>0</v>
      </c>
      <c r="D721" s="231">
        <f>'GA55'!D717</f>
        <v>0</v>
      </c>
      <c r="E721" s="305">
        <f>'GA55'!E717</f>
        <v>0</v>
      </c>
      <c r="F721" s="231">
        <f>'GA55'!F717</f>
        <v>0</v>
      </c>
      <c r="G721" s="309">
        <f>'GA55'!G717</f>
        <v>0</v>
      </c>
      <c r="H721" s="231">
        <f>'GA55'!Q717</f>
        <v>0</v>
      </c>
    </row>
    <row r="722" spans="1:8" x14ac:dyDescent="0.2">
      <c r="A722" s="231">
        <f>'GA55'!A718</f>
        <v>0</v>
      </c>
      <c r="B722" s="231">
        <f>'GA55'!B718</f>
        <v>0</v>
      </c>
      <c r="C722" s="305">
        <f>'GA55'!C718</f>
        <v>0</v>
      </c>
      <c r="D722" s="231">
        <f>'GA55'!D718</f>
        <v>0</v>
      </c>
      <c r="E722" s="305">
        <f>'GA55'!E718</f>
        <v>0</v>
      </c>
      <c r="F722" s="231">
        <f>'GA55'!F718</f>
        <v>0</v>
      </c>
      <c r="G722" s="309">
        <f>'GA55'!G718</f>
        <v>0</v>
      </c>
      <c r="H722" s="231">
        <f>'GA55'!Q718</f>
        <v>0</v>
      </c>
    </row>
    <row r="723" spans="1:8" x14ac:dyDescent="0.2">
      <c r="A723" s="231">
        <f>'GA55'!A719</f>
        <v>0</v>
      </c>
      <c r="B723" s="231">
        <f>'GA55'!B719</f>
        <v>0</v>
      </c>
      <c r="C723" s="305">
        <f>'GA55'!C719</f>
        <v>0</v>
      </c>
      <c r="D723" s="231">
        <f>'GA55'!D719</f>
        <v>0</v>
      </c>
      <c r="E723" s="305">
        <f>'GA55'!E719</f>
        <v>0</v>
      </c>
      <c r="F723" s="231">
        <f>'GA55'!F719</f>
        <v>0</v>
      </c>
      <c r="G723" s="309">
        <f>'GA55'!G719</f>
        <v>0</v>
      </c>
      <c r="H723" s="231">
        <f>'GA55'!Q719</f>
        <v>0</v>
      </c>
    </row>
    <row r="724" spans="1:8" x14ac:dyDescent="0.2">
      <c r="A724" s="231">
        <f>'GA55'!A720</f>
        <v>0</v>
      </c>
      <c r="B724" s="231">
        <f>'GA55'!B720</f>
        <v>0</v>
      </c>
      <c r="C724" s="305">
        <f>'GA55'!C720</f>
        <v>0</v>
      </c>
      <c r="D724" s="231">
        <f>'GA55'!D720</f>
        <v>0</v>
      </c>
      <c r="E724" s="305">
        <f>'GA55'!E720</f>
        <v>0</v>
      </c>
      <c r="F724" s="231">
        <f>'GA55'!F720</f>
        <v>0</v>
      </c>
      <c r="G724" s="309">
        <f>'GA55'!G720</f>
        <v>0</v>
      </c>
      <c r="H724" s="231">
        <f>'GA55'!Q720</f>
        <v>0</v>
      </c>
    </row>
    <row r="725" spans="1:8" x14ac:dyDescent="0.2">
      <c r="A725" s="231">
        <f>'GA55'!A721</f>
        <v>0</v>
      </c>
      <c r="B725" s="231">
        <f>'GA55'!B721</f>
        <v>0</v>
      </c>
      <c r="C725" s="305">
        <f>'GA55'!C721</f>
        <v>0</v>
      </c>
      <c r="D725" s="231">
        <f>'GA55'!D721</f>
        <v>0</v>
      </c>
      <c r="E725" s="305">
        <f>'GA55'!E721</f>
        <v>0</v>
      </c>
      <c r="F725" s="231">
        <f>'GA55'!F721</f>
        <v>0</v>
      </c>
      <c r="G725" s="309">
        <f>'GA55'!G721</f>
        <v>0</v>
      </c>
      <c r="H725" s="231">
        <f>'GA55'!Q721</f>
        <v>0</v>
      </c>
    </row>
    <row r="726" spans="1:8" x14ac:dyDescent="0.2">
      <c r="A726" s="231">
        <f>'GA55'!A722</f>
        <v>0</v>
      </c>
      <c r="B726" s="231">
        <f>'GA55'!B722</f>
        <v>0</v>
      </c>
      <c r="C726" s="305">
        <f>'GA55'!C722</f>
        <v>0</v>
      </c>
      <c r="D726" s="231">
        <f>'GA55'!D722</f>
        <v>0</v>
      </c>
      <c r="E726" s="305">
        <f>'GA55'!E722</f>
        <v>0</v>
      </c>
      <c r="F726" s="231">
        <f>'GA55'!F722</f>
        <v>0</v>
      </c>
      <c r="G726" s="309">
        <f>'GA55'!G722</f>
        <v>0</v>
      </c>
      <c r="H726" s="231">
        <f>'GA55'!Q722</f>
        <v>0</v>
      </c>
    </row>
    <row r="727" spans="1:8" x14ac:dyDescent="0.2">
      <c r="A727" s="231">
        <f>'GA55'!A723</f>
        <v>0</v>
      </c>
      <c r="B727" s="231">
        <f>'GA55'!B723</f>
        <v>0</v>
      </c>
      <c r="C727" s="305">
        <f>'GA55'!C723</f>
        <v>0</v>
      </c>
      <c r="D727" s="231">
        <f>'GA55'!D723</f>
        <v>0</v>
      </c>
      <c r="E727" s="305">
        <f>'GA55'!E723</f>
        <v>0</v>
      </c>
      <c r="F727" s="231">
        <f>'GA55'!F723</f>
        <v>0</v>
      </c>
      <c r="G727" s="309">
        <f>'GA55'!G723</f>
        <v>0</v>
      </c>
      <c r="H727" s="231">
        <f>'GA55'!Q723</f>
        <v>0</v>
      </c>
    </row>
    <row r="728" spans="1:8" x14ac:dyDescent="0.2">
      <c r="A728" s="231">
        <f>'GA55'!A724</f>
        <v>0</v>
      </c>
      <c r="B728" s="231">
        <f>'GA55'!B724</f>
        <v>0</v>
      </c>
      <c r="C728" s="305">
        <f>'GA55'!C724</f>
        <v>0</v>
      </c>
      <c r="D728" s="231">
        <f>'GA55'!D724</f>
        <v>0</v>
      </c>
      <c r="E728" s="305">
        <f>'GA55'!E724</f>
        <v>0</v>
      </c>
      <c r="F728" s="231">
        <f>'GA55'!F724</f>
        <v>0</v>
      </c>
      <c r="G728" s="309">
        <f>'GA55'!G724</f>
        <v>0</v>
      </c>
      <c r="H728" s="231">
        <f>'GA55'!Q724</f>
        <v>0</v>
      </c>
    </row>
    <row r="729" spans="1:8" x14ac:dyDescent="0.2">
      <c r="A729" s="231">
        <f>'GA55'!A725</f>
        <v>0</v>
      </c>
      <c r="B729" s="231">
        <f>'GA55'!B725</f>
        <v>0</v>
      </c>
      <c r="C729" s="305">
        <f>'GA55'!C725</f>
        <v>0</v>
      </c>
      <c r="D729" s="231">
        <f>'GA55'!D725</f>
        <v>0</v>
      </c>
      <c r="E729" s="305">
        <f>'GA55'!E725</f>
        <v>0</v>
      </c>
      <c r="F729" s="231">
        <f>'GA55'!F725</f>
        <v>0</v>
      </c>
      <c r="G729" s="309">
        <f>'GA55'!G725</f>
        <v>0</v>
      </c>
      <c r="H729" s="231">
        <f>'GA55'!Q725</f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71B55-A182-4D98-8D6C-9A57B52E4207}">
  <dimension ref="A1:AC204"/>
  <sheetViews>
    <sheetView zoomScale="90" zoomScaleNormal="90" workbookViewId="0">
      <selection activeCell="E203" sqref="E203"/>
    </sheetView>
  </sheetViews>
  <sheetFormatPr defaultRowHeight="15" x14ac:dyDescent="0.25"/>
  <cols>
    <col min="1" max="1" width="4" bestFit="1" customWidth="1"/>
    <col min="2" max="2" width="11" bestFit="1" customWidth="1"/>
    <col min="3" max="3" width="12.28515625" bestFit="1" customWidth="1"/>
    <col min="4" max="4" width="8.85546875" bestFit="1" customWidth="1"/>
    <col min="5" max="5" width="12.28515625" bestFit="1" customWidth="1"/>
    <col min="6" max="6" width="9.7109375" bestFit="1" customWidth="1"/>
    <col min="7" max="7" width="33.140625" customWidth="1"/>
    <col min="8" max="8" width="8.140625" bestFit="1" customWidth="1"/>
    <col min="9" max="9" width="6.7109375" bestFit="1" customWidth="1"/>
    <col min="10" max="10" width="5" bestFit="1" customWidth="1"/>
    <col min="11" max="11" width="5.7109375" bestFit="1" customWidth="1"/>
    <col min="12" max="12" width="5" bestFit="1" customWidth="1"/>
    <col min="13" max="13" width="4" bestFit="1" customWidth="1"/>
    <col min="14" max="14" width="7" bestFit="1" customWidth="1"/>
    <col min="15" max="15" width="7" customWidth="1"/>
    <col min="17" max="17" width="6" bestFit="1" customWidth="1"/>
    <col min="18" max="18" width="6.28515625" bestFit="1" customWidth="1"/>
    <col min="19" max="20" width="5" bestFit="1" customWidth="1"/>
    <col min="21" max="21" width="5.5703125" bestFit="1" customWidth="1"/>
    <col min="22" max="22" width="6.7109375" bestFit="1" customWidth="1"/>
    <col min="23" max="24" width="5" bestFit="1" customWidth="1"/>
    <col min="25" max="25" width="4" bestFit="1" customWidth="1"/>
    <col min="26" max="26" width="5" bestFit="1" customWidth="1"/>
    <col min="27" max="27" width="7.28515625" bestFit="1" customWidth="1"/>
    <col min="28" max="28" width="9.5703125" bestFit="1" customWidth="1"/>
    <col min="29" max="29" width="26" customWidth="1"/>
  </cols>
  <sheetData>
    <row r="1" spans="1:29" x14ac:dyDescent="0.25">
      <c r="G1" s="133" t="s">
        <v>628</v>
      </c>
      <c r="H1" s="134">
        <v>46110</v>
      </c>
      <c r="X1">
        <f>COUNTA(Table1[GPF 2004])</f>
        <v>62</v>
      </c>
      <c r="AC1">
        <f>COUNTA(Table1[remark])</f>
        <v>8</v>
      </c>
    </row>
    <row r="2" spans="1:29" s="113" customFormat="1" ht="77.25" x14ac:dyDescent="0.25">
      <c r="A2" s="108" t="s">
        <v>0</v>
      </c>
      <c r="B2" s="109" t="s">
        <v>426</v>
      </c>
      <c r="C2" s="109" t="s">
        <v>427</v>
      </c>
      <c r="D2" s="109" t="s">
        <v>428</v>
      </c>
      <c r="E2" s="109" t="s">
        <v>429</v>
      </c>
      <c r="F2" s="109" t="s">
        <v>430</v>
      </c>
      <c r="G2" s="109" t="s">
        <v>1</v>
      </c>
      <c r="H2" s="109" t="s">
        <v>8</v>
      </c>
      <c r="I2" s="109" t="s">
        <v>10</v>
      </c>
      <c r="J2" s="109" t="s">
        <v>418</v>
      </c>
      <c r="K2" s="109" t="s">
        <v>13</v>
      </c>
      <c r="L2" s="109" t="s">
        <v>19</v>
      </c>
      <c r="M2" s="109" t="s">
        <v>417</v>
      </c>
      <c r="N2" s="109" t="s">
        <v>829</v>
      </c>
      <c r="O2" s="109" t="s">
        <v>916</v>
      </c>
      <c r="P2" s="109" t="s">
        <v>439</v>
      </c>
      <c r="Q2" s="110" t="s">
        <v>3</v>
      </c>
      <c r="R2" s="111" t="s">
        <v>832</v>
      </c>
      <c r="S2" s="111" t="s">
        <v>4</v>
      </c>
      <c r="T2" s="111" t="s">
        <v>5</v>
      </c>
      <c r="U2" s="111" t="s">
        <v>11</v>
      </c>
      <c r="V2" s="111" t="s">
        <v>12</v>
      </c>
      <c r="W2" s="111" t="s">
        <v>9</v>
      </c>
      <c r="X2" s="111" t="s">
        <v>392</v>
      </c>
      <c r="Y2" s="111" t="s">
        <v>472</v>
      </c>
      <c r="Z2" s="111" t="s">
        <v>748</v>
      </c>
      <c r="AA2" s="111" t="s">
        <v>6</v>
      </c>
      <c r="AB2" s="112" t="s">
        <v>7</v>
      </c>
      <c r="AC2" s="112" t="s">
        <v>551</v>
      </c>
    </row>
    <row r="3" spans="1:29" x14ac:dyDescent="0.25">
      <c r="A3" s="214">
        <f t="shared" ref="A3:A66" si="0">IFERROR(VALUE(A2),0)+1</f>
        <v>1</v>
      </c>
      <c r="B3" s="214">
        <v>91</v>
      </c>
      <c r="C3" s="225">
        <v>41711</v>
      </c>
      <c r="D3" s="214">
        <v>48188</v>
      </c>
      <c r="E3" s="225">
        <v>41713</v>
      </c>
      <c r="F3" s="214" t="s">
        <v>21</v>
      </c>
      <c r="G3" s="140">
        <v>41518</v>
      </c>
      <c r="H3" s="214">
        <v>2088</v>
      </c>
      <c r="I3" s="214"/>
      <c r="J3" s="214"/>
      <c r="K3" s="214"/>
      <c r="L3" s="214"/>
      <c r="M3" s="214"/>
      <c r="N3" s="214"/>
      <c r="O3" s="214"/>
      <c r="P3" s="215">
        <f t="shared" ref="P3:P34" si="1">SUM(H3:O3)</f>
        <v>2088</v>
      </c>
      <c r="Q3" s="214"/>
      <c r="R3" s="214"/>
      <c r="S3" s="214"/>
      <c r="T3" s="214"/>
      <c r="U3" s="214"/>
      <c r="V3" s="214"/>
      <c r="W3" s="214"/>
      <c r="X3" s="214"/>
      <c r="Y3" s="214"/>
      <c r="Z3" s="214"/>
      <c r="AA3" s="216">
        <f t="shared" ref="AA3:AA34" si="2">SUM(Q3:Z3)</f>
        <v>0</v>
      </c>
      <c r="AB3" s="217">
        <f>P3-AA3</f>
        <v>2088</v>
      </c>
      <c r="AC3" s="214"/>
    </row>
    <row r="4" spans="1:29" x14ac:dyDescent="0.25">
      <c r="A4" s="214">
        <f t="shared" si="0"/>
        <v>2</v>
      </c>
      <c r="B4" s="214">
        <v>92</v>
      </c>
      <c r="C4" s="225">
        <v>41711</v>
      </c>
      <c r="D4" s="214">
        <v>48189</v>
      </c>
      <c r="E4" s="225">
        <v>41713</v>
      </c>
      <c r="F4" s="214" t="s">
        <v>21</v>
      </c>
      <c r="G4" s="140">
        <v>41548</v>
      </c>
      <c r="H4" s="214">
        <v>8950</v>
      </c>
      <c r="I4" s="214"/>
      <c r="J4" s="214"/>
      <c r="K4" s="214"/>
      <c r="L4" s="214"/>
      <c r="M4" s="214"/>
      <c r="N4" s="214"/>
      <c r="O4" s="214"/>
      <c r="P4" s="215">
        <f t="shared" si="1"/>
        <v>8950</v>
      </c>
      <c r="Q4" s="214"/>
      <c r="R4" s="214"/>
      <c r="S4" s="214"/>
      <c r="T4" s="214"/>
      <c r="U4" s="214"/>
      <c r="V4" s="214"/>
      <c r="W4" s="214"/>
      <c r="X4" s="214"/>
      <c r="Y4" s="214"/>
      <c r="Z4" s="214"/>
      <c r="AA4" s="216">
        <f t="shared" si="2"/>
        <v>0</v>
      </c>
      <c r="AB4" s="217">
        <f t="shared" ref="AB4:AB67" si="3">P4-AA4</f>
        <v>8950</v>
      </c>
      <c r="AC4" s="214"/>
    </row>
    <row r="5" spans="1:29" x14ac:dyDescent="0.25">
      <c r="A5" s="214">
        <f t="shared" si="0"/>
        <v>3</v>
      </c>
      <c r="B5" s="214">
        <v>93</v>
      </c>
      <c r="C5" s="225">
        <v>41711</v>
      </c>
      <c r="D5" s="214">
        <v>48190</v>
      </c>
      <c r="E5" s="225">
        <v>41713</v>
      </c>
      <c r="F5" s="214" t="s">
        <v>21</v>
      </c>
      <c r="G5" s="140">
        <v>41579</v>
      </c>
      <c r="H5" s="214">
        <v>8950</v>
      </c>
      <c r="I5" s="214"/>
      <c r="J5" s="214"/>
      <c r="K5" s="214"/>
      <c r="L5" s="214"/>
      <c r="M5" s="214"/>
      <c r="N5" s="214"/>
      <c r="O5" s="214"/>
      <c r="P5" s="215">
        <f t="shared" si="1"/>
        <v>8950</v>
      </c>
      <c r="Q5" s="214"/>
      <c r="R5" s="214"/>
      <c r="S5" s="214"/>
      <c r="T5" s="214"/>
      <c r="U5" s="214"/>
      <c r="V5" s="214"/>
      <c r="W5" s="214"/>
      <c r="X5" s="214"/>
      <c r="Y5" s="214"/>
      <c r="Z5" s="214"/>
      <c r="AA5" s="216">
        <f t="shared" si="2"/>
        <v>0</v>
      </c>
      <c r="AB5" s="217">
        <f t="shared" si="3"/>
        <v>8950</v>
      </c>
      <c r="AC5" s="214"/>
    </row>
    <row r="6" spans="1:29" x14ac:dyDescent="0.25">
      <c r="A6" s="214">
        <f t="shared" si="0"/>
        <v>4</v>
      </c>
      <c r="B6" s="214">
        <v>94</v>
      </c>
      <c r="C6" s="225">
        <v>41711</v>
      </c>
      <c r="D6" s="214">
        <v>48191</v>
      </c>
      <c r="E6" s="225">
        <v>41713</v>
      </c>
      <c r="F6" s="214" t="s">
        <v>21</v>
      </c>
      <c r="G6" s="140">
        <v>41609</v>
      </c>
      <c r="H6" s="214">
        <v>8950</v>
      </c>
      <c r="I6" s="214"/>
      <c r="J6" s="214"/>
      <c r="K6" s="214"/>
      <c r="L6" s="214"/>
      <c r="M6" s="214"/>
      <c r="N6" s="214"/>
      <c r="O6" s="214"/>
      <c r="P6" s="215">
        <f t="shared" si="1"/>
        <v>8950</v>
      </c>
      <c r="Q6" s="214"/>
      <c r="R6" s="214"/>
      <c r="S6" s="214"/>
      <c r="T6" s="214"/>
      <c r="U6" s="214"/>
      <c r="V6" s="214"/>
      <c r="W6" s="214"/>
      <c r="X6" s="214"/>
      <c r="Y6" s="214"/>
      <c r="Z6" s="214"/>
      <c r="AA6" s="216">
        <f t="shared" si="2"/>
        <v>0</v>
      </c>
      <c r="AB6" s="217">
        <f t="shared" si="3"/>
        <v>8950</v>
      </c>
      <c r="AC6" s="214"/>
    </row>
    <row r="7" spans="1:29" x14ac:dyDescent="0.25">
      <c r="A7" s="214">
        <f t="shared" si="0"/>
        <v>5</v>
      </c>
      <c r="B7" s="214">
        <v>95</v>
      </c>
      <c r="C7" s="225">
        <v>41711</v>
      </c>
      <c r="D7" s="214">
        <v>48174</v>
      </c>
      <c r="E7" s="225">
        <v>41713</v>
      </c>
      <c r="F7" s="214" t="s">
        <v>21</v>
      </c>
      <c r="G7" s="140">
        <v>41640</v>
      </c>
      <c r="H7" s="214">
        <v>8950</v>
      </c>
      <c r="I7" s="214"/>
      <c r="J7" s="214"/>
      <c r="K7" s="214"/>
      <c r="L7" s="214"/>
      <c r="M7" s="214"/>
      <c r="N7" s="214"/>
      <c r="O7" s="214"/>
      <c r="P7" s="215">
        <f t="shared" si="1"/>
        <v>8950</v>
      </c>
      <c r="Q7" s="214"/>
      <c r="R7" s="214"/>
      <c r="S7" s="214"/>
      <c r="T7" s="214"/>
      <c r="U7" s="214"/>
      <c r="V7" s="214"/>
      <c r="W7" s="214"/>
      <c r="X7" s="214"/>
      <c r="Y7" s="214"/>
      <c r="Z7" s="214"/>
      <c r="AA7" s="216">
        <f t="shared" si="2"/>
        <v>0</v>
      </c>
      <c r="AB7" s="217">
        <f t="shared" si="3"/>
        <v>8950</v>
      </c>
      <c r="AC7" s="214"/>
    </row>
    <row r="8" spans="1:29" x14ac:dyDescent="0.25">
      <c r="A8" s="214">
        <f t="shared" si="0"/>
        <v>6</v>
      </c>
      <c r="B8" s="214">
        <v>96</v>
      </c>
      <c r="C8" s="225">
        <v>41711</v>
      </c>
      <c r="D8" s="214">
        <v>48175</v>
      </c>
      <c r="E8" s="225">
        <v>41713</v>
      </c>
      <c r="F8" s="214" t="s">
        <v>21</v>
      </c>
      <c r="G8" s="140">
        <v>41671</v>
      </c>
      <c r="H8" s="214">
        <v>8950</v>
      </c>
      <c r="I8" s="214"/>
      <c r="J8" s="214"/>
      <c r="K8" s="214"/>
      <c r="L8" s="214"/>
      <c r="M8" s="214"/>
      <c r="N8" s="214"/>
      <c r="O8" s="214"/>
      <c r="P8" s="215">
        <f t="shared" si="1"/>
        <v>8950</v>
      </c>
      <c r="Q8" s="214"/>
      <c r="R8" s="214"/>
      <c r="S8" s="214"/>
      <c r="T8" s="214"/>
      <c r="U8" s="214"/>
      <c r="V8" s="214"/>
      <c r="W8" s="214"/>
      <c r="X8" s="214"/>
      <c r="Y8" s="214"/>
      <c r="Z8" s="214"/>
      <c r="AA8" s="216">
        <f t="shared" si="2"/>
        <v>0</v>
      </c>
      <c r="AB8" s="217">
        <f t="shared" si="3"/>
        <v>8950</v>
      </c>
      <c r="AC8" s="214"/>
    </row>
    <row r="9" spans="1:29" x14ac:dyDescent="0.25">
      <c r="A9" s="214">
        <f t="shared" si="0"/>
        <v>7</v>
      </c>
      <c r="B9" s="214">
        <v>2</v>
      </c>
      <c r="C9" s="225">
        <v>41732</v>
      </c>
      <c r="D9" s="214">
        <v>268</v>
      </c>
      <c r="E9" s="225">
        <v>41736</v>
      </c>
      <c r="F9" s="214" t="s">
        <v>20</v>
      </c>
      <c r="G9" s="140">
        <v>41699</v>
      </c>
      <c r="H9" s="214">
        <v>8950</v>
      </c>
      <c r="I9" s="214"/>
      <c r="J9" s="214"/>
      <c r="K9" s="214"/>
      <c r="L9" s="214"/>
      <c r="M9" s="214"/>
      <c r="N9" s="214"/>
      <c r="O9" s="214"/>
      <c r="P9" s="215">
        <f t="shared" si="1"/>
        <v>8950</v>
      </c>
      <c r="Q9" s="214"/>
      <c r="R9" s="214"/>
      <c r="S9" s="214"/>
      <c r="T9" s="214"/>
      <c r="U9" s="214"/>
      <c r="V9" s="214"/>
      <c r="W9" s="214"/>
      <c r="X9" s="214"/>
      <c r="Y9" s="214"/>
      <c r="Z9" s="214"/>
      <c r="AA9" s="216">
        <f t="shared" si="2"/>
        <v>0</v>
      </c>
      <c r="AB9" s="217">
        <f t="shared" si="3"/>
        <v>8950</v>
      </c>
      <c r="AC9" s="214"/>
    </row>
    <row r="10" spans="1:29" x14ac:dyDescent="0.25">
      <c r="A10" s="214">
        <f t="shared" si="0"/>
        <v>8</v>
      </c>
      <c r="B10" s="214">
        <v>5</v>
      </c>
      <c r="C10" s="225">
        <v>41757</v>
      </c>
      <c r="D10" s="214">
        <v>3591</v>
      </c>
      <c r="E10" s="225">
        <v>41761</v>
      </c>
      <c r="F10" s="214" t="s">
        <v>20</v>
      </c>
      <c r="G10" s="140">
        <v>41730</v>
      </c>
      <c r="H10" s="214">
        <v>8950</v>
      </c>
      <c r="I10" s="214"/>
      <c r="J10" s="214"/>
      <c r="K10" s="214"/>
      <c r="L10" s="214"/>
      <c r="M10" s="214"/>
      <c r="N10" s="214"/>
      <c r="O10" s="214"/>
      <c r="P10" s="215">
        <f t="shared" si="1"/>
        <v>8950</v>
      </c>
      <c r="Q10" s="214"/>
      <c r="R10" s="214"/>
      <c r="S10" s="214"/>
      <c r="T10" s="214">
        <v>220</v>
      </c>
      <c r="U10" s="214">
        <v>27.19</v>
      </c>
      <c r="V10" s="214"/>
      <c r="W10" s="214"/>
      <c r="X10" s="214"/>
      <c r="Y10" s="214"/>
      <c r="Z10" s="214"/>
      <c r="AA10" s="216">
        <f t="shared" si="2"/>
        <v>247.19</v>
      </c>
      <c r="AB10" s="217">
        <f t="shared" si="3"/>
        <v>8702.81</v>
      </c>
      <c r="AC10" s="214"/>
    </row>
    <row r="11" spans="1:29" x14ac:dyDescent="0.25">
      <c r="A11" s="214">
        <f t="shared" si="0"/>
        <v>9</v>
      </c>
      <c r="B11" s="214">
        <v>11</v>
      </c>
      <c r="C11" s="225">
        <v>41767</v>
      </c>
      <c r="D11" s="214">
        <v>11212</v>
      </c>
      <c r="E11" s="225">
        <v>41822</v>
      </c>
      <c r="F11" s="214" t="s">
        <v>20</v>
      </c>
      <c r="G11" s="140">
        <v>41760</v>
      </c>
      <c r="H11" s="214">
        <v>8950</v>
      </c>
      <c r="I11" s="214"/>
      <c r="J11" s="214"/>
      <c r="K11" s="214"/>
      <c r="L11" s="214"/>
      <c r="M11" s="214"/>
      <c r="N11" s="214"/>
      <c r="O11" s="214"/>
      <c r="P11" s="215">
        <f t="shared" si="1"/>
        <v>8950</v>
      </c>
      <c r="Q11" s="214"/>
      <c r="R11" s="214"/>
      <c r="S11" s="214"/>
      <c r="T11" s="214"/>
      <c r="U11" s="214"/>
      <c r="V11" s="214"/>
      <c r="W11" s="214"/>
      <c r="X11" s="214"/>
      <c r="Y11" s="214"/>
      <c r="Z11" s="214"/>
      <c r="AA11" s="216">
        <f t="shared" si="2"/>
        <v>0</v>
      </c>
      <c r="AB11" s="217">
        <f t="shared" si="3"/>
        <v>8950</v>
      </c>
      <c r="AC11" s="214"/>
    </row>
    <row r="12" spans="1:29" x14ac:dyDescent="0.25">
      <c r="A12" s="214">
        <f t="shared" si="0"/>
        <v>10</v>
      </c>
      <c r="B12" s="214">
        <v>13</v>
      </c>
      <c r="C12" s="225">
        <v>41820</v>
      </c>
      <c r="D12" s="214">
        <v>17812</v>
      </c>
      <c r="E12" s="225">
        <v>41872</v>
      </c>
      <c r="F12" s="214" t="s">
        <v>20</v>
      </c>
      <c r="G12" s="140">
        <v>41791</v>
      </c>
      <c r="H12" s="214">
        <v>8950</v>
      </c>
      <c r="I12" s="214"/>
      <c r="J12" s="214"/>
      <c r="K12" s="214"/>
      <c r="L12" s="214"/>
      <c r="M12" s="214"/>
      <c r="N12" s="214"/>
      <c r="O12" s="214"/>
      <c r="P12" s="215">
        <f t="shared" si="1"/>
        <v>8950</v>
      </c>
      <c r="Q12" s="214"/>
      <c r="R12" s="214"/>
      <c r="S12" s="214"/>
      <c r="T12" s="214"/>
      <c r="U12" s="214"/>
      <c r="V12" s="214"/>
      <c r="W12" s="214"/>
      <c r="X12" s="214"/>
      <c r="Y12" s="214"/>
      <c r="Z12" s="214"/>
      <c r="AA12" s="216">
        <f t="shared" si="2"/>
        <v>0</v>
      </c>
      <c r="AB12" s="217">
        <f t="shared" si="3"/>
        <v>8950</v>
      </c>
      <c r="AC12" s="214"/>
    </row>
    <row r="13" spans="1:29" x14ac:dyDescent="0.25">
      <c r="A13" s="214">
        <f t="shared" si="0"/>
        <v>11</v>
      </c>
      <c r="B13" s="214">
        <v>16</v>
      </c>
      <c r="C13" s="225">
        <v>41848</v>
      </c>
      <c r="D13" s="214">
        <v>14902</v>
      </c>
      <c r="E13" s="225">
        <v>41852</v>
      </c>
      <c r="F13" s="214" t="s">
        <v>20</v>
      </c>
      <c r="G13" s="140">
        <v>41821</v>
      </c>
      <c r="H13" s="214">
        <v>8950</v>
      </c>
      <c r="I13" s="214"/>
      <c r="J13" s="214"/>
      <c r="K13" s="214"/>
      <c r="L13" s="214"/>
      <c r="M13" s="214"/>
      <c r="N13" s="214"/>
      <c r="O13" s="214"/>
      <c r="P13" s="215">
        <f t="shared" si="1"/>
        <v>8950</v>
      </c>
      <c r="Q13" s="214"/>
      <c r="R13" s="214"/>
      <c r="S13" s="214"/>
      <c r="T13" s="214"/>
      <c r="U13" s="214"/>
      <c r="V13" s="214"/>
      <c r="W13" s="214"/>
      <c r="X13" s="214"/>
      <c r="Y13" s="214"/>
      <c r="Z13" s="214"/>
      <c r="AA13" s="216">
        <f t="shared" si="2"/>
        <v>0</v>
      </c>
      <c r="AB13" s="217">
        <f t="shared" si="3"/>
        <v>8950</v>
      </c>
      <c r="AC13" s="214"/>
    </row>
    <row r="14" spans="1:29" x14ac:dyDescent="0.25">
      <c r="A14" s="214">
        <f t="shared" si="0"/>
        <v>12</v>
      </c>
      <c r="B14" s="214">
        <v>19</v>
      </c>
      <c r="C14" s="225">
        <v>41877</v>
      </c>
      <c r="D14" s="214">
        <v>19307</v>
      </c>
      <c r="E14" s="225">
        <v>41883</v>
      </c>
      <c r="F14" s="214" t="s">
        <v>20</v>
      </c>
      <c r="G14" s="140">
        <v>41852</v>
      </c>
      <c r="H14" s="214">
        <v>8950</v>
      </c>
      <c r="I14" s="214"/>
      <c r="J14" s="214"/>
      <c r="K14" s="214"/>
      <c r="L14" s="214"/>
      <c r="M14" s="214"/>
      <c r="N14" s="214"/>
      <c r="O14" s="214"/>
      <c r="P14" s="215">
        <f t="shared" si="1"/>
        <v>8950</v>
      </c>
      <c r="Q14" s="214"/>
      <c r="R14" s="214"/>
      <c r="S14" s="214"/>
      <c r="T14" s="214"/>
      <c r="U14" s="214"/>
      <c r="V14" s="214"/>
      <c r="W14" s="214"/>
      <c r="X14" s="214"/>
      <c r="Y14" s="214"/>
      <c r="Z14" s="214"/>
      <c r="AA14" s="216">
        <f t="shared" si="2"/>
        <v>0</v>
      </c>
      <c r="AB14" s="217">
        <f t="shared" si="3"/>
        <v>8950</v>
      </c>
      <c r="AC14" s="214"/>
    </row>
    <row r="15" spans="1:29" x14ac:dyDescent="0.25">
      <c r="A15" s="214">
        <f t="shared" si="0"/>
        <v>13</v>
      </c>
      <c r="B15" s="214">
        <v>25</v>
      </c>
      <c r="C15" s="225">
        <v>41912</v>
      </c>
      <c r="D15" s="214">
        <v>25673</v>
      </c>
      <c r="E15" s="225">
        <v>41920</v>
      </c>
      <c r="F15" s="214" t="s">
        <v>20</v>
      </c>
      <c r="G15" s="140">
        <v>41883</v>
      </c>
      <c r="H15" s="214">
        <v>8950</v>
      </c>
      <c r="I15" s="214"/>
      <c r="J15" s="214"/>
      <c r="K15" s="214"/>
      <c r="L15" s="214"/>
      <c r="M15" s="214"/>
      <c r="N15" s="214"/>
      <c r="O15" s="214"/>
      <c r="P15" s="215">
        <f t="shared" si="1"/>
        <v>8950</v>
      </c>
      <c r="Q15" s="214"/>
      <c r="R15" s="214"/>
      <c r="S15" s="214"/>
      <c r="T15" s="214"/>
      <c r="U15" s="214"/>
      <c r="V15" s="214">
        <v>269</v>
      </c>
      <c r="W15" s="214"/>
      <c r="X15" s="214"/>
      <c r="Y15" s="214"/>
      <c r="Z15" s="214"/>
      <c r="AA15" s="216">
        <f t="shared" si="2"/>
        <v>269</v>
      </c>
      <c r="AB15" s="217">
        <f t="shared" si="3"/>
        <v>8681</v>
      </c>
      <c r="AC15" s="214"/>
    </row>
    <row r="16" spans="1:29" x14ac:dyDescent="0.25">
      <c r="A16" s="214">
        <f t="shared" si="0"/>
        <v>14</v>
      </c>
      <c r="B16" s="214">
        <v>34</v>
      </c>
      <c r="C16" s="225">
        <v>41941</v>
      </c>
      <c r="D16" s="214">
        <v>30648</v>
      </c>
      <c r="E16" s="225">
        <v>41944</v>
      </c>
      <c r="F16" s="214" t="s">
        <v>20</v>
      </c>
      <c r="G16" s="140">
        <v>41913</v>
      </c>
      <c r="H16" s="214">
        <v>8950</v>
      </c>
      <c r="I16" s="214"/>
      <c r="J16" s="214"/>
      <c r="K16" s="214"/>
      <c r="L16" s="214"/>
      <c r="M16" s="214"/>
      <c r="N16" s="214"/>
      <c r="O16" s="214"/>
      <c r="P16" s="215">
        <f t="shared" si="1"/>
        <v>8950</v>
      </c>
      <c r="Q16" s="214"/>
      <c r="R16" s="214"/>
      <c r="S16" s="214"/>
      <c r="T16" s="214"/>
      <c r="U16" s="214"/>
      <c r="V16" s="214">
        <v>269</v>
      </c>
      <c r="W16" s="214"/>
      <c r="X16" s="214"/>
      <c r="Y16" s="214"/>
      <c r="Z16" s="214"/>
      <c r="AA16" s="216">
        <f t="shared" si="2"/>
        <v>269</v>
      </c>
      <c r="AB16" s="217">
        <f t="shared" si="3"/>
        <v>8681</v>
      </c>
      <c r="AC16" s="214"/>
    </row>
    <row r="17" spans="1:29" x14ac:dyDescent="0.25">
      <c r="A17" s="214">
        <f t="shared" si="0"/>
        <v>15</v>
      </c>
      <c r="B17" s="214">
        <v>71</v>
      </c>
      <c r="C17" s="225">
        <v>42062</v>
      </c>
      <c r="D17" s="214">
        <v>43520</v>
      </c>
      <c r="E17" s="225">
        <v>42073</v>
      </c>
      <c r="F17" s="214" t="s">
        <v>20</v>
      </c>
      <c r="G17" s="140">
        <v>41944</v>
      </c>
      <c r="H17" s="214">
        <v>10740</v>
      </c>
      <c r="I17" s="214"/>
      <c r="J17" s="214"/>
      <c r="K17" s="214"/>
      <c r="L17" s="214"/>
      <c r="M17" s="214"/>
      <c r="N17" s="214"/>
      <c r="O17" s="214"/>
      <c r="P17" s="215">
        <f t="shared" si="1"/>
        <v>10740</v>
      </c>
      <c r="Q17" s="214"/>
      <c r="R17" s="214"/>
      <c r="S17" s="214"/>
      <c r="T17" s="214"/>
      <c r="U17" s="214"/>
      <c r="V17" s="214"/>
      <c r="W17" s="214"/>
      <c r="X17" s="214"/>
      <c r="Y17" s="214"/>
      <c r="Z17" s="214"/>
      <c r="AA17" s="216">
        <f t="shared" si="2"/>
        <v>0</v>
      </c>
      <c r="AB17" s="217">
        <f t="shared" si="3"/>
        <v>10740</v>
      </c>
      <c r="AC17" s="214"/>
    </row>
    <row r="18" spans="1:29" x14ac:dyDescent="0.25">
      <c r="A18" s="214">
        <f t="shared" si="0"/>
        <v>16</v>
      </c>
      <c r="B18" s="214">
        <v>59</v>
      </c>
      <c r="C18" s="225">
        <v>41999</v>
      </c>
      <c r="D18" s="214">
        <v>36092</v>
      </c>
      <c r="E18" s="225">
        <v>42005</v>
      </c>
      <c r="F18" s="214" t="s">
        <v>20</v>
      </c>
      <c r="G18" s="140">
        <v>41974</v>
      </c>
      <c r="H18" s="214">
        <v>10740</v>
      </c>
      <c r="I18" s="214"/>
      <c r="J18" s="214"/>
      <c r="K18" s="214"/>
      <c r="L18" s="214"/>
      <c r="M18" s="214"/>
      <c r="N18" s="214"/>
      <c r="O18" s="214"/>
      <c r="P18" s="215">
        <f t="shared" si="1"/>
        <v>10740</v>
      </c>
      <c r="Q18" s="214"/>
      <c r="R18" s="214"/>
      <c r="S18" s="214"/>
      <c r="T18" s="214"/>
      <c r="U18" s="214"/>
      <c r="V18" s="214"/>
      <c r="W18" s="214"/>
      <c r="X18" s="214"/>
      <c r="Y18" s="214"/>
      <c r="Z18" s="214"/>
      <c r="AA18" s="216">
        <f t="shared" si="2"/>
        <v>0</v>
      </c>
      <c r="AB18" s="217">
        <f t="shared" si="3"/>
        <v>10740</v>
      </c>
      <c r="AC18" s="214"/>
    </row>
    <row r="19" spans="1:29" x14ac:dyDescent="0.25">
      <c r="A19" s="214">
        <f t="shared" si="0"/>
        <v>17</v>
      </c>
      <c r="B19" s="214">
        <v>60</v>
      </c>
      <c r="C19" s="225">
        <v>42032</v>
      </c>
      <c r="D19" s="214">
        <v>38855</v>
      </c>
      <c r="E19" s="225">
        <v>42037</v>
      </c>
      <c r="F19" s="214" t="s">
        <v>20</v>
      </c>
      <c r="G19" s="140">
        <v>42005</v>
      </c>
      <c r="H19" s="214">
        <v>10740</v>
      </c>
      <c r="I19" s="214"/>
      <c r="J19" s="214"/>
      <c r="K19" s="214"/>
      <c r="L19" s="214"/>
      <c r="M19" s="214"/>
      <c r="N19" s="214"/>
      <c r="O19" s="214"/>
      <c r="P19" s="215">
        <f t="shared" si="1"/>
        <v>10740</v>
      </c>
      <c r="Q19" s="214"/>
      <c r="R19" s="214"/>
      <c r="S19" s="214"/>
      <c r="T19" s="214"/>
      <c r="U19" s="214"/>
      <c r="V19" s="214"/>
      <c r="W19" s="214"/>
      <c r="X19" s="214"/>
      <c r="Y19" s="214"/>
      <c r="Z19" s="214"/>
      <c r="AA19" s="216">
        <f t="shared" si="2"/>
        <v>0</v>
      </c>
      <c r="AB19" s="217">
        <f t="shared" si="3"/>
        <v>10740</v>
      </c>
      <c r="AC19" s="214"/>
    </row>
    <row r="20" spans="1:29" x14ac:dyDescent="0.25">
      <c r="A20" s="214">
        <f t="shared" si="0"/>
        <v>18</v>
      </c>
      <c r="B20" s="214">
        <v>70</v>
      </c>
      <c r="C20" s="225">
        <v>42061</v>
      </c>
      <c r="D20" s="214">
        <v>42763</v>
      </c>
      <c r="E20" s="225">
        <v>42066</v>
      </c>
      <c r="F20" s="214" t="s">
        <v>20</v>
      </c>
      <c r="G20" s="140">
        <v>42036</v>
      </c>
      <c r="H20" s="214">
        <v>10740</v>
      </c>
      <c r="I20" s="214"/>
      <c r="J20" s="214"/>
      <c r="K20" s="214"/>
      <c r="L20" s="214"/>
      <c r="M20" s="214"/>
      <c r="N20" s="214"/>
      <c r="O20" s="214"/>
      <c r="P20" s="215">
        <f t="shared" si="1"/>
        <v>10740</v>
      </c>
      <c r="Q20" s="214"/>
      <c r="R20" s="214"/>
      <c r="S20" s="214"/>
      <c r="T20" s="214"/>
      <c r="U20" s="214"/>
      <c r="V20" s="214"/>
      <c r="W20" s="214"/>
      <c r="X20" s="214"/>
      <c r="Y20" s="214"/>
      <c r="Z20" s="214"/>
      <c r="AA20" s="216">
        <f t="shared" si="2"/>
        <v>0</v>
      </c>
      <c r="AB20" s="217">
        <f t="shared" si="3"/>
        <v>10740</v>
      </c>
      <c r="AC20" s="214"/>
    </row>
    <row r="21" spans="1:29" x14ac:dyDescent="0.25">
      <c r="A21" s="214">
        <f t="shared" si="0"/>
        <v>19</v>
      </c>
      <c r="B21" s="214">
        <v>2</v>
      </c>
      <c r="C21" s="225">
        <v>42107</v>
      </c>
      <c r="D21" s="214">
        <v>2031</v>
      </c>
      <c r="E21" s="225">
        <v>42115</v>
      </c>
      <c r="F21" s="214" t="s">
        <v>22</v>
      </c>
      <c r="G21" s="140">
        <v>42064</v>
      </c>
      <c r="H21" s="214">
        <v>10740</v>
      </c>
      <c r="I21" s="214"/>
      <c r="J21" s="214"/>
      <c r="K21" s="214"/>
      <c r="L21" s="214"/>
      <c r="M21" s="214"/>
      <c r="N21" s="214"/>
      <c r="O21" s="214"/>
      <c r="P21" s="215">
        <f t="shared" si="1"/>
        <v>10740</v>
      </c>
      <c r="Q21" s="214"/>
      <c r="R21" s="214"/>
      <c r="S21" s="214"/>
      <c r="T21" s="214"/>
      <c r="U21" s="214"/>
      <c r="V21" s="214"/>
      <c r="W21" s="214"/>
      <c r="X21" s="214"/>
      <c r="Y21" s="214"/>
      <c r="Z21" s="214"/>
      <c r="AA21" s="216">
        <f t="shared" si="2"/>
        <v>0</v>
      </c>
      <c r="AB21" s="217">
        <f t="shared" si="3"/>
        <v>10740</v>
      </c>
      <c r="AC21" s="214"/>
    </row>
    <row r="22" spans="1:29" x14ac:dyDescent="0.25">
      <c r="A22" s="214">
        <f t="shared" si="0"/>
        <v>20</v>
      </c>
      <c r="B22" s="214">
        <v>16</v>
      </c>
      <c r="C22" s="225">
        <v>42123</v>
      </c>
      <c r="D22" s="214">
        <v>4188</v>
      </c>
      <c r="E22" s="225">
        <v>42128</v>
      </c>
      <c r="F22" s="214" t="s">
        <v>22</v>
      </c>
      <c r="G22" s="140">
        <v>42095</v>
      </c>
      <c r="H22" s="214">
        <v>10740</v>
      </c>
      <c r="I22" s="214"/>
      <c r="J22" s="214"/>
      <c r="K22" s="214"/>
      <c r="L22" s="214"/>
      <c r="M22" s="214"/>
      <c r="N22" s="214"/>
      <c r="O22" s="214"/>
      <c r="P22" s="215">
        <f t="shared" si="1"/>
        <v>10740</v>
      </c>
      <c r="Q22" s="214"/>
      <c r="R22" s="214"/>
      <c r="S22" s="214"/>
      <c r="T22" s="214">
        <v>220</v>
      </c>
      <c r="U22" s="214">
        <v>27.19</v>
      </c>
      <c r="V22" s="214"/>
      <c r="W22" s="214"/>
      <c r="X22" s="214"/>
      <c r="Y22" s="214"/>
      <c r="Z22" s="214"/>
      <c r="AA22" s="216">
        <f t="shared" si="2"/>
        <v>247.19</v>
      </c>
      <c r="AB22" s="217">
        <f t="shared" si="3"/>
        <v>10492.81</v>
      </c>
      <c r="AC22" s="214"/>
    </row>
    <row r="23" spans="1:29" x14ac:dyDescent="0.25">
      <c r="A23" s="214">
        <f t="shared" si="0"/>
        <v>21</v>
      </c>
      <c r="B23" s="214">
        <v>57</v>
      </c>
      <c r="C23" s="225">
        <v>42276</v>
      </c>
      <c r="D23" s="214">
        <v>23777</v>
      </c>
      <c r="E23" s="225">
        <v>42278</v>
      </c>
      <c r="F23" s="214" t="s">
        <v>22</v>
      </c>
      <c r="G23" s="140">
        <v>42125</v>
      </c>
      <c r="H23" s="214">
        <v>10740</v>
      </c>
      <c r="I23" s="214"/>
      <c r="J23" s="214"/>
      <c r="K23" s="214"/>
      <c r="L23" s="214"/>
      <c r="M23" s="214"/>
      <c r="N23" s="214"/>
      <c r="O23" s="214"/>
      <c r="P23" s="215">
        <f t="shared" si="1"/>
        <v>10740</v>
      </c>
      <c r="Q23" s="214"/>
      <c r="R23" s="214"/>
      <c r="S23" s="214"/>
      <c r="T23" s="214"/>
      <c r="U23" s="214"/>
      <c r="V23" s="214"/>
      <c r="W23" s="214"/>
      <c r="X23" s="214"/>
      <c r="Y23" s="214"/>
      <c r="Z23" s="214"/>
      <c r="AA23" s="216">
        <f t="shared" si="2"/>
        <v>0</v>
      </c>
      <c r="AB23" s="217">
        <f t="shared" si="3"/>
        <v>10740</v>
      </c>
      <c r="AC23" s="214"/>
    </row>
    <row r="24" spans="1:29" x14ac:dyDescent="0.25">
      <c r="A24" s="214">
        <f t="shared" si="0"/>
        <v>22</v>
      </c>
      <c r="B24" s="214">
        <v>58</v>
      </c>
      <c r="C24" s="225">
        <v>42276</v>
      </c>
      <c r="D24" s="214">
        <v>23776</v>
      </c>
      <c r="E24" s="225">
        <v>42278</v>
      </c>
      <c r="F24" s="214" t="s">
        <v>22</v>
      </c>
      <c r="G24" s="140">
        <v>42156</v>
      </c>
      <c r="H24" s="214">
        <v>10740</v>
      </c>
      <c r="I24" s="214"/>
      <c r="J24" s="214"/>
      <c r="K24" s="214"/>
      <c r="L24" s="214"/>
      <c r="M24" s="214"/>
      <c r="N24" s="214"/>
      <c r="O24" s="214"/>
      <c r="P24" s="215">
        <f t="shared" si="1"/>
        <v>10740</v>
      </c>
      <c r="Q24" s="214"/>
      <c r="R24" s="214"/>
      <c r="S24" s="214"/>
      <c r="T24" s="214"/>
      <c r="U24" s="214"/>
      <c r="V24" s="214"/>
      <c r="W24" s="214"/>
      <c r="X24" s="214"/>
      <c r="Y24" s="214"/>
      <c r="Z24" s="214"/>
      <c r="AA24" s="216">
        <f t="shared" si="2"/>
        <v>0</v>
      </c>
      <c r="AB24" s="217">
        <f t="shared" si="3"/>
        <v>10740</v>
      </c>
      <c r="AC24" s="214"/>
    </row>
    <row r="25" spans="1:29" x14ac:dyDescent="0.25">
      <c r="A25" s="214">
        <f t="shared" si="0"/>
        <v>23</v>
      </c>
      <c r="B25" s="214">
        <v>38</v>
      </c>
      <c r="C25" s="225">
        <v>42215</v>
      </c>
      <c r="D25" s="214">
        <v>15532</v>
      </c>
      <c r="E25" s="225">
        <v>42217</v>
      </c>
      <c r="F25" s="214" t="s">
        <v>22</v>
      </c>
      <c r="G25" s="140">
        <v>42186</v>
      </c>
      <c r="H25" s="214">
        <v>11820</v>
      </c>
      <c r="I25" s="214"/>
      <c r="J25" s="214"/>
      <c r="K25" s="214"/>
      <c r="L25" s="214"/>
      <c r="M25" s="214"/>
      <c r="N25" s="214"/>
      <c r="O25" s="214"/>
      <c r="P25" s="215">
        <f t="shared" si="1"/>
        <v>11820</v>
      </c>
      <c r="Q25" s="214"/>
      <c r="R25" s="214"/>
      <c r="S25" s="214"/>
      <c r="T25" s="214"/>
      <c r="U25" s="214"/>
      <c r="V25" s="214"/>
      <c r="W25" s="214"/>
      <c r="X25" s="214"/>
      <c r="Y25" s="214"/>
      <c r="Z25" s="214"/>
      <c r="AA25" s="216">
        <f t="shared" si="2"/>
        <v>0</v>
      </c>
      <c r="AB25" s="217">
        <f t="shared" si="3"/>
        <v>11820</v>
      </c>
      <c r="AC25" s="214"/>
    </row>
    <row r="26" spans="1:29" x14ac:dyDescent="0.25">
      <c r="A26" s="214">
        <f t="shared" si="0"/>
        <v>24</v>
      </c>
      <c r="B26" s="214">
        <v>46</v>
      </c>
      <c r="C26" s="225">
        <v>42242</v>
      </c>
      <c r="D26" s="214">
        <v>21641</v>
      </c>
      <c r="E26" s="225">
        <v>43360</v>
      </c>
      <c r="F26" s="214" t="s">
        <v>22</v>
      </c>
      <c r="G26" s="140">
        <v>42217</v>
      </c>
      <c r="H26" s="214">
        <v>11820</v>
      </c>
      <c r="I26" s="214"/>
      <c r="J26" s="214"/>
      <c r="K26" s="214"/>
      <c r="L26" s="214"/>
      <c r="M26" s="214"/>
      <c r="N26" s="214"/>
      <c r="O26" s="214"/>
      <c r="P26" s="215">
        <f t="shared" si="1"/>
        <v>11820</v>
      </c>
      <c r="Q26" s="214"/>
      <c r="R26" s="214"/>
      <c r="S26" s="214"/>
      <c r="T26" s="214"/>
      <c r="U26" s="214"/>
      <c r="V26" s="214"/>
      <c r="W26" s="214"/>
      <c r="X26" s="214"/>
      <c r="Y26" s="214"/>
      <c r="Z26" s="214"/>
      <c r="AA26" s="216">
        <f t="shared" si="2"/>
        <v>0</v>
      </c>
      <c r="AB26" s="217">
        <f t="shared" si="3"/>
        <v>11820</v>
      </c>
      <c r="AC26" s="214"/>
    </row>
    <row r="27" spans="1:29" x14ac:dyDescent="0.25">
      <c r="A27" s="214">
        <f t="shared" si="0"/>
        <v>25</v>
      </c>
      <c r="B27" s="214">
        <v>56</v>
      </c>
      <c r="C27" s="225">
        <v>42276</v>
      </c>
      <c r="D27" s="214">
        <v>23778</v>
      </c>
      <c r="E27" s="225">
        <v>42278</v>
      </c>
      <c r="F27" s="214" t="s">
        <v>22</v>
      </c>
      <c r="G27" s="140">
        <v>42248</v>
      </c>
      <c r="H27" s="214">
        <v>11820</v>
      </c>
      <c r="I27" s="214"/>
      <c r="J27" s="214"/>
      <c r="K27" s="214"/>
      <c r="L27" s="214"/>
      <c r="M27" s="214"/>
      <c r="N27" s="214"/>
      <c r="O27" s="214"/>
      <c r="P27" s="215">
        <f t="shared" si="1"/>
        <v>11820</v>
      </c>
      <c r="Q27" s="214"/>
      <c r="R27" s="214"/>
      <c r="S27" s="214"/>
      <c r="T27" s="214"/>
      <c r="U27" s="214"/>
      <c r="V27" s="214"/>
      <c r="W27" s="214"/>
      <c r="X27" s="214"/>
      <c r="Y27" s="214"/>
      <c r="Z27" s="214"/>
      <c r="AA27" s="216">
        <f t="shared" si="2"/>
        <v>0</v>
      </c>
      <c r="AB27" s="217">
        <f t="shared" si="3"/>
        <v>11820</v>
      </c>
      <c r="AC27" s="214"/>
    </row>
    <row r="28" spans="1:29" ht="30" x14ac:dyDescent="0.25">
      <c r="A28" s="214">
        <f t="shared" si="0"/>
        <v>26</v>
      </c>
      <c r="B28" s="214">
        <v>64</v>
      </c>
      <c r="C28" s="225">
        <v>42305</v>
      </c>
      <c r="D28" s="214">
        <v>42265</v>
      </c>
      <c r="E28" s="225">
        <v>42390</v>
      </c>
      <c r="F28" s="214" t="s">
        <v>22</v>
      </c>
      <c r="G28" s="140">
        <v>42278</v>
      </c>
      <c r="H28" s="214">
        <v>11820</v>
      </c>
      <c r="I28" s="214"/>
      <c r="J28" s="214"/>
      <c r="K28" s="214"/>
      <c r="L28" s="214"/>
      <c r="M28" s="214"/>
      <c r="N28" s="214"/>
      <c r="O28" s="214"/>
      <c r="P28" s="215">
        <f t="shared" si="1"/>
        <v>11820</v>
      </c>
      <c r="Q28" s="214"/>
      <c r="R28" s="214"/>
      <c r="S28" s="214"/>
      <c r="T28" s="214"/>
      <c r="U28" s="214"/>
      <c r="V28" s="214"/>
      <c r="W28" s="214"/>
      <c r="X28" s="214"/>
      <c r="Y28" s="214"/>
      <c r="Z28" s="214"/>
      <c r="AA28" s="216">
        <f t="shared" si="2"/>
        <v>0</v>
      </c>
      <c r="AB28" s="217">
        <f t="shared" si="3"/>
        <v>11820</v>
      </c>
      <c r="AC28" s="224" t="s">
        <v>826</v>
      </c>
    </row>
    <row r="29" spans="1:29" x14ac:dyDescent="0.25">
      <c r="A29" s="214">
        <f t="shared" si="0"/>
        <v>27</v>
      </c>
      <c r="B29" s="214">
        <v>76</v>
      </c>
      <c r="C29" s="225">
        <v>42336</v>
      </c>
      <c r="D29" s="214">
        <v>36395</v>
      </c>
      <c r="E29" s="225">
        <v>42349</v>
      </c>
      <c r="F29" s="214" t="s">
        <v>22</v>
      </c>
      <c r="G29" s="140">
        <v>42309</v>
      </c>
      <c r="H29" s="214">
        <v>11820</v>
      </c>
      <c r="I29" s="214"/>
      <c r="J29" s="214"/>
      <c r="K29" s="214"/>
      <c r="L29" s="214"/>
      <c r="M29" s="214"/>
      <c r="N29" s="214"/>
      <c r="O29" s="214"/>
      <c r="P29" s="215">
        <f t="shared" si="1"/>
        <v>11820</v>
      </c>
      <c r="Q29" s="214"/>
      <c r="R29" s="214"/>
      <c r="S29" s="214"/>
      <c r="T29" s="214"/>
      <c r="U29" s="214"/>
      <c r="V29" s="214"/>
      <c r="W29" s="214"/>
      <c r="X29" s="214"/>
      <c r="Y29" s="214"/>
      <c r="Z29" s="214"/>
      <c r="AA29" s="216">
        <f t="shared" si="2"/>
        <v>0</v>
      </c>
      <c r="AB29" s="217">
        <f t="shared" si="3"/>
        <v>11820</v>
      </c>
      <c r="AC29" s="214"/>
    </row>
    <row r="30" spans="1:29" x14ac:dyDescent="0.25">
      <c r="A30" s="214">
        <f t="shared" si="0"/>
        <v>28</v>
      </c>
      <c r="B30" s="214">
        <v>96</v>
      </c>
      <c r="C30" s="225">
        <v>42009</v>
      </c>
      <c r="D30" s="214">
        <v>49219</v>
      </c>
      <c r="E30" s="225">
        <v>42432</v>
      </c>
      <c r="F30" s="214" t="s">
        <v>22</v>
      </c>
      <c r="G30" s="140">
        <v>42339</v>
      </c>
      <c r="H30" s="214">
        <v>11170</v>
      </c>
      <c r="I30" s="214">
        <v>13292</v>
      </c>
      <c r="J30" s="214">
        <v>1117</v>
      </c>
      <c r="K30" s="214"/>
      <c r="L30" s="214"/>
      <c r="M30" s="214"/>
      <c r="N30" s="214"/>
      <c r="O30" s="214"/>
      <c r="P30" s="215">
        <f t="shared" si="1"/>
        <v>25579</v>
      </c>
      <c r="Q30" s="214"/>
      <c r="R30" s="214"/>
      <c r="S30" s="214">
        <v>2446</v>
      </c>
      <c r="T30" s="214"/>
      <c r="U30" s="214"/>
      <c r="V30" s="214"/>
      <c r="W30" s="214"/>
      <c r="X30" s="214"/>
      <c r="Y30" s="214"/>
      <c r="Z30" s="214"/>
      <c r="AA30" s="216">
        <f t="shared" si="2"/>
        <v>2446</v>
      </c>
      <c r="AB30" s="217">
        <f t="shared" si="3"/>
        <v>23133</v>
      </c>
      <c r="AC30" s="214"/>
    </row>
    <row r="31" spans="1:29" x14ac:dyDescent="0.25">
      <c r="A31" s="214">
        <f t="shared" si="0"/>
        <v>29</v>
      </c>
      <c r="B31" s="214">
        <v>115</v>
      </c>
      <c r="C31" s="225">
        <v>42394</v>
      </c>
      <c r="D31" s="214">
        <v>43674</v>
      </c>
      <c r="E31" s="225">
        <v>42401</v>
      </c>
      <c r="F31" s="214" t="s">
        <v>22</v>
      </c>
      <c r="G31" s="140">
        <v>42370</v>
      </c>
      <c r="H31" s="214">
        <v>11170</v>
      </c>
      <c r="I31" s="214">
        <v>13292</v>
      </c>
      <c r="J31" s="214">
        <v>1117</v>
      </c>
      <c r="K31" s="214"/>
      <c r="L31" s="214"/>
      <c r="M31" s="214"/>
      <c r="N31" s="214"/>
      <c r="O31" s="214"/>
      <c r="P31" s="215">
        <f t="shared" si="1"/>
        <v>25579</v>
      </c>
      <c r="Q31" s="214"/>
      <c r="R31" s="214"/>
      <c r="S31" s="214">
        <v>2446</v>
      </c>
      <c r="T31" s="214"/>
      <c r="U31" s="214"/>
      <c r="V31" s="214"/>
      <c r="W31" s="214"/>
      <c r="X31" s="214"/>
      <c r="Y31" s="214"/>
      <c r="Z31" s="214"/>
      <c r="AA31" s="216">
        <f t="shared" si="2"/>
        <v>2446</v>
      </c>
      <c r="AB31" s="217">
        <f t="shared" si="3"/>
        <v>23133</v>
      </c>
      <c r="AC31" s="214"/>
    </row>
    <row r="32" spans="1:29" x14ac:dyDescent="0.25">
      <c r="A32" s="214">
        <f t="shared" si="0"/>
        <v>30</v>
      </c>
      <c r="B32" s="214">
        <v>131</v>
      </c>
      <c r="C32" s="225">
        <v>42401</v>
      </c>
      <c r="D32" s="214">
        <v>48941</v>
      </c>
      <c r="E32" s="225">
        <v>42431</v>
      </c>
      <c r="F32" s="214" t="s">
        <v>22</v>
      </c>
      <c r="G32" s="140">
        <v>42401</v>
      </c>
      <c r="H32" s="214">
        <v>11170</v>
      </c>
      <c r="I32" s="214">
        <v>13292</v>
      </c>
      <c r="J32" s="214">
        <v>1117</v>
      </c>
      <c r="K32" s="214"/>
      <c r="L32" s="214"/>
      <c r="M32" s="214"/>
      <c r="N32" s="214"/>
      <c r="O32" s="214"/>
      <c r="P32" s="215">
        <f t="shared" si="1"/>
        <v>25579</v>
      </c>
      <c r="Q32" s="214"/>
      <c r="R32" s="214"/>
      <c r="S32" s="214">
        <v>2446</v>
      </c>
      <c r="T32" s="214"/>
      <c r="U32" s="214"/>
      <c r="V32" s="214"/>
      <c r="W32" s="214"/>
      <c r="X32" s="214"/>
      <c r="Y32" s="214"/>
      <c r="Z32" s="214"/>
      <c r="AA32" s="216">
        <f t="shared" si="2"/>
        <v>2446</v>
      </c>
      <c r="AB32" s="217">
        <f t="shared" si="3"/>
        <v>23133</v>
      </c>
      <c r="AC32" s="214"/>
    </row>
    <row r="33" spans="1:29" x14ac:dyDescent="0.25">
      <c r="A33" s="214">
        <f t="shared" si="0"/>
        <v>31</v>
      </c>
      <c r="B33" s="214">
        <v>61</v>
      </c>
      <c r="C33" s="225">
        <v>42291</v>
      </c>
      <c r="D33" s="214">
        <v>26313</v>
      </c>
      <c r="E33" s="225">
        <v>42294</v>
      </c>
      <c r="F33" s="214" t="s">
        <v>22</v>
      </c>
      <c r="G33" s="140" t="s">
        <v>15</v>
      </c>
      <c r="H33" s="214">
        <v>3580</v>
      </c>
      <c r="I33" s="214"/>
      <c r="J33" s="214"/>
      <c r="K33" s="214"/>
      <c r="L33" s="214"/>
      <c r="M33" s="214"/>
      <c r="N33" s="214"/>
      <c r="O33" s="214"/>
      <c r="P33" s="215">
        <f t="shared" si="1"/>
        <v>3580</v>
      </c>
      <c r="Q33" s="214"/>
      <c r="R33" s="214"/>
      <c r="S33" s="214"/>
      <c r="T33" s="214"/>
      <c r="U33" s="214"/>
      <c r="V33" s="214"/>
      <c r="W33" s="214"/>
      <c r="X33" s="214"/>
      <c r="Y33" s="214"/>
      <c r="Z33" s="214"/>
      <c r="AA33" s="216">
        <f t="shared" si="2"/>
        <v>0</v>
      </c>
      <c r="AB33" s="217">
        <f t="shared" si="3"/>
        <v>3580</v>
      </c>
      <c r="AC33" s="214"/>
    </row>
    <row r="34" spans="1:29" x14ac:dyDescent="0.25">
      <c r="A34" s="214">
        <f t="shared" si="0"/>
        <v>32</v>
      </c>
      <c r="B34" s="214">
        <v>137</v>
      </c>
      <c r="C34" s="225">
        <v>44270</v>
      </c>
      <c r="D34" s="214">
        <v>55291</v>
      </c>
      <c r="E34" s="225">
        <v>42460</v>
      </c>
      <c r="F34" s="214" t="s">
        <v>22</v>
      </c>
      <c r="G34" s="214" t="s">
        <v>16</v>
      </c>
      <c r="H34" s="214"/>
      <c r="I34" s="214">
        <v>29685</v>
      </c>
      <c r="J34" s="214">
        <v>2495</v>
      </c>
      <c r="K34" s="214">
        <v>-1452</v>
      </c>
      <c r="L34" s="214"/>
      <c r="M34" s="214"/>
      <c r="N34" s="214"/>
      <c r="O34" s="214"/>
      <c r="P34" s="215">
        <f t="shared" si="1"/>
        <v>30728</v>
      </c>
      <c r="Q34" s="214"/>
      <c r="R34" s="214"/>
      <c r="S34" s="214">
        <v>5463</v>
      </c>
      <c r="T34" s="214"/>
      <c r="U34" s="214"/>
      <c r="V34" s="214"/>
      <c r="W34" s="214"/>
      <c r="X34" s="214"/>
      <c r="Y34" s="214"/>
      <c r="Z34" s="214"/>
      <c r="AA34" s="216">
        <f t="shared" si="2"/>
        <v>5463</v>
      </c>
      <c r="AB34" s="217">
        <f t="shared" si="3"/>
        <v>25265</v>
      </c>
      <c r="AC34" s="214"/>
    </row>
    <row r="35" spans="1:29" x14ac:dyDescent="0.25">
      <c r="A35" s="214">
        <f t="shared" si="0"/>
        <v>33</v>
      </c>
      <c r="B35" s="214">
        <v>2</v>
      </c>
      <c r="C35" s="225">
        <v>42472</v>
      </c>
      <c r="D35" s="214">
        <v>2179</v>
      </c>
      <c r="E35" s="225">
        <v>42485</v>
      </c>
      <c r="F35" s="214" t="s">
        <v>23</v>
      </c>
      <c r="G35" s="140">
        <v>42430</v>
      </c>
      <c r="H35" s="214">
        <v>11170</v>
      </c>
      <c r="I35" s="214">
        <v>13292</v>
      </c>
      <c r="J35" s="214">
        <v>1117</v>
      </c>
      <c r="K35" s="214"/>
      <c r="L35" s="214"/>
      <c r="M35" s="214"/>
      <c r="N35" s="214"/>
      <c r="O35" s="214"/>
      <c r="P35" s="215">
        <f t="shared" ref="P35:P66" si="4">SUM(H35:O35)</f>
        <v>25579</v>
      </c>
      <c r="Q35" s="214">
        <v>1100</v>
      </c>
      <c r="R35" s="214"/>
      <c r="S35" s="214">
        <v>2446</v>
      </c>
      <c r="T35" s="214"/>
      <c r="U35" s="214"/>
      <c r="V35" s="214"/>
      <c r="W35" s="214"/>
      <c r="X35" s="214"/>
      <c r="Y35" s="214"/>
      <c r="Z35" s="214"/>
      <c r="AA35" s="216">
        <f t="shared" ref="AA35:AA66" si="5">SUM(Q35:Z35)</f>
        <v>3546</v>
      </c>
      <c r="AB35" s="217">
        <f t="shared" si="3"/>
        <v>22033</v>
      </c>
      <c r="AC35" s="214"/>
    </row>
    <row r="36" spans="1:29" x14ac:dyDescent="0.25">
      <c r="A36" s="214">
        <f t="shared" si="0"/>
        <v>34</v>
      </c>
      <c r="B36" s="214">
        <v>12</v>
      </c>
      <c r="C36" s="225">
        <v>42487</v>
      </c>
      <c r="D36" s="214">
        <v>3158</v>
      </c>
      <c r="E36" s="225">
        <v>42492</v>
      </c>
      <c r="F36" s="214" t="s">
        <v>23</v>
      </c>
      <c r="G36" s="140">
        <v>42461</v>
      </c>
      <c r="H36" s="214">
        <v>11170</v>
      </c>
      <c r="I36" s="214">
        <v>13963</v>
      </c>
      <c r="J36" s="214">
        <v>1117</v>
      </c>
      <c r="K36" s="214"/>
      <c r="L36" s="214"/>
      <c r="M36" s="214"/>
      <c r="N36" s="214"/>
      <c r="O36" s="214"/>
      <c r="P36" s="215">
        <f t="shared" si="4"/>
        <v>26250</v>
      </c>
      <c r="Q36" s="214">
        <v>1100</v>
      </c>
      <c r="R36" s="214"/>
      <c r="S36" s="214">
        <v>2513</v>
      </c>
      <c r="T36" s="214">
        <v>220</v>
      </c>
      <c r="U36" s="214">
        <v>31.9</v>
      </c>
      <c r="V36" s="214"/>
      <c r="W36" s="214"/>
      <c r="X36" s="214"/>
      <c r="Y36" s="214"/>
      <c r="Z36" s="214"/>
      <c r="AA36" s="216">
        <f t="shared" si="5"/>
        <v>3864.9</v>
      </c>
      <c r="AB36" s="217">
        <f t="shared" si="3"/>
        <v>22385.1</v>
      </c>
      <c r="AC36" s="214"/>
    </row>
    <row r="37" spans="1:29" x14ac:dyDescent="0.25">
      <c r="A37" s="214">
        <f t="shared" si="0"/>
        <v>35</v>
      </c>
      <c r="B37" s="214">
        <v>13</v>
      </c>
      <c r="C37" s="225">
        <v>42544</v>
      </c>
      <c r="D37" s="214">
        <v>13185</v>
      </c>
      <c r="E37" s="225">
        <v>42549</v>
      </c>
      <c r="F37" s="214" t="s">
        <v>23</v>
      </c>
      <c r="G37" s="140">
        <v>42491</v>
      </c>
      <c r="H37" s="214">
        <v>11170</v>
      </c>
      <c r="I37" s="214">
        <v>13963</v>
      </c>
      <c r="J37" s="214">
        <v>1117</v>
      </c>
      <c r="K37" s="214"/>
      <c r="L37" s="214"/>
      <c r="M37" s="214"/>
      <c r="N37" s="214"/>
      <c r="O37" s="214"/>
      <c r="P37" s="215">
        <f t="shared" si="4"/>
        <v>26250</v>
      </c>
      <c r="Q37" s="214">
        <v>1100</v>
      </c>
      <c r="R37" s="214"/>
      <c r="S37" s="214">
        <v>2513</v>
      </c>
      <c r="T37" s="214"/>
      <c r="U37" s="214"/>
      <c r="V37" s="214"/>
      <c r="W37" s="214"/>
      <c r="X37" s="214"/>
      <c r="Y37" s="214"/>
      <c r="Z37" s="214"/>
      <c r="AA37" s="216">
        <f t="shared" si="5"/>
        <v>3613</v>
      </c>
      <c r="AB37" s="217">
        <f t="shared" si="3"/>
        <v>22637</v>
      </c>
      <c r="AC37" s="214"/>
    </row>
    <row r="38" spans="1:29" x14ac:dyDescent="0.25">
      <c r="A38" s="214">
        <f t="shared" si="0"/>
        <v>36</v>
      </c>
      <c r="B38" s="214">
        <v>14</v>
      </c>
      <c r="C38" s="225">
        <v>42548</v>
      </c>
      <c r="D38" s="214">
        <v>14705</v>
      </c>
      <c r="E38" s="225">
        <v>42553</v>
      </c>
      <c r="F38" s="214" t="s">
        <v>23</v>
      </c>
      <c r="G38" s="140">
        <v>42522</v>
      </c>
      <c r="H38" s="214">
        <v>11170</v>
      </c>
      <c r="I38" s="214">
        <v>13963</v>
      </c>
      <c r="J38" s="214">
        <v>1117</v>
      </c>
      <c r="K38" s="214"/>
      <c r="L38" s="214"/>
      <c r="M38" s="214"/>
      <c r="N38" s="214"/>
      <c r="O38" s="214"/>
      <c r="P38" s="215">
        <f t="shared" si="4"/>
        <v>26250</v>
      </c>
      <c r="Q38" s="214">
        <v>1100</v>
      </c>
      <c r="R38" s="214"/>
      <c r="S38" s="214">
        <v>2513</v>
      </c>
      <c r="T38" s="214"/>
      <c r="U38" s="214"/>
      <c r="V38" s="214"/>
      <c r="W38" s="214"/>
      <c r="X38" s="214"/>
      <c r="Y38" s="214"/>
      <c r="Z38" s="214"/>
      <c r="AA38" s="216">
        <f t="shared" si="5"/>
        <v>3613</v>
      </c>
      <c r="AB38" s="217">
        <f t="shared" si="3"/>
        <v>22637</v>
      </c>
      <c r="AC38" s="214"/>
    </row>
    <row r="39" spans="1:29" x14ac:dyDescent="0.25">
      <c r="A39" s="214">
        <f t="shared" si="0"/>
        <v>37</v>
      </c>
      <c r="B39" s="214">
        <v>17</v>
      </c>
      <c r="C39" s="225">
        <v>42583</v>
      </c>
      <c r="D39" s="214">
        <v>19959</v>
      </c>
      <c r="E39" s="225">
        <v>42586</v>
      </c>
      <c r="F39" s="214" t="s">
        <v>23</v>
      </c>
      <c r="G39" s="140">
        <v>42552</v>
      </c>
      <c r="H39" s="214">
        <v>11170</v>
      </c>
      <c r="I39" s="214">
        <v>13963</v>
      </c>
      <c r="J39" s="214">
        <v>1117</v>
      </c>
      <c r="K39" s="214"/>
      <c r="L39" s="214"/>
      <c r="M39" s="214"/>
      <c r="N39" s="214"/>
      <c r="O39" s="214"/>
      <c r="P39" s="215">
        <f t="shared" si="4"/>
        <v>26250</v>
      </c>
      <c r="Q39" s="214">
        <v>1100</v>
      </c>
      <c r="R39" s="214"/>
      <c r="S39" s="214">
        <v>2513</v>
      </c>
      <c r="T39" s="214"/>
      <c r="U39" s="214"/>
      <c r="V39" s="214"/>
      <c r="W39" s="214"/>
      <c r="X39" s="214"/>
      <c r="Y39" s="214"/>
      <c r="Z39" s="214"/>
      <c r="AA39" s="216">
        <f t="shared" si="5"/>
        <v>3613</v>
      </c>
      <c r="AB39" s="217">
        <f t="shared" si="3"/>
        <v>22637</v>
      </c>
      <c r="AC39" s="214"/>
    </row>
    <row r="40" spans="1:29" x14ac:dyDescent="0.25">
      <c r="A40" s="214">
        <f t="shared" si="0"/>
        <v>38</v>
      </c>
      <c r="B40" s="214">
        <v>28</v>
      </c>
      <c r="C40" s="225">
        <v>42605</v>
      </c>
      <c r="D40" s="214">
        <v>23893</v>
      </c>
      <c r="E40" s="225">
        <v>42614</v>
      </c>
      <c r="F40" s="214" t="s">
        <v>23</v>
      </c>
      <c r="G40" s="140">
        <v>42583</v>
      </c>
      <c r="H40" s="214">
        <v>11510</v>
      </c>
      <c r="I40" s="214">
        <v>14388</v>
      </c>
      <c r="J40" s="214">
        <v>1151</v>
      </c>
      <c r="K40" s="214"/>
      <c r="L40" s="214"/>
      <c r="M40" s="214"/>
      <c r="N40" s="214"/>
      <c r="O40" s="214"/>
      <c r="P40" s="215">
        <f t="shared" si="4"/>
        <v>27049</v>
      </c>
      <c r="Q40" s="214">
        <v>1100</v>
      </c>
      <c r="R40" s="214"/>
      <c r="S40" s="214">
        <v>2590</v>
      </c>
      <c r="T40" s="214"/>
      <c r="U40" s="214"/>
      <c r="V40" s="214"/>
      <c r="W40" s="214"/>
      <c r="X40" s="214"/>
      <c r="Y40" s="214"/>
      <c r="Z40" s="214"/>
      <c r="AA40" s="216">
        <f t="shared" si="5"/>
        <v>3690</v>
      </c>
      <c r="AB40" s="217">
        <f t="shared" si="3"/>
        <v>23359</v>
      </c>
      <c r="AC40" s="214"/>
    </row>
    <row r="41" spans="1:29" x14ac:dyDescent="0.25">
      <c r="A41" s="214">
        <f t="shared" si="0"/>
        <v>39</v>
      </c>
      <c r="B41" s="214">
        <v>34</v>
      </c>
      <c r="C41" s="225">
        <v>42639</v>
      </c>
      <c r="D41" s="214">
        <v>28883</v>
      </c>
      <c r="E41" s="225">
        <v>42644</v>
      </c>
      <c r="F41" s="214" t="s">
        <v>23</v>
      </c>
      <c r="G41" s="140">
        <v>42614</v>
      </c>
      <c r="H41" s="214">
        <v>11510</v>
      </c>
      <c r="I41" s="214">
        <v>14388</v>
      </c>
      <c r="J41" s="214">
        <v>1151</v>
      </c>
      <c r="K41" s="214"/>
      <c r="L41" s="214"/>
      <c r="M41" s="214"/>
      <c r="N41" s="214"/>
      <c r="O41" s="214"/>
      <c r="P41" s="215">
        <f t="shared" si="4"/>
        <v>27049</v>
      </c>
      <c r="Q41" s="214">
        <v>1100</v>
      </c>
      <c r="R41" s="214"/>
      <c r="S41" s="214">
        <v>2590</v>
      </c>
      <c r="T41" s="214"/>
      <c r="U41" s="214"/>
      <c r="V41" s="214"/>
      <c r="W41" s="214"/>
      <c r="X41" s="214"/>
      <c r="Y41" s="214"/>
      <c r="Z41" s="214"/>
      <c r="AA41" s="216">
        <f t="shared" si="5"/>
        <v>3690</v>
      </c>
      <c r="AB41" s="217">
        <f t="shared" si="3"/>
        <v>23359</v>
      </c>
      <c r="AC41" s="214"/>
    </row>
    <row r="42" spans="1:29" x14ac:dyDescent="0.25">
      <c r="A42" s="214">
        <f t="shared" si="0"/>
        <v>40</v>
      </c>
      <c r="B42" s="214">
        <v>47</v>
      </c>
      <c r="C42" s="225">
        <v>42667</v>
      </c>
      <c r="D42" s="214">
        <v>35248</v>
      </c>
      <c r="E42" s="225">
        <v>42671</v>
      </c>
      <c r="F42" s="214" t="s">
        <v>23</v>
      </c>
      <c r="G42" s="140">
        <v>42644</v>
      </c>
      <c r="H42" s="214">
        <v>11510</v>
      </c>
      <c r="I42" s="214">
        <v>14388</v>
      </c>
      <c r="J42" s="214">
        <v>1151</v>
      </c>
      <c r="K42" s="214"/>
      <c r="L42" s="214"/>
      <c r="M42" s="214"/>
      <c r="N42" s="214"/>
      <c r="O42" s="214"/>
      <c r="P42" s="215">
        <f t="shared" si="4"/>
        <v>27049</v>
      </c>
      <c r="Q42" s="214">
        <v>1100</v>
      </c>
      <c r="R42" s="214"/>
      <c r="S42" s="214">
        <v>2590</v>
      </c>
      <c r="T42" s="214"/>
      <c r="U42" s="214"/>
      <c r="V42" s="214"/>
      <c r="W42" s="214"/>
      <c r="X42" s="214"/>
      <c r="Y42" s="214"/>
      <c r="Z42" s="214"/>
      <c r="AA42" s="216">
        <f t="shared" si="5"/>
        <v>3690</v>
      </c>
      <c r="AB42" s="217">
        <f t="shared" si="3"/>
        <v>23359</v>
      </c>
      <c r="AC42" s="214"/>
    </row>
    <row r="43" spans="1:29" x14ac:dyDescent="0.25">
      <c r="A43" s="214">
        <f t="shared" si="0"/>
        <v>41</v>
      </c>
      <c r="B43" s="214">
        <v>54</v>
      </c>
      <c r="C43" s="225">
        <v>42698</v>
      </c>
      <c r="D43" s="214">
        <v>40457</v>
      </c>
      <c r="E43" s="225">
        <v>42705</v>
      </c>
      <c r="F43" s="214" t="s">
        <v>23</v>
      </c>
      <c r="G43" s="140">
        <v>42675</v>
      </c>
      <c r="H43" s="214">
        <v>11510</v>
      </c>
      <c r="I43" s="214">
        <v>15193</v>
      </c>
      <c r="J43" s="214">
        <v>1151</v>
      </c>
      <c r="K43" s="214"/>
      <c r="L43" s="214"/>
      <c r="M43" s="214"/>
      <c r="N43" s="214"/>
      <c r="O43" s="214"/>
      <c r="P43" s="215">
        <f t="shared" si="4"/>
        <v>27854</v>
      </c>
      <c r="Q43" s="214">
        <v>1100</v>
      </c>
      <c r="R43" s="214"/>
      <c r="S43" s="214">
        <v>2670</v>
      </c>
      <c r="T43" s="214"/>
      <c r="U43" s="214"/>
      <c r="V43" s="214"/>
      <c r="W43" s="214"/>
      <c r="X43" s="214"/>
      <c r="Y43" s="214"/>
      <c r="Z43" s="214"/>
      <c r="AA43" s="216">
        <f t="shared" si="5"/>
        <v>3770</v>
      </c>
      <c r="AB43" s="217">
        <f t="shared" si="3"/>
        <v>24084</v>
      </c>
      <c r="AC43" s="214"/>
    </row>
    <row r="44" spans="1:29" x14ac:dyDescent="0.25">
      <c r="A44" s="214">
        <f t="shared" si="0"/>
        <v>42</v>
      </c>
      <c r="B44" s="214">
        <v>59</v>
      </c>
      <c r="C44" s="225">
        <v>42732</v>
      </c>
      <c r="D44" s="214">
        <v>45844</v>
      </c>
      <c r="E44" s="225">
        <v>42739</v>
      </c>
      <c r="F44" s="214" t="s">
        <v>23</v>
      </c>
      <c r="G44" s="140">
        <v>42705</v>
      </c>
      <c r="H44" s="214">
        <v>11510</v>
      </c>
      <c r="I44" s="214">
        <v>15193</v>
      </c>
      <c r="J44" s="214">
        <v>1151</v>
      </c>
      <c r="K44" s="214"/>
      <c r="L44" s="214"/>
      <c r="M44" s="214"/>
      <c r="N44" s="214"/>
      <c r="O44" s="214"/>
      <c r="P44" s="215">
        <f t="shared" si="4"/>
        <v>27854</v>
      </c>
      <c r="Q44" s="214">
        <v>1100</v>
      </c>
      <c r="R44" s="214"/>
      <c r="S44" s="214">
        <v>2670</v>
      </c>
      <c r="T44" s="214"/>
      <c r="U44" s="214"/>
      <c r="V44" s="214"/>
      <c r="W44" s="214"/>
      <c r="X44" s="214"/>
      <c r="Y44" s="214"/>
      <c r="Z44" s="214"/>
      <c r="AA44" s="216">
        <f t="shared" si="5"/>
        <v>3770</v>
      </c>
      <c r="AB44" s="217">
        <f t="shared" si="3"/>
        <v>24084</v>
      </c>
      <c r="AC44" s="214"/>
    </row>
    <row r="45" spans="1:29" x14ac:dyDescent="0.25">
      <c r="A45" s="214">
        <f t="shared" si="0"/>
        <v>43</v>
      </c>
      <c r="B45" s="214">
        <v>65</v>
      </c>
      <c r="C45" s="225">
        <v>42762</v>
      </c>
      <c r="D45" s="214">
        <v>50049</v>
      </c>
      <c r="E45" s="225">
        <v>42767</v>
      </c>
      <c r="F45" s="214" t="s">
        <v>23</v>
      </c>
      <c r="G45" s="140">
        <v>42736</v>
      </c>
      <c r="H45" s="214">
        <v>11510</v>
      </c>
      <c r="I45" s="214">
        <v>15193</v>
      </c>
      <c r="J45" s="214">
        <v>1151</v>
      </c>
      <c r="K45" s="214"/>
      <c r="L45" s="214"/>
      <c r="M45" s="214"/>
      <c r="N45" s="214"/>
      <c r="O45" s="214"/>
      <c r="P45" s="215">
        <f t="shared" si="4"/>
        <v>27854</v>
      </c>
      <c r="Q45" s="214">
        <v>1100</v>
      </c>
      <c r="R45" s="214"/>
      <c r="S45" s="214">
        <v>2670</v>
      </c>
      <c r="T45" s="214"/>
      <c r="U45" s="214"/>
      <c r="V45" s="214"/>
      <c r="W45" s="214"/>
      <c r="X45" s="214"/>
      <c r="Y45" s="214"/>
      <c r="Z45" s="214"/>
      <c r="AA45" s="216">
        <f t="shared" si="5"/>
        <v>3770</v>
      </c>
      <c r="AB45" s="217">
        <f t="shared" si="3"/>
        <v>24084</v>
      </c>
      <c r="AC45" s="214"/>
    </row>
    <row r="46" spans="1:29" x14ac:dyDescent="0.25">
      <c r="A46" s="214">
        <f t="shared" si="0"/>
        <v>44</v>
      </c>
      <c r="B46" s="214">
        <v>71</v>
      </c>
      <c r="C46" s="225">
        <v>42795</v>
      </c>
      <c r="D46" s="214">
        <v>55694</v>
      </c>
      <c r="E46" s="225">
        <v>42797</v>
      </c>
      <c r="F46" s="214" t="s">
        <v>23</v>
      </c>
      <c r="G46" s="140">
        <v>42767</v>
      </c>
      <c r="H46" s="214">
        <v>11510</v>
      </c>
      <c r="I46" s="214">
        <v>15193</v>
      </c>
      <c r="J46" s="214">
        <v>1151</v>
      </c>
      <c r="K46" s="214"/>
      <c r="L46" s="214"/>
      <c r="M46" s="214"/>
      <c r="N46" s="214"/>
      <c r="O46" s="214"/>
      <c r="P46" s="215">
        <f t="shared" si="4"/>
        <v>27854</v>
      </c>
      <c r="Q46" s="214">
        <v>1100</v>
      </c>
      <c r="R46" s="214"/>
      <c r="S46" s="214">
        <v>2670</v>
      </c>
      <c r="T46" s="214"/>
      <c r="U46" s="214"/>
      <c r="V46" s="214"/>
      <c r="W46" s="214"/>
      <c r="X46" s="214"/>
      <c r="Y46" s="214"/>
      <c r="Z46" s="214"/>
      <c r="AA46" s="216">
        <f t="shared" si="5"/>
        <v>3770</v>
      </c>
      <c r="AB46" s="217">
        <f t="shared" si="3"/>
        <v>24084</v>
      </c>
      <c r="AC46" s="214"/>
    </row>
    <row r="47" spans="1:29" x14ac:dyDescent="0.25">
      <c r="A47" s="214">
        <f t="shared" si="0"/>
        <v>45</v>
      </c>
      <c r="B47" s="214">
        <v>29</v>
      </c>
      <c r="C47" s="225">
        <v>42606</v>
      </c>
      <c r="D47" s="214">
        <v>26364</v>
      </c>
      <c r="E47" s="225">
        <v>42628</v>
      </c>
      <c r="F47" s="214" t="s">
        <v>23</v>
      </c>
      <c r="G47" s="214" t="s">
        <v>17</v>
      </c>
      <c r="H47" s="214">
        <v>340</v>
      </c>
      <c r="I47" s="214">
        <v>425</v>
      </c>
      <c r="J47" s="214">
        <v>34</v>
      </c>
      <c r="K47" s="214"/>
      <c r="L47" s="214"/>
      <c r="M47" s="214"/>
      <c r="N47" s="214"/>
      <c r="O47" s="214"/>
      <c r="P47" s="215">
        <f t="shared" si="4"/>
        <v>799</v>
      </c>
      <c r="Q47" s="214"/>
      <c r="R47" s="214"/>
      <c r="S47" s="214">
        <v>77</v>
      </c>
      <c r="T47" s="214"/>
      <c r="U47" s="214"/>
      <c r="V47" s="214"/>
      <c r="W47" s="214"/>
      <c r="X47" s="214"/>
      <c r="Y47" s="214"/>
      <c r="Z47" s="214"/>
      <c r="AA47" s="216">
        <f t="shared" si="5"/>
        <v>77</v>
      </c>
      <c r="AB47" s="217">
        <f t="shared" si="3"/>
        <v>722</v>
      </c>
      <c r="AC47" s="214"/>
    </row>
    <row r="48" spans="1:29" x14ac:dyDescent="0.25">
      <c r="A48" s="214">
        <f t="shared" si="0"/>
        <v>46</v>
      </c>
      <c r="B48" s="214">
        <v>43</v>
      </c>
      <c r="C48" s="225">
        <v>42663</v>
      </c>
      <c r="D48" s="214">
        <v>33239</v>
      </c>
      <c r="E48" s="225">
        <v>42668</v>
      </c>
      <c r="F48" s="214" t="s">
        <v>23</v>
      </c>
      <c r="G48" s="214" t="s">
        <v>629</v>
      </c>
      <c r="H48" s="214"/>
      <c r="I48" s="214"/>
      <c r="J48" s="214"/>
      <c r="K48" s="214"/>
      <c r="L48" s="214">
        <v>3387</v>
      </c>
      <c r="M48" s="214"/>
      <c r="N48" s="214"/>
      <c r="O48" s="214"/>
      <c r="P48" s="215">
        <f t="shared" si="4"/>
        <v>3387</v>
      </c>
      <c r="Q48" s="214"/>
      <c r="R48" s="214"/>
      <c r="S48" s="214"/>
      <c r="T48" s="214"/>
      <c r="U48" s="214"/>
      <c r="V48" s="214"/>
      <c r="W48" s="214"/>
      <c r="X48" s="214"/>
      <c r="Y48" s="214"/>
      <c r="Z48" s="214"/>
      <c r="AA48" s="216">
        <f t="shared" si="5"/>
        <v>0</v>
      </c>
      <c r="AB48" s="217">
        <f t="shared" si="3"/>
        <v>3387</v>
      </c>
      <c r="AC48" s="214"/>
    </row>
    <row r="49" spans="1:29" x14ac:dyDescent="0.25">
      <c r="A49" s="214">
        <f t="shared" si="0"/>
        <v>47</v>
      </c>
      <c r="B49" s="214">
        <v>41</v>
      </c>
      <c r="C49" s="225">
        <v>42660</v>
      </c>
      <c r="D49" s="214">
        <v>37085</v>
      </c>
      <c r="E49" s="225">
        <v>42683</v>
      </c>
      <c r="F49" s="214" t="s">
        <v>23</v>
      </c>
      <c r="G49" s="214" t="s">
        <v>18</v>
      </c>
      <c r="H49" s="214"/>
      <c r="I49" s="214">
        <v>2013</v>
      </c>
      <c r="J49" s="214"/>
      <c r="K49" s="214"/>
      <c r="L49" s="214"/>
      <c r="M49" s="214"/>
      <c r="N49" s="214"/>
      <c r="O49" s="214"/>
      <c r="P49" s="215">
        <f t="shared" si="4"/>
        <v>2013</v>
      </c>
      <c r="Q49" s="214"/>
      <c r="R49" s="214"/>
      <c r="S49" s="214">
        <v>201</v>
      </c>
      <c r="T49" s="214"/>
      <c r="U49" s="214"/>
      <c r="V49" s="214"/>
      <c r="W49" s="214"/>
      <c r="X49" s="214"/>
      <c r="Y49" s="214"/>
      <c r="Z49" s="214"/>
      <c r="AA49" s="216">
        <f t="shared" si="5"/>
        <v>201</v>
      </c>
      <c r="AB49" s="217">
        <f t="shared" si="3"/>
        <v>1812</v>
      </c>
      <c r="AC49" s="214"/>
    </row>
    <row r="50" spans="1:29" x14ac:dyDescent="0.25">
      <c r="A50" s="214">
        <f t="shared" si="0"/>
        <v>48</v>
      </c>
      <c r="B50" s="214">
        <v>72</v>
      </c>
      <c r="C50" s="225">
        <v>42797</v>
      </c>
      <c r="D50" s="214">
        <v>56302</v>
      </c>
      <c r="E50" s="225">
        <v>42801</v>
      </c>
      <c r="F50" s="214" t="s">
        <v>23</v>
      </c>
      <c r="G50" s="214" t="s">
        <v>25</v>
      </c>
      <c r="H50" s="214">
        <v>5755</v>
      </c>
      <c r="I50" s="214">
        <v>7597</v>
      </c>
      <c r="J50" s="214"/>
      <c r="K50" s="214"/>
      <c r="L50" s="214"/>
      <c r="M50" s="214"/>
      <c r="N50" s="214"/>
      <c r="O50" s="214"/>
      <c r="P50" s="215">
        <f t="shared" si="4"/>
        <v>13352</v>
      </c>
      <c r="Q50" s="214"/>
      <c r="R50" s="214"/>
      <c r="S50" s="214"/>
      <c r="T50" s="214"/>
      <c r="U50" s="214"/>
      <c r="V50" s="214"/>
      <c r="W50" s="214"/>
      <c r="X50" s="214"/>
      <c r="Y50" s="214"/>
      <c r="Z50" s="214"/>
      <c r="AA50" s="216">
        <f t="shared" si="5"/>
        <v>0</v>
      </c>
      <c r="AB50" s="217">
        <f t="shared" si="3"/>
        <v>13352</v>
      </c>
      <c r="AC50" s="214"/>
    </row>
    <row r="51" spans="1:29" x14ac:dyDescent="0.25">
      <c r="A51" s="214">
        <f t="shared" si="0"/>
        <v>49</v>
      </c>
      <c r="B51" s="214">
        <v>52</v>
      </c>
      <c r="C51" s="225">
        <v>42695</v>
      </c>
      <c r="D51" s="214">
        <v>41655</v>
      </c>
      <c r="E51" s="225">
        <v>42712</v>
      </c>
      <c r="F51" s="214" t="s">
        <v>23</v>
      </c>
      <c r="G51" s="214" t="s">
        <v>26</v>
      </c>
      <c r="H51" s="214"/>
      <c r="I51" s="214">
        <v>3220</v>
      </c>
      <c r="J51" s="214"/>
      <c r="K51" s="214"/>
      <c r="L51" s="214"/>
      <c r="M51" s="214"/>
      <c r="N51" s="214"/>
      <c r="O51" s="214"/>
      <c r="P51" s="215">
        <f t="shared" si="4"/>
        <v>3220</v>
      </c>
      <c r="Q51" s="214"/>
      <c r="R51" s="214"/>
      <c r="S51" s="214">
        <v>324</v>
      </c>
      <c r="T51" s="214"/>
      <c r="U51" s="214"/>
      <c r="V51" s="214"/>
      <c r="W51" s="214"/>
      <c r="X51" s="214"/>
      <c r="Y51" s="214"/>
      <c r="Z51" s="214"/>
      <c r="AA51" s="216">
        <f t="shared" si="5"/>
        <v>324</v>
      </c>
      <c r="AB51" s="217">
        <f t="shared" si="3"/>
        <v>2896</v>
      </c>
      <c r="AC51" s="214"/>
    </row>
    <row r="52" spans="1:29" x14ac:dyDescent="0.25">
      <c r="A52" s="214">
        <f t="shared" si="0"/>
        <v>50</v>
      </c>
      <c r="B52" s="214">
        <v>1</v>
      </c>
      <c r="C52" s="225">
        <v>42831</v>
      </c>
      <c r="D52" s="214">
        <v>727</v>
      </c>
      <c r="E52" s="225">
        <v>42832</v>
      </c>
      <c r="F52" s="214" t="s">
        <v>24</v>
      </c>
      <c r="G52" s="140">
        <v>42795</v>
      </c>
      <c r="H52" s="214">
        <v>11510</v>
      </c>
      <c r="I52" s="214">
        <v>15193</v>
      </c>
      <c r="J52" s="214">
        <v>1151</v>
      </c>
      <c r="K52" s="214"/>
      <c r="L52" s="214"/>
      <c r="M52" s="214"/>
      <c r="N52" s="214"/>
      <c r="O52" s="214"/>
      <c r="P52" s="215">
        <f t="shared" si="4"/>
        <v>27854</v>
      </c>
      <c r="Q52" s="214">
        <v>2650</v>
      </c>
      <c r="R52" s="214"/>
      <c r="S52" s="214">
        <v>2670</v>
      </c>
      <c r="T52" s="214"/>
      <c r="U52" s="214"/>
      <c r="V52" s="214"/>
      <c r="W52" s="214"/>
      <c r="X52" s="214"/>
      <c r="Y52" s="214"/>
      <c r="Z52" s="214"/>
      <c r="AA52" s="216">
        <f t="shared" si="5"/>
        <v>5320</v>
      </c>
      <c r="AB52" s="217">
        <f t="shared" si="3"/>
        <v>22534</v>
      </c>
      <c r="AC52" s="214"/>
    </row>
    <row r="53" spans="1:29" x14ac:dyDescent="0.25">
      <c r="A53" s="214">
        <f t="shared" si="0"/>
        <v>51</v>
      </c>
      <c r="B53" s="214">
        <v>5</v>
      </c>
      <c r="C53" s="225">
        <v>42856</v>
      </c>
      <c r="D53" s="214">
        <v>5192</v>
      </c>
      <c r="E53" s="225">
        <v>42858</v>
      </c>
      <c r="F53" s="214" t="s">
        <v>24</v>
      </c>
      <c r="G53" s="140">
        <v>42826</v>
      </c>
      <c r="H53" s="214">
        <v>11510</v>
      </c>
      <c r="I53" s="214">
        <v>15654</v>
      </c>
      <c r="J53" s="214">
        <v>1151</v>
      </c>
      <c r="K53" s="214"/>
      <c r="L53" s="214"/>
      <c r="M53" s="214"/>
      <c r="N53" s="214"/>
      <c r="O53" s="214"/>
      <c r="P53" s="215">
        <f t="shared" si="4"/>
        <v>28315</v>
      </c>
      <c r="Q53" s="214">
        <v>2650</v>
      </c>
      <c r="R53" s="214"/>
      <c r="S53" s="214">
        <v>2716</v>
      </c>
      <c r="T53" s="214">
        <v>220</v>
      </c>
      <c r="U53" s="214">
        <v>33</v>
      </c>
      <c r="V53" s="214"/>
      <c r="W53" s="214"/>
      <c r="X53" s="214"/>
      <c r="Y53" s="214"/>
      <c r="Z53" s="214"/>
      <c r="AA53" s="216">
        <f t="shared" si="5"/>
        <v>5619</v>
      </c>
      <c r="AB53" s="217">
        <f t="shared" si="3"/>
        <v>22696</v>
      </c>
      <c r="AC53" s="214"/>
    </row>
    <row r="54" spans="1:29" x14ac:dyDescent="0.25">
      <c r="A54" s="214">
        <f t="shared" si="0"/>
        <v>52</v>
      </c>
      <c r="B54" s="214">
        <v>11</v>
      </c>
      <c r="C54" s="225">
        <v>42884</v>
      </c>
      <c r="D54" s="214">
        <v>10350</v>
      </c>
      <c r="E54" s="225">
        <v>42887</v>
      </c>
      <c r="F54" s="214" t="s">
        <v>24</v>
      </c>
      <c r="G54" s="140">
        <v>42856</v>
      </c>
      <c r="H54" s="214">
        <v>11510</v>
      </c>
      <c r="I54" s="214">
        <v>15654</v>
      </c>
      <c r="J54" s="214">
        <v>1151</v>
      </c>
      <c r="K54" s="214"/>
      <c r="L54" s="214"/>
      <c r="M54" s="214"/>
      <c r="N54" s="214"/>
      <c r="O54" s="214"/>
      <c r="P54" s="215">
        <f t="shared" si="4"/>
        <v>28315</v>
      </c>
      <c r="Q54" s="214">
        <v>2650</v>
      </c>
      <c r="R54" s="214"/>
      <c r="S54" s="214">
        <v>2716</v>
      </c>
      <c r="T54" s="214"/>
      <c r="U54" s="214"/>
      <c r="V54" s="214"/>
      <c r="W54" s="214"/>
      <c r="X54" s="214"/>
      <c r="Y54" s="214"/>
      <c r="Z54" s="214"/>
      <c r="AA54" s="216">
        <f t="shared" si="5"/>
        <v>5366</v>
      </c>
      <c r="AB54" s="217">
        <f t="shared" si="3"/>
        <v>22949</v>
      </c>
      <c r="AC54" s="214"/>
    </row>
    <row r="55" spans="1:29" x14ac:dyDescent="0.25">
      <c r="A55" s="214">
        <f t="shared" si="0"/>
        <v>53</v>
      </c>
      <c r="B55" s="214">
        <v>18</v>
      </c>
      <c r="C55" s="225">
        <v>42915</v>
      </c>
      <c r="D55" s="214">
        <v>15103</v>
      </c>
      <c r="E55" s="225">
        <v>42917</v>
      </c>
      <c r="F55" s="214" t="s">
        <v>24</v>
      </c>
      <c r="G55" s="140">
        <v>42887</v>
      </c>
      <c r="H55" s="214">
        <v>11510</v>
      </c>
      <c r="I55" s="214">
        <v>15654</v>
      </c>
      <c r="J55" s="214">
        <v>1151</v>
      </c>
      <c r="K55" s="214"/>
      <c r="L55" s="214"/>
      <c r="M55" s="214"/>
      <c r="N55" s="214"/>
      <c r="O55" s="214"/>
      <c r="P55" s="215">
        <f t="shared" si="4"/>
        <v>28315</v>
      </c>
      <c r="Q55" s="214">
        <v>2650</v>
      </c>
      <c r="R55" s="214"/>
      <c r="S55" s="214">
        <v>2716</v>
      </c>
      <c r="T55" s="214"/>
      <c r="U55" s="214"/>
      <c r="V55" s="214"/>
      <c r="W55" s="214"/>
      <c r="X55" s="214"/>
      <c r="Y55" s="214"/>
      <c r="Z55" s="214"/>
      <c r="AA55" s="216">
        <f t="shared" si="5"/>
        <v>5366</v>
      </c>
      <c r="AB55" s="217">
        <f t="shared" si="3"/>
        <v>22949</v>
      </c>
      <c r="AC55" s="214"/>
    </row>
    <row r="56" spans="1:29" x14ac:dyDescent="0.25">
      <c r="A56" s="214">
        <f t="shared" si="0"/>
        <v>54</v>
      </c>
      <c r="B56" s="214">
        <v>25</v>
      </c>
      <c r="C56" s="225">
        <v>42944</v>
      </c>
      <c r="D56" s="214">
        <v>20970</v>
      </c>
      <c r="E56" s="225">
        <v>42951</v>
      </c>
      <c r="F56" s="214" t="s">
        <v>24</v>
      </c>
      <c r="G56" s="140">
        <v>42917</v>
      </c>
      <c r="H56" s="214">
        <v>11510</v>
      </c>
      <c r="I56" s="214">
        <v>15654</v>
      </c>
      <c r="J56" s="214">
        <v>1151</v>
      </c>
      <c r="K56" s="214"/>
      <c r="L56" s="214"/>
      <c r="M56" s="214"/>
      <c r="N56" s="214"/>
      <c r="O56" s="214"/>
      <c r="P56" s="215">
        <f t="shared" si="4"/>
        <v>28315</v>
      </c>
      <c r="Q56" s="214">
        <v>2650</v>
      </c>
      <c r="R56" s="214"/>
      <c r="S56" s="214">
        <v>2716</v>
      </c>
      <c r="T56" s="214"/>
      <c r="U56" s="214"/>
      <c r="V56" s="214"/>
      <c r="W56" s="214"/>
      <c r="X56" s="214"/>
      <c r="Y56" s="214"/>
      <c r="Z56" s="214"/>
      <c r="AA56" s="216">
        <f t="shared" si="5"/>
        <v>5366</v>
      </c>
      <c r="AB56" s="217">
        <f t="shared" si="3"/>
        <v>22949</v>
      </c>
      <c r="AC56" s="214"/>
    </row>
    <row r="57" spans="1:29" x14ac:dyDescent="0.25">
      <c r="A57" s="214">
        <f t="shared" si="0"/>
        <v>55</v>
      </c>
      <c r="B57" s="214">
        <v>32</v>
      </c>
      <c r="C57" s="225">
        <v>42979</v>
      </c>
      <c r="D57" s="214">
        <v>24832</v>
      </c>
      <c r="E57" s="225">
        <v>42984</v>
      </c>
      <c r="F57" s="214" t="s">
        <v>24</v>
      </c>
      <c r="G57" s="140">
        <v>42948</v>
      </c>
      <c r="H57" s="214">
        <v>11510</v>
      </c>
      <c r="I57" s="214">
        <v>15654</v>
      </c>
      <c r="J57" s="214">
        <v>1151</v>
      </c>
      <c r="K57" s="214"/>
      <c r="L57" s="214"/>
      <c r="M57" s="214"/>
      <c r="N57" s="214"/>
      <c r="O57" s="214"/>
      <c r="P57" s="215">
        <f t="shared" si="4"/>
        <v>28315</v>
      </c>
      <c r="Q57" s="214">
        <v>2650</v>
      </c>
      <c r="R57" s="214"/>
      <c r="S57" s="214">
        <v>2716</v>
      </c>
      <c r="T57" s="214"/>
      <c r="U57" s="214"/>
      <c r="V57" s="214"/>
      <c r="W57" s="214"/>
      <c r="X57" s="214"/>
      <c r="Y57" s="214"/>
      <c r="Z57" s="214"/>
      <c r="AA57" s="216">
        <f t="shared" si="5"/>
        <v>5366</v>
      </c>
      <c r="AB57" s="217">
        <f t="shared" si="3"/>
        <v>22949</v>
      </c>
      <c r="AC57" s="214"/>
    </row>
    <row r="58" spans="1:29" x14ac:dyDescent="0.25">
      <c r="A58" s="214">
        <f t="shared" si="0"/>
        <v>56</v>
      </c>
      <c r="B58" s="214">
        <v>36</v>
      </c>
      <c r="C58" s="225">
        <v>43011</v>
      </c>
      <c r="D58" s="214">
        <v>29089</v>
      </c>
      <c r="E58" s="225">
        <v>43014</v>
      </c>
      <c r="F58" s="214" t="s">
        <v>24</v>
      </c>
      <c r="G58" s="140">
        <v>42979</v>
      </c>
      <c r="H58" s="214">
        <v>11510</v>
      </c>
      <c r="I58" s="214">
        <v>15654</v>
      </c>
      <c r="J58" s="214">
        <v>1151</v>
      </c>
      <c r="K58" s="214"/>
      <c r="L58" s="214"/>
      <c r="M58" s="214"/>
      <c r="N58" s="214"/>
      <c r="O58" s="214"/>
      <c r="P58" s="215">
        <f t="shared" si="4"/>
        <v>28315</v>
      </c>
      <c r="Q58" s="214">
        <v>2650</v>
      </c>
      <c r="R58" s="214"/>
      <c r="S58" s="214">
        <v>2716</v>
      </c>
      <c r="T58" s="214"/>
      <c r="U58" s="214"/>
      <c r="V58" s="214"/>
      <c r="W58" s="214"/>
      <c r="X58" s="214"/>
      <c r="Y58" s="214"/>
      <c r="Z58" s="214"/>
      <c r="AA58" s="216">
        <f t="shared" si="5"/>
        <v>5366</v>
      </c>
      <c r="AB58" s="217">
        <f t="shared" si="3"/>
        <v>22949</v>
      </c>
      <c r="AC58" s="214"/>
    </row>
    <row r="59" spans="1:29" x14ac:dyDescent="0.25">
      <c r="A59" s="214">
        <f t="shared" si="0"/>
        <v>57</v>
      </c>
      <c r="B59" s="214">
        <v>45</v>
      </c>
      <c r="C59" s="225">
        <v>43041</v>
      </c>
      <c r="D59" s="214">
        <v>37958</v>
      </c>
      <c r="E59" s="225">
        <v>43045</v>
      </c>
      <c r="F59" s="214" t="s">
        <v>24</v>
      </c>
      <c r="G59" s="140">
        <v>43009</v>
      </c>
      <c r="H59" s="214">
        <v>11510</v>
      </c>
      <c r="I59" s="214">
        <v>15999</v>
      </c>
      <c r="J59" s="214">
        <v>1151</v>
      </c>
      <c r="K59" s="214"/>
      <c r="L59" s="214"/>
      <c r="M59" s="214"/>
      <c r="N59" s="214"/>
      <c r="O59" s="214"/>
      <c r="P59" s="215">
        <f t="shared" si="4"/>
        <v>28660</v>
      </c>
      <c r="Q59" s="214">
        <v>2650</v>
      </c>
      <c r="R59" s="214"/>
      <c r="S59" s="214">
        <v>2751</v>
      </c>
      <c r="T59" s="214"/>
      <c r="U59" s="214"/>
      <c r="V59" s="214"/>
      <c r="W59" s="214"/>
      <c r="X59" s="214"/>
      <c r="Y59" s="214"/>
      <c r="Z59" s="214"/>
      <c r="AA59" s="216">
        <f t="shared" si="5"/>
        <v>5401</v>
      </c>
      <c r="AB59" s="217">
        <f t="shared" si="3"/>
        <v>23259</v>
      </c>
      <c r="AC59" s="214"/>
    </row>
    <row r="60" spans="1:29" x14ac:dyDescent="0.25">
      <c r="A60" s="214">
        <f t="shared" si="0"/>
        <v>58</v>
      </c>
      <c r="B60" s="214">
        <v>50</v>
      </c>
      <c r="C60" s="225">
        <v>43067</v>
      </c>
      <c r="D60" s="214">
        <v>41798</v>
      </c>
      <c r="E60" s="225">
        <v>43070</v>
      </c>
      <c r="F60" s="214" t="s">
        <v>24</v>
      </c>
      <c r="G60" s="140">
        <v>43040</v>
      </c>
      <c r="H60" s="214">
        <v>11510</v>
      </c>
      <c r="I60" s="214">
        <v>15999</v>
      </c>
      <c r="J60" s="214">
        <v>1151</v>
      </c>
      <c r="K60" s="214"/>
      <c r="L60" s="214"/>
      <c r="M60" s="214"/>
      <c r="N60" s="214"/>
      <c r="O60" s="214"/>
      <c r="P60" s="215">
        <f t="shared" si="4"/>
        <v>28660</v>
      </c>
      <c r="Q60" s="214">
        <v>2650</v>
      </c>
      <c r="R60" s="214"/>
      <c r="S60" s="214">
        <v>2751</v>
      </c>
      <c r="T60" s="214"/>
      <c r="U60" s="214"/>
      <c r="V60" s="214"/>
      <c r="W60" s="214"/>
      <c r="X60" s="214"/>
      <c r="Y60" s="214"/>
      <c r="Z60" s="214"/>
      <c r="AA60" s="216">
        <f t="shared" si="5"/>
        <v>5401</v>
      </c>
      <c r="AB60" s="217">
        <f t="shared" si="3"/>
        <v>23259</v>
      </c>
      <c r="AC60" s="214"/>
    </row>
    <row r="61" spans="1:29" x14ac:dyDescent="0.25">
      <c r="A61" s="214">
        <f t="shared" si="0"/>
        <v>59</v>
      </c>
      <c r="B61" s="214">
        <v>54</v>
      </c>
      <c r="C61" s="225">
        <v>43098</v>
      </c>
      <c r="D61" s="214">
        <v>47622</v>
      </c>
      <c r="E61" s="225">
        <v>43103</v>
      </c>
      <c r="F61" s="214" t="s">
        <v>24</v>
      </c>
      <c r="G61" s="140">
        <v>43070</v>
      </c>
      <c r="H61" s="214">
        <v>11510</v>
      </c>
      <c r="I61" s="214">
        <v>15999</v>
      </c>
      <c r="J61" s="214">
        <v>1151</v>
      </c>
      <c r="K61" s="214"/>
      <c r="L61" s="214"/>
      <c r="M61" s="214"/>
      <c r="N61" s="214"/>
      <c r="O61" s="214"/>
      <c r="P61" s="215">
        <f t="shared" si="4"/>
        <v>28660</v>
      </c>
      <c r="Q61" s="214">
        <v>2650</v>
      </c>
      <c r="R61" s="214"/>
      <c r="S61" s="214">
        <v>2751</v>
      </c>
      <c r="T61" s="214"/>
      <c r="U61" s="214"/>
      <c r="V61" s="214"/>
      <c r="W61" s="214"/>
      <c r="X61" s="214"/>
      <c r="Y61" s="214"/>
      <c r="Z61" s="214"/>
      <c r="AA61" s="216">
        <f t="shared" si="5"/>
        <v>5401</v>
      </c>
      <c r="AB61" s="217">
        <f t="shared" si="3"/>
        <v>23259</v>
      </c>
      <c r="AC61" s="214"/>
    </row>
    <row r="62" spans="1:29" x14ac:dyDescent="0.25">
      <c r="A62" s="214">
        <f t="shared" si="0"/>
        <v>60</v>
      </c>
      <c r="B62" s="214">
        <v>58</v>
      </c>
      <c r="C62" s="225">
        <v>43125</v>
      </c>
      <c r="D62" s="214">
        <v>52864</v>
      </c>
      <c r="E62" s="225">
        <v>43134</v>
      </c>
      <c r="F62" s="214" t="s">
        <v>24</v>
      </c>
      <c r="G62" s="140">
        <v>43101</v>
      </c>
      <c r="H62" s="214">
        <v>28700</v>
      </c>
      <c r="I62" s="214">
        <v>1435</v>
      </c>
      <c r="J62" s="214">
        <v>2296</v>
      </c>
      <c r="K62" s="214"/>
      <c r="L62" s="214"/>
      <c r="M62" s="214"/>
      <c r="N62" s="214"/>
      <c r="O62" s="214"/>
      <c r="P62" s="215">
        <f t="shared" si="4"/>
        <v>32431</v>
      </c>
      <c r="Q62" s="214">
        <v>2650</v>
      </c>
      <c r="R62" s="214"/>
      <c r="S62" s="214">
        <v>3014</v>
      </c>
      <c r="T62" s="214"/>
      <c r="U62" s="214"/>
      <c r="V62" s="214"/>
      <c r="W62" s="214"/>
      <c r="X62" s="214"/>
      <c r="Y62" s="214"/>
      <c r="Z62" s="214"/>
      <c r="AA62" s="216">
        <f t="shared" si="5"/>
        <v>5664</v>
      </c>
      <c r="AB62" s="217">
        <f t="shared" si="3"/>
        <v>26767</v>
      </c>
      <c r="AC62" s="214"/>
    </row>
    <row r="63" spans="1:29" x14ac:dyDescent="0.25">
      <c r="A63" s="214">
        <f t="shared" si="0"/>
        <v>61</v>
      </c>
      <c r="B63" s="214">
        <v>67</v>
      </c>
      <c r="C63" s="225">
        <v>43159</v>
      </c>
      <c r="D63" s="214">
        <v>59059</v>
      </c>
      <c r="E63" s="225">
        <v>43166</v>
      </c>
      <c r="F63" s="214" t="s">
        <v>24</v>
      </c>
      <c r="G63" s="140">
        <v>43132</v>
      </c>
      <c r="H63" s="214">
        <v>28700</v>
      </c>
      <c r="I63" s="214">
        <v>1435</v>
      </c>
      <c r="J63" s="214">
        <v>2296</v>
      </c>
      <c r="K63" s="214"/>
      <c r="L63" s="214"/>
      <c r="M63" s="214"/>
      <c r="N63" s="214"/>
      <c r="O63" s="214"/>
      <c r="P63" s="215">
        <f t="shared" si="4"/>
        <v>32431</v>
      </c>
      <c r="Q63" s="214">
        <v>2650</v>
      </c>
      <c r="R63" s="214"/>
      <c r="S63" s="214">
        <v>3014</v>
      </c>
      <c r="T63" s="214"/>
      <c r="U63" s="214"/>
      <c r="V63" s="214"/>
      <c r="W63" s="214"/>
      <c r="X63" s="214"/>
      <c r="Y63" s="214"/>
      <c r="Z63" s="214"/>
      <c r="AA63" s="216">
        <f t="shared" si="5"/>
        <v>5664</v>
      </c>
      <c r="AB63" s="217">
        <f t="shared" si="3"/>
        <v>26767</v>
      </c>
      <c r="AC63" s="214"/>
    </row>
    <row r="64" spans="1:29" x14ac:dyDescent="0.25">
      <c r="A64" s="214">
        <f t="shared" si="0"/>
        <v>62</v>
      </c>
      <c r="B64" s="143">
        <v>4</v>
      </c>
      <c r="C64" s="226">
        <v>42846</v>
      </c>
      <c r="D64" s="143">
        <v>3532</v>
      </c>
      <c r="E64" s="226">
        <v>42852</v>
      </c>
      <c r="F64" s="214" t="s">
        <v>24</v>
      </c>
      <c r="G64" s="214" t="s">
        <v>171</v>
      </c>
      <c r="H64" s="214"/>
      <c r="I64" s="214">
        <v>1383</v>
      </c>
      <c r="J64" s="214"/>
      <c r="K64" s="214"/>
      <c r="L64" s="214"/>
      <c r="M64" s="214"/>
      <c r="N64" s="214"/>
      <c r="O64" s="214"/>
      <c r="P64" s="215">
        <f t="shared" si="4"/>
        <v>1383</v>
      </c>
      <c r="Q64" s="214"/>
      <c r="R64" s="214"/>
      <c r="S64" s="214">
        <v>138</v>
      </c>
      <c r="T64" s="214"/>
      <c r="U64" s="214"/>
      <c r="V64" s="214"/>
      <c r="W64" s="214"/>
      <c r="X64" s="214"/>
      <c r="Y64" s="214"/>
      <c r="Z64" s="214"/>
      <c r="AA64" s="216">
        <f t="shared" si="5"/>
        <v>138</v>
      </c>
      <c r="AB64" s="217">
        <f t="shared" si="3"/>
        <v>1245</v>
      </c>
      <c r="AC64" s="214"/>
    </row>
    <row r="65" spans="1:29" x14ac:dyDescent="0.25">
      <c r="A65" s="214">
        <f t="shared" si="0"/>
        <v>63</v>
      </c>
      <c r="B65" s="143">
        <v>4</v>
      </c>
      <c r="C65" s="226">
        <v>42846</v>
      </c>
      <c r="D65" s="143">
        <v>3532</v>
      </c>
      <c r="E65" s="226">
        <v>42852</v>
      </c>
      <c r="F65" s="214" t="s">
        <v>24</v>
      </c>
      <c r="G65" s="214" t="s">
        <v>172</v>
      </c>
      <c r="H65" s="214"/>
      <c r="I65" s="214">
        <v>230</v>
      </c>
      <c r="J65" s="214"/>
      <c r="K65" s="214"/>
      <c r="L65" s="214"/>
      <c r="M65" s="214"/>
      <c r="N65" s="214"/>
      <c r="O65" s="214"/>
      <c r="P65" s="215">
        <f t="shared" si="4"/>
        <v>230</v>
      </c>
      <c r="Q65" s="214"/>
      <c r="R65" s="214"/>
      <c r="S65" s="214"/>
      <c r="T65" s="214"/>
      <c r="U65" s="214"/>
      <c r="V65" s="214"/>
      <c r="W65" s="214"/>
      <c r="X65" s="214"/>
      <c r="Y65" s="214"/>
      <c r="Z65" s="214"/>
      <c r="AA65" s="216">
        <f t="shared" si="5"/>
        <v>0</v>
      </c>
      <c r="AB65" s="217">
        <f t="shared" si="3"/>
        <v>230</v>
      </c>
      <c r="AC65" s="214"/>
    </row>
    <row r="66" spans="1:29" x14ac:dyDescent="0.25">
      <c r="A66" s="214">
        <f t="shared" si="0"/>
        <v>64</v>
      </c>
      <c r="B66" s="214">
        <v>39</v>
      </c>
      <c r="C66" s="225">
        <v>43019</v>
      </c>
      <c r="D66" s="214">
        <v>32674</v>
      </c>
      <c r="E66" s="225">
        <v>43021</v>
      </c>
      <c r="F66" s="214" t="s">
        <v>24</v>
      </c>
      <c r="G66" s="214" t="s">
        <v>629</v>
      </c>
      <c r="H66" s="214"/>
      <c r="I66" s="214"/>
      <c r="J66" s="214"/>
      <c r="K66" s="214"/>
      <c r="L66" s="214">
        <v>6774</v>
      </c>
      <c r="M66" s="214"/>
      <c r="N66" s="214"/>
      <c r="O66" s="214"/>
      <c r="P66" s="215">
        <f t="shared" si="4"/>
        <v>6774</v>
      </c>
      <c r="Q66" s="214"/>
      <c r="R66" s="214"/>
      <c r="S66" s="214"/>
      <c r="T66" s="214"/>
      <c r="U66" s="214"/>
      <c r="V66" s="214"/>
      <c r="W66" s="214"/>
      <c r="X66" s="214"/>
      <c r="Y66" s="214"/>
      <c r="Z66" s="214"/>
      <c r="AA66" s="216">
        <f t="shared" si="5"/>
        <v>0</v>
      </c>
      <c r="AB66" s="217">
        <f t="shared" si="3"/>
        <v>6774</v>
      </c>
      <c r="AC66" s="214"/>
    </row>
    <row r="67" spans="1:29" x14ac:dyDescent="0.25">
      <c r="A67" s="214">
        <f t="shared" ref="A67:A130" si="6">IFERROR(VALUE(A66),0)+1</f>
        <v>65</v>
      </c>
      <c r="B67" s="214">
        <v>38</v>
      </c>
      <c r="C67" s="225">
        <v>43019</v>
      </c>
      <c r="D67" s="214">
        <v>32614</v>
      </c>
      <c r="E67" s="225">
        <v>43021</v>
      </c>
      <c r="F67" s="214" t="s">
        <v>24</v>
      </c>
      <c r="G67" s="214" t="s">
        <v>173</v>
      </c>
      <c r="H67" s="214"/>
      <c r="I67" s="214">
        <v>1035</v>
      </c>
      <c r="J67" s="214"/>
      <c r="K67" s="214"/>
      <c r="L67" s="214"/>
      <c r="M67" s="214"/>
      <c r="N67" s="214"/>
      <c r="O67" s="214"/>
      <c r="P67" s="215">
        <f t="shared" ref="P67:P98" si="7">SUM(H67:O67)</f>
        <v>1035</v>
      </c>
      <c r="Q67" s="214"/>
      <c r="R67" s="214"/>
      <c r="S67" s="214">
        <v>105</v>
      </c>
      <c r="T67" s="214"/>
      <c r="U67" s="214"/>
      <c r="V67" s="214"/>
      <c r="W67" s="214"/>
      <c r="X67" s="214"/>
      <c r="Y67" s="214"/>
      <c r="Z67" s="214"/>
      <c r="AA67" s="216">
        <f t="shared" ref="AA67:AA98" si="8">SUM(Q67:Z67)</f>
        <v>105</v>
      </c>
      <c r="AB67" s="217">
        <f t="shared" si="3"/>
        <v>930</v>
      </c>
      <c r="AC67" s="214"/>
    </row>
    <row r="68" spans="1:29" ht="30" x14ac:dyDescent="0.25">
      <c r="A68" s="214">
        <f t="shared" si="6"/>
        <v>66</v>
      </c>
      <c r="B68" s="214">
        <v>60</v>
      </c>
      <c r="C68" s="225">
        <v>43137</v>
      </c>
      <c r="D68" s="214">
        <v>54288</v>
      </c>
      <c r="E68" s="225">
        <v>43146</v>
      </c>
      <c r="F68" s="214" t="s">
        <v>24</v>
      </c>
      <c r="G68" s="214" t="s">
        <v>191</v>
      </c>
      <c r="H68" s="214">
        <v>51570</v>
      </c>
      <c r="I68" s="214">
        <v>-43692</v>
      </c>
      <c r="J68" s="214">
        <v>3435</v>
      </c>
      <c r="K68" s="214"/>
      <c r="L68" s="214"/>
      <c r="M68" s="214"/>
      <c r="N68" s="214"/>
      <c r="O68" s="214"/>
      <c r="P68" s="215">
        <f t="shared" si="7"/>
        <v>11313</v>
      </c>
      <c r="Q68" s="214"/>
      <c r="R68" s="214"/>
      <c r="S68" s="214">
        <v>789</v>
      </c>
      <c r="T68" s="214"/>
      <c r="U68" s="214"/>
      <c r="V68" s="214"/>
      <c r="W68" s="214"/>
      <c r="X68" s="214"/>
      <c r="Y68" s="214"/>
      <c r="Z68" s="214"/>
      <c r="AA68" s="216">
        <f t="shared" si="8"/>
        <v>789</v>
      </c>
      <c r="AB68" s="217">
        <f t="shared" ref="AB68:AB131" si="9">P68-AA68</f>
        <v>10524</v>
      </c>
      <c r="AC68" s="214"/>
    </row>
    <row r="69" spans="1:29" x14ac:dyDescent="0.25">
      <c r="A69" s="214">
        <f t="shared" si="6"/>
        <v>67</v>
      </c>
      <c r="B69" s="214">
        <v>66</v>
      </c>
      <c r="C69" s="225">
        <v>43159</v>
      </c>
      <c r="D69" s="214">
        <v>58697</v>
      </c>
      <c r="E69" s="225">
        <v>43165</v>
      </c>
      <c r="F69" s="214" t="s">
        <v>24</v>
      </c>
      <c r="G69" s="214" t="s">
        <v>25</v>
      </c>
      <c r="H69" s="214">
        <v>14350</v>
      </c>
      <c r="I69" s="214">
        <v>718</v>
      </c>
      <c r="J69" s="214"/>
      <c r="K69" s="214"/>
      <c r="L69" s="214"/>
      <c r="M69" s="214"/>
      <c r="N69" s="214"/>
      <c r="O69" s="214"/>
      <c r="P69" s="215">
        <f t="shared" si="7"/>
        <v>15068</v>
      </c>
      <c r="Q69" s="214"/>
      <c r="R69" s="214"/>
      <c r="S69" s="214"/>
      <c r="T69" s="214"/>
      <c r="U69" s="214"/>
      <c r="V69" s="214"/>
      <c r="W69" s="214"/>
      <c r="X69" s="214"/>
      <c r="Y69" s="214"/>
      <c r="Z69" s="214"/>
      <c r="AA69" s="216">
        <f t="shared" si="8"/>
        <v>0</v>
      </c>
      <c r="AB69" s="217">
        <f t="shared" si="9"/>
        <v>15068</v>
      </c>
      <c r="AC69" s="214"/>
    </row>
    <row r="70" spans="1:29" x14ac:dyDescent="0.25">
      <c r="A70" s="214">
        <f t="shared" si="6"/>
        <v>68</v>
      </c>
      <c r="B70" s="214">
        <v>1</v>
      </c>
      <c r="C70" s="225">
        <v>43200</v>
      </c>
      <c r="D70" s="214">
        <v>2261</v>
      </c>
      <c r="E70" s="225">
        <v>43206</v>
      </c>
      <c r="F70" s="214" t="s">
        <v>192</v>
      </c>
      <c r="G70" s="140">
        <v>43160</v>
      </c>
      <c r="H70" s="214">
        <v>28700</v>
      </c>
      <c r="I70" s="214">
        <v>2009</v>
      </c>
      <c r="J70" s="214">
        <v>2296</v>
      </c>
      <c r="K70" s="214"/>
      <c r="L70" s="214"/>
      <c r="M70" s="214"/>
      <c r="N70" s="214"/>
      <c r="O70" s="214"/>
      <c r="P70" s="215">
        <f t="shared" si="7"/>
        <v>33005</v>
      </c>
      <c r="Q70" s="214">
        <v>3000</v>
      </c>
      <c r="R70" s="214"/>
      <c r="S70" s="214">
        <v>3071</v>
      </c>
      <c r="T70" s="214"/>
      <c r="U70" s="214"/>
      <c r="V70" s="214"/>
      <c r="W70" s="214"/>
      <c r="X70" s="214"/>
      <c r="Y70" s="214"/>
      <c r="Z70" s="214"/>
      <c r="AA70" s="216">
        <f t="shared" si="8"/>
        <v>6071</v>
      </c>
      <c r="AB70" s="217">
        <f t="shared" si="9"/>
        <v>26934</v>
      </c>
      <c r="AC70" s="214"/>
    </row>
    <row r="71" spans="1:29" x14ac:dyDescent="0.25">
      <c r="A71" s="214">
        <f t="shared" si="6"/>
        <v>69</v>
      </c>
      <c r="B71" s="214">
        <v>13</v>
      </c>
      <c r="C71" s="225">
        <v>43249</v>
      </c>
      <c r="D71" s="214">
        <v>12293</v>
      </c>
      <c r="E71" s="225">
        <v>43249</v>
      </c>
      <c r="F71" s="214" t="s">
        <v>192</v>
      </c>
      <c r="G71" s="140">
        <v>43191</v>
      </c>
      <c r="H71" s="214">
        <v>28700</v>
      </c>
      <c r="I71" s="214">
        <v>2009</v>
      </c>
      <c r="J71" s="214">
        <v>2296</v>
      </c>
      <c r="K71" s="214"/>
      <c r="L71" s="214"/>
      <c r="M71" s="214"/>
      <c r="N71" s="214"/>
      <c r="O71" s="214"/>
      <c r="P71" s="215">
        <f t="shared" si="7"/>
        <v>33005</v>
      </c>
      <c r="Q71" s="214">
        <v>3000</v>
      </c>
      <c r="R71" s="214"/>
      <c r="S71" s="214">
        <v>3071</v>
      </c>
      <c r="T71" s="214">
        <v>220</v>
      </c>
      <c r="U71" s="214"/>
      <c r="V71" s="214"/>
      <c r="W71" s="214"/>
      <c r="X71" s="214"/>
      <c r="Y71" s="214"/>
      <c r="Z71" s="214"/>
      <c r="AA71" s="216">
        <f t="shared" si="8"/>
        <v>6291</v>
      </c>
      <c r="AB71" s="217">
        <f t="shared" si="9"/>
        <v>26714</v>
      </c>
      <c r="AC71" s="214"/>
    </row>
    <row r="72" spans="1:29" x14ac:dyDescent="0.25">
      <c r="A72" s="214">
        <f t="shared" si="6"/>
        <v>70</v>
      </c>
      <c r="B72" s="214">
        <v>14</v>
      </c>
      <c r="C72" s="225">
        <v>43249</v>
      </c>
      <c r="D72" s="214">
        <v>14665</v>
      </c>
      <c r="E72" s="225">
        <v>43252</v>
      </c>
      <c r="F72" s="214" t="s">
        <v>192</v>
      </c>
      <c r="G72" s="140">
        <v>43221</v>
      </c>
      <c r="H72" s="214">
        <v>28700</v>
      </c>
      <c r="I72" s="214">
        <v>2009</v>
      </c>
      <c r="J72" s="214">
        <v>2296</v>
      </c>
      <c r="K72" s="214"/>
      <c r="L72" s="214"/>
      <c r="M72" s="214"/>
      <c r="N72" s="214"/>
      <c r="O72" s="214"/>
      <c r="P72" s="215">
        <f t="shared" si="7"/>
        <v>33005</v>
      </c>
      <c r="Q72" s="214">
        <v>3000</v>
      </c>
      <c r="R72" s="214"/>
      <c r="S72" s="214">
        <v>3071</v>
      </c>
      <c r="T72" s="214"/>
      <c r="U72" s="214"/>
      <c r="V72" s="214"/>
      <c r="W72" s="214"/>
      <c r="X72" s="214"/>
      <c r="Y72" s="214"/>
      <c r="Z72" s="214"/>
      <c r="AA72" s="216">
        <f t="shared" si="8"/>
        <v>6071</v>
      </c>
      <c r="AB72" s="217">
        <f t="shared" si="9"/>
        <v>26934</v>
      </c>
      <c r="AC72" s="214"/>
    </row>
    <row r="73" spans="1:29" x14ac:dyDescent="0.25">
      <c r="A73" s="214">
        <f t="shared" si="6"/>
        <v>71</v>
      </c>
      <c r="B73" s="214">
        <v>22</v>
      </c>
      <c r="C73" s="225">
        <v>43276</v>
      </c>
      <c r="D73" s="214">
        <v>20799</v>
      </c>
      <c r="E73" s="225">
        <v>43283</v>
      </c>
      <c r="F73" s="214" t="s">
        <v>192</v>
      </c>
      <c r="G73" s="140">
        <v>43252</v>
      </c>
      <c r="H73" s="214">
        <v>28700</v>
      </c>
      <c r="I73" s="214">
        <v>2009</v>
      </c>
      <c r="J73" s="214">
        <v>2296</v>
      </c>
      <c r="K73" s="214"/>
      <c r="L73" s="214"/>
      <c r="M73" s="214"/>
      <c r="N73" s="214"/>
      <c r="O73" s="214"/>
      <c r="P73" s="215">
        <f t="shared" si="7"/>
        <v>33005</v>
      </c>
      <c r="Q73" s="214">
        <v>3000</v>
      </c>
      <c r="R73" s="214"/>
      <c r="S73" s="214">
        <v>3071</v>
      </c>
      <c r="T73" s="214"/>
      <c r="U73" s="214"/>
      <c r="V73" s="214"/>
      <c r="W73" s="214"/>
      <c r="X73" s="214"/>
      <c r="Y73" s="214"/>
      <c r="Z73" s="214"/>
      <c r="AA73" s="216">
        <f t="shared" si="8"/>
        <v>6071</v>
      </c>
      <c r="AB73" s="217">
        <f t="shared" si="9"/>
        <v>26934</v>
      </c>
      <c r="AC73" s="214"/>
    </row>
    <row r="74" spans="1:29" x14ac:dyDescent="0.25">
      <c r="A74" s="214">
        <f t="shared" si="6"/>
        <v>72</v>
      </c>
      <c r="B74" s="214">
        <v>29</v>
      </c>
      <c r="C74" s="225">
        <v>43307</v>
      </c>
      <c r="D74" s="214">
        <v>28948</v>
      </c>
      <c r="E74" s="225">
        <v>43313</v>
      </c>
      <c r="F74" s="214" t="s">
        <v>192</v>
      </c>
      <c r="G74" s="140">
        <v>43282</v>
      </c>
      <c r="H74" s="214">
        <v>29600</v>
      </c>
      <c r="I74" s="214">
        <v>2072</v>
      </c>
      <c r="J74" s="214">
        <v>2368</v>
      </c>
      <c r="K74" s="214"/>
      <c r="L74" s="214"/>
      <c r="M74" s="214"/>
      <c r="N74" s="214"/>
      <c r="O74" s="214"/>
      <c r="P74" s="215">
        <f t="shared" si="7"/>
        <v>34040</v>
      </c>
      <c r="Q74" s="214">
        <v>3000</v>
      </c>
      <c r="R74" s="214"/>
      <c r="S74" s="214">
        <v>3167</v>
      </c>
      <c r="T74" s="214"/>
      <c r="U74" s="214"/>
      <c r="V74" s="214"/>
      <c r="W74" s="214"/>
      <c r="X74" s="214"/>
      <c r="Y74" s="214"/>
      <c r="Z74" s="214"/>
      <c r="AA74" s="216">
        <f t="shared" si="8"/>
        <v>6167</v>
      </c>
      <c r="AB74" s="217">
        <f t="shared" si="9"/>
        <v>27873</v>
      </c>
      <c r="AC74" s="214"/>
    </row>
    <row r="75" spans="1:29" x14ac:dyDescent="0.25">
      <c r="A75" s="214">
        <f t="shared" si="6"/>
        <v>73</v>
      </c>
      <c r="B75" s="214">
        <v>37</v>
      </c>
      <c r="C75" s="225">
        <v>43340</v>
      </c>
      <c r="D75" s="214">
        <v>38148</v>
      </c>
      <c r="E75" s="225">
        <v>43344</v>
      </c>
      <c r="F75" s="214" t="s">
        <v>192</v>
      </c>
      <c r="G75" s="140">
        <v>43313</v>
      </c>
      <c r="H75" s="214">
        <v>29600</v>
      </c>
      <c r="I75" s="214">
        <v>2072</v>
      </c>
      <c r="J75" s="214">
        <v>2368</v>
      </c>
      <c r="K75" s="214"/>
      <c r="L75" s="214"/>
      <c r="M75" s="214"/>
      <c r="N75" s="214"/>
      <c r="O75" s="214"/>
      <c r="P75" s="215">
        <f t="shared" si="7"/>
        <v>34040</v>
      </c>
      <c r="Q75" s="214">
        <v>3000</v>
      </c>
      <c r="R75" s="214"/>
      <c r="S75" s="214">
        <v>3167</v>
      </c>
      <c r="T75" s="214"/>
      <c r="U75" s="214"/>
      <c r="V75" s="214"/>
      <c r="W75" s="214"/>
      <c r="X75" s="214"/>
      <c r="Y75" s="214"/>
      <c r="Z75" s="214"/>
      <c r="AA75" s="216">
        <f t="shared" si="8"/>
        <v>6167</v>
      </c>
      <c r="AB75" s="217">
        <f t="shared" si="9"/>
        <v>27873</v>
      </c>
      <c r="AC75" s="214"/>
    </row>
    <row r="76" spans="1:29" x14ac:dyDescent="0.25">
      <c r="A76" s="214">
        <f t="shared" si="6"/>
        <v>74</v>
      </c>
      <c r="B76" s="214">
        <v>42</v>
      </c>
      <c r="C76" s="225">
        <v>43378</v>
      </c>
      <c r="D76" s="214">
        <v>45759</v>
      </c>
      <c r="E76" s="225">
        <v>43382</v>
      </c>
      <c r="F76" s="214" t="s">
        <v>192</v>
      </c>
      <c r="G76" s="140">
        <v>43344</v>
      </c>
      <c r="H76" s="214">
        <v>29600</v>
      </c>
      <c r="I76" s="214">
        <v>2072</v>
      </c>
      <c r="J76" s="214">
        <v>2368</v>
      </c>
      <c r="K76" s="214"/>
      <c r="L76" s="214"/>
      <c r="M76" s="214"/>
      <c r="N76" s="214"/>
      <c r="O76" s="214"/>
      <c r="P76" s="215">
        <f t="shared" si="7"/>
        <v>34040</v>
      </c>
      <c r="Q76" s="214">
        <v>3000</v>
      </c>
      <c r="R76" s="214"/>
      <c r="S76" s="214">
        <v>3167</v>
      </c>
      <c r="T76" s="214"/>
      <c r="U76" s="214"/>
      <c r="V76" s="214"/>
      <c r="W76" s="214"/>
      <c r="X76" s="214"/>
      <c r="Y76" s="214"/>
      <c r="Z76" s="214"/>
      <c r="AA76" s="216">
        <f t="shared" si="8"/>
        <v>6167</v>
      </c>
      <c r="AB76" s="217">
        <f t="shared" si="9"/>
        <v>27873</v>
      </c>
      <c r="AC76" s="214"/>
    </row>
    <row r="77" spans="1:29" x14ac:dyDescent="0.25">
      <c r="A77" s="214">
        <f t="shared" si="6"/>
        <v>75</v>
      </c>
      <c r="B77" s="214">
        <v>52</v>
      </c>
      <c r="C77" s="225">
        <v>43409</v>
      </c>
      <c r="D77" s="214">
        <v>64791</v>
      </c>
      <c r="E77" s="225">
        <v>43412</v>
      </c>
      <c r="F77" s="214" t="s">
        <v>192</v>
      </c>
      <c r="G77" s="140">
        <v>43374</v>
      </c>
      <c r="H77" s="214">
        <v>29600</v>
      </c>
      <c r="I77" s="214">
        <v>2664</v>
      </c>
      <c r="J77" s="214">
        <v>2368</v>
      </c>
      <c r="K77" s="214"/>
      <c r="L77" s="214"/>
      <c r="M77" s="214"/>
      <c r="N77" s="214"/>
      <c r="O77" s="214"/>
      <c r="P77" s="215">
        <f t="shared" si="7"/>
        <v>34632</v>
      </c>
      <c r="Q77" s="214">
        <v>3000</v>
      </c>
      <c r="R77" s="214"/>
      <c r="S77" s="214">
        <v>3226</v>
      </c>
      <c r="T77" s="214"/>
      <c r="U77" s="214"/>
      <c r="V77" s="214"/>
      <c r="W77" s="214"/>
      <c r="X77" s="214"/>
      <c r="Y77" s="214"/>
      <c r="Z77" s="214"/>
      <c r="AA77" s="216">
        <f t="shared" si="8"/>
        <v>6226</v>
      </c>
      <c r="AB77" s="217">
        <f t="shared" si="9"/>
        <v>28406</v>
      </c>
      <c r="AC77" s="214"/>
    </row>
    <row r="78" spans="1:29" x14ac:dyDescent="0.25">
      <c r="A78" s="214">
        <f t="shared" si="6"/>
        <v>76</v>
      </c>
      <c r="B78" s="214">
        <v>56</v>
      </c>
      <c r="C78" s="225">
        <v>43440</v>
      </c>
      <c r="D78" s="214">
        <v>78389</v>
      </c>
      <c r="E78" s="225">
        <v>43470</v>
      </c>
      <c r="F78" s="214" t="s">
        <v>192</v>
      </c>
      <c r="G78" s="140">
        <v>43405</v>
      </c>
      <c r="H78" s="214">
        <v>29600</v>
      </c>
      <c r="I78" s="214">
        <v>2664</v>
      </c>
      <c r="J78" s="214">
        <v>2368</v>
      </c>
      <c r="K78" s="214"/>
      <c r="L78" s="214"/>
      <c r="M78" s="214"/>
      <c r="N78" s="214"/>
      <c r="O78" s="214"/>
      <c r="P78" s="215">
        <f t="shared" si="7"/>
        <v>34632</v>
      </c>
      <c r="Q78" s="214">
        <v>3000</v>
      </c>
      <c r="R78" s="214"/>
      <c r="S78" s="214">
        <v>3226</v>
      </c>
      <c r="T78" s="214"/>
      <c r="U78" s="214"/>
      <c r="V78" s="214"/>
      <c r="W78" s="214"/>
      <c r="X78" s="214"/>
      <c r="Y78" s="214"/>
      <c r="Z78" s="214"/>
      <c r="AA78" s="216">
        <f t="shared" si="8"/>
        <v>6226</v>
      </c>
      <c r="AB78" s="217">
        <f t="shared" si="9"/>
        <v>28406</v>
      </c>
      <c r="AC78" s="214"/>
    </row>
    <row r="79" spans="1:29" x14ac:dyDescent="0.25">
      <c r="A79" s="214">
        <f t="shared" si="6"/>
        <v>77</v>
      </c>
      <c r="B79" s="214">
        <v>64</v>
      </c>
      <c r="C79" s="225">
        <v>43500</v>
      </c>
      <c r="D79" s="214">
        <v>84676</v>
      </c>
      <c r="E79" s="225">
        <v>43503</v>
      </c>
      <c r="F79" s="214" t="s">
        <v>192</v>
      </c>
      <c r="G79" s="140">
        <v>43435</v>
      </c>
      <c r="H79" s="214">
        <v>29600</v>
      </c>
      <c r="I79" s="214">
        <v>2664</v>
      </c>
      <c r="J79" s="214">
        <v>2368</v>
      </c>
      <c r="K79" s="214"/>
      <c r="L79" s="214"/>
      <c r="M79" s="214"/>
      <c r="N79" s="214"/>
      <c r="O79" s="214"/>
      <c r="P79" s="215">
        <f t="shared" si="7"/>
        <v>34632</v>
      </c>
      <c r="Q79" s="214">
        <v>3000</v>
      </c>
      <c r="R79" s="214"/>
      <c r="S79" s="214">
        <v>3226</v>
      </c>
      <c r="T79" s="214"/>
      <c r="U79" s="214"/>
      <c r="V79" s="214"/>
      <c r="W79" s="214"/>
      <c r="X79" s="214"/>
      <c r="Y79" s="214"/>
      <c r="Z79" s="214"/>
      <c r="AA79" s="216">
        <f t="shared" si="8"/>
        <v>6226</v>
      </c>
      <c r="AB79" s="217">
        <f t="shared" si="9"/>
        <v>28406</v>
      </c>
      <c r="AC79" s="214"/>
    </row>
    <row r="80" spans="1:29" x14ac:dyDescent="0.25">
      <c r="A80" s="214">
        <f t="shared" si="6"/>
        <v>78</v>
      </c>
      <c r="B80" s="214">
        <v>66</v>
      </c>
      <c r="C80" s="225">
        <v>43500</v>
      </c>
      <c r="D80" s="214">
        <v>84675</v>
      </c>
      <c r="E80" s="225">
        <v>43503</v>
      </c>
      <c r="F80" s="214" t="s">
        <v>192</v>
      </c>
      <c r="G80" s="140">
        <v>43466</v>
      </c>
      <c r="H80" s="214">
        <v>29600</v>
      </c>
      <c r="I80" s="214">
        <v>2664</v>
      </c>
      <c r="J80" s="214">
        <v>2368</v>
      </c>
      <c r="K80" s="214"/>
      <c r="L80" s="214"/>
      <c r="M80" s="214"/>
      <c r="N80" s="214"/>
      <c r="O80" s="214"/>
      <c r="P80" s="215">
        <f t="shared" si="7"/>
        <v>34632</v>
      </c>
      <c r="Q80" s="214">
        <v>3000</v>
      </c>
      <c r="R80" s="214"/>
      <c r="S80" s="214">
        <v>3226</v>
      </c>
      <c r="T80" s="214"/>
      <c r="U80" s="214"/>
      <c r="V80" s="214"/>
      <c r="W80" s="214"/>
      <c r="X80" s="214"/>
      <c r="Y80" s="214"/>
      <c r="Z80" s="214"/>
      <c r="AA80" s="216">
        <f t="shared" si="8"/>
        <v>6226</v>
      </c>
      <c r="AB80" s="217">
        <f t="shared" si="9"/>
        <v>28406</v>
      </c>
      <c r="AC80" s="214"/>
    </row>
    <row r="81" spans="1:29" x14ac:dyDescent="0.25">
      <c r="A81" s="214">
        <f t="shared" si="6"/>
        <v>79</v>
      </c>
      <c r="B81" s="214">
        <v>77</v>
      </c>
      <c r="C81" s="225">
        <v>43524</v>
      </c>
      <c r="D81" s="214">
        <v>89654</v>
      </c>
      <c r="E81" s="225">
        <v>43526</v>
      </c>
      <c r="F81" s="214" t="s">
        <v>192</v>
      </c>
      <c r="G81" s="140">
        <v>43497</v>
      </c>
      <c r="H81" s="214">
        <v>29600</v>
      </c>
      <c r="I81" s="214">
        <v>2664</v>
      </c>
      <c r="J81" s="214">
        <v>2368</v>
      </c>
      <c r="K81" s="214"/>
      <c r="L81" s="214"/>
      <c r="M81" s="214"/>
      <c r="N81" s="214"/>
      <c r="O81" s="214"/>
      <c r="P81" s="215">
        <f t="shared" si="7"/>
        <v>34632</v>
      </c>
      <c r="Q81" s="214">
        <v>3000</v>
      </c>
      <c r="R81" s="214"/>
      <c r="S81" s="214">
        <v>3226</v>
      </c>
      <c r="T81" s="214"/>
      <c r="U81" s="214"/>
      <c r="V81" s="214"/>
      <c r="W81" s="214"/>
      <c r="X81" s="214"/>
      <c r="Y81" s="214"/>
      <c r="Z81" s="214"/>
      <c r="AA81" s="216">
        <f t="shared" si="8"/>
        <v>6226</v>
      </c>
      <c r="AB81" s="217">
        <f t="shared" si="9"/>
        <v>28406</v>
      </c>
      <c r="AC81" s="214"/>
    </row>
    <row r="82" spans="1:29" x14ac:dyDescent="0.25">
      <c r="A82" s="214">
        <f t="shared" si="6"/>
        <v>80</v>
      </c>
      <c r="B82" s="143">
        <v>2</v>
      </c>
      <c r="C82" s="226">
        <v>44305</v>
      </c>
      <c r="D82" s="143">
        <v>4380</v>
      </c>
      <c r="E82" s="226">
        <v>43215</v>
      </c>
      <c r="F82" s="214" t="s">
        <v>192</v>
      </c>
      <c r="G82" s="214" t="s">
        <v>171</v>
      </c>
      <c r="H82" s="214"/>
      <c r="I82" s="214">
        <v>1148</v>
      </c>
      <c r="J82" s="214"/>
      <c r="K82" s="214"/>
      <c r="L82" s="214"/>
      <c r="M82" s="214"/>
      <c r="N82" s="214"/>
      <c r="O82" s="214"/>
      <c r="P82" s="215">
        <f t="shared" si="7"/>
        <v>1148</v>
      </c>
      <c r="Q82" s="214"/>
      <c r="R82" s="214"/>
      <c r="S82" s="214">
        <v>114</v>
      </c>
      <c r="T82" s="214"/>
      <c r="U82" s="214"/>
      <c r="V82" s="214"/>
      <c r="W82" s="214"/>
      <c r="X82" s="214"/>
      <c r="Y82" s="214"/>
      <c r="Z82" s="214"/>
      <c r="AA82" s="216">
        <f t="shared" si="8"/>
        <v>114</v>
      </c>
      <c r="AB82" s="217">
        <f t="shared" si="9"/>
        <v>1034</v>
      </c>
      <c r="AC82" s="214"/>
    </row>
    <row r="83" spans="1:29" x14ac:dyDescent="0.25">
      <c r="A83" s="214">
        <f t="shared" si="6"/>
        <v>81</v>
      </c>
      <c r="B83" s="143">
        <v>2</v>
      </c>
      <c r="C83" s="226">
        <v>44305</v>
      </c>
      <c r="D83" s="143">
        <v>4380</v>
      </c>
      <c r="E83" s="226">
        <v>43215</v>
      </c>
      <c r="F83" s="214" t="s">
        <v>192</v>
      </c>
      <c r="G83" s="214" t="s">
        <v>172</v>
      </c>
      <c r="H83" s="214"/>
      <c r="I83" s="214"/>
      <c r="J83" s="214"/>
      <c r="K83" s="214"/>
      <c r="L83" s="214"/>
      <c r="M83" s="214">
        <v>287</v>
      </c>
      <c r="N83" s="214"/>
      <c r="O83" s="214"/>
      <c r="P83" s="215">
        <f t="shared" si="7"/>
        <v>287</v>
      </c>
      <c r="Q83" s="214"/>
      <c r="R83" s="214"/>
      <c r="S83" s="214"/>
      <c r="T83" s="214"/>
      <c r="U83" s="214"/>
      <c r="V83" s="214"/>
      <c r="W83" s="214"/>
      <c r="X83" s="214"/>
      <c r="Y83" s="214"/>
      <c r="Z83" s="214"/>
      <c r="AA83" s="216">
        <f t="shared" si="8"/>
        <v>0</v>
      </c>
      <c r="AB83" s="217">
        <f t="shared" si="9"/>
        <v>287</v>
      </c>
      <c r="AC83" s="214"/>
    </row>
    <row r="84" spans="1:29" x14ac:dyDescent="0.25">
      <c r="A84" s="214">
        <f t="shared" si="6"/>
        <v>82</v>
      </c>
      <c r="B84" s="214">
        <v>49</v>
      </c>
      <c r="C84" s="225">
        <v>43405</v>
      </c>
      <c r="D84" s="214">
        <v>57763</v>
      </c>
      <c r="E84" s="225">
        <v>43407</v>
      </c>
      <c r="F84" s="214" t="s">
        <v>192</v>
      </c>
      <c r="G84" s="214" t="s">
        <v>629</v>
      </c>
      <c r="H84" s="214"/>
      <c r="I84" s="214"/>
      <c r="J84" s="214"/>
      <c r="K84" s="214"/>
      <c r="L84" s="214">
        <v>6774</v>
      </c>
      <c r="M84" s="214"/>
      <c r="N84" s="214"/>
      <c r="O84" s="214"/>
      <c r="P84" s="215">
        <f t="shared" si="7"/>
        <v>6774</v>
      </c>
      <c r="Q84" s="214"/>
      <c r="R84" s="214"/>
      <c r="S84" s="214"/>
      <c r="T84" s="214"/>
      <c r="U84" s="214"/>
      <c r="V84" s="214"/>
      <c r="W84" s="214"/>
      <c r="X84" s="214"/>
      <c r="Y84" s="214"/>
      <c r="Z84" s="214"/>
      <c r="AA84" s="216">
        <f t="shared" si="8"/>
        <v>0</v>
      </c>
      <c r="AB84" s="217">
        <f t="shared" si="9"/>
        <v>6774</v>
      </c>
      <c r="AC84" s="214"/>
    </row>
    <row r="85" spans="1:29" x14ac:dyDescent="0.25">
      <c r="A85" s="214">
        <f t="shared" si="6"/>
        <v>83</v>
      </c>
      <c r="B85" s="214">
        <v>43</v>
      </c>
      <c r="C85" s="225">
        <v>43382</v>
      </c>
      <c r="D85" s="214">
        <v>51682</v>
      </c>
      <c r="E85" s="225">
        <v>43403</v>
      </c>
      <c r="F85" s="214" t="s">
        <v>192</v>
      </c>
      <c r="G85" s="214" t="s">
        <v>236</v>
      </c>
      <c r="H85" s="214"/>
      <c r="I85" s="214">
        <v>1776</v>
      </c>
      <c r="J85" s="214"/>
      <c r="K85" s="214"/>
      <c r="L85" s="214"/>
      <c r="M85" s="214"/>
      <c r="N85" s="214"/>
      <c r="O85" s="214"/>
      <c r="P85" s="215">
        <f t="shared" si="7"/>
        <v>1776</v>
      </c>
      <c r="Q85" s="214"/>
      <c r="R85" s="214"/>
      <c r="S85" s="214">
        <v>177</v>
      </c>
      <c r="T85" s="214"/>
      <c r="U85" s="214"/>
      <c r="V85" s="214"/>
      <c r="W85" s="214"/>
      <c r="X85" s="214"/>
      <c r="Y85" s="214"/>
      <c r="Z85" s="214"/>
      <c r="AA85" s="216">
        <f t="shared" si="8"/>
        <v>177</v>
      </c>
      <c r="AB85" s="217">
        <f t="shared" si="9"/>
        <v>1599</v>
      </c>
      <c r="AC85" s="214"/>
    </row>
    <row r="86" spans="1:29" ht="30" x14ac:dyDescent="0.25">
      <c r="A86" s="214">
        <f t="shared" si="6"/>
        <v>84</v>
      </c>
      <c r="B86" s="214">
        <v>7</v>
      </c>
      <c r="C86" s="225">
        <v>43229</v>
      </c>
      <c r="D86" s="214">
        <v>10650</v>
      </c>
      <c r="E86" s="225">
        <v>43239</v>
      </c>
      <c r="F86" s="214" t="s">
        <v>192</v>
      </c>
      <c r="G86" s="214" t="s">
        <v>193</v>
      </c>
      <c r="H86" s="214">
        <v>47432</v>
      </c>
      <c r="I86" s="214">
        <v>-41454</v>
      </c>
      <c r="J86" s="214"/>
      <c r="K86" s="214"/>
      <c r="L86" s="214"/>
      <c r="M86" s="214"/>
      <c r="N86" s="214"/>
      <c r="O86" s="214"/>
      <c r="P86" s="215">
        <f t="shared" si="7"/>
        <v>5978</v>
      </c>
      <c r="Q86" s="214"/>
      <c r="R86" s="214"/>
      <c r="S86" s="214">
        <v>573</v>
      </c>
      <c r="T86" s="214"/>
      <c r="U86" s="214"/>
      <c r="V86" s="214"/>
      <c r="W86" s="214"/>
      <c r="X86" s="214"/>
      <c r="Y86" s="214"/>
      <c r="Z86" s="214"/>
      <c r="AA86" s="216">
        <f t="shared" si="8"/>
        <v>573</v>
      </c>
      <c r="AB86" s="217">
        <f t="shared" si="9"/>
        <v>5405</v>
      </c>
      <c r="AC86" s="214"/>
    </row>
    <row r="87" spans="1:29" ht="30" x14ac:dyDescent="0.25">
      <c r="A87" s="214">
        <f t="shared" si="6"/>
        <v>85</v>
      </c>
      <c r="B87" s="214">
        <v>25</v>
      </c>
      <c r="C87" s="225">
        <v>43298</v>
      </c>
      <c r="D87" s="214">
        <v>27703</v>
      </c>
      <c r="E87" s="225">
        <v>43312</v>
      </c>
      <c r="F87" s="214" t="s">
        <v>192</v>
      </c>
      <c r="G87" s="214" t="s">
        <v>208</v>
      </c>
      <c r="H87" s="214">
        <v>47432</v>
      </c>
      <c r="I87" s="214">
        <v>-41454</v>
      </c>
      <c r="J87" s="214"/>
      <c r="K87" s="214"/>
      <c r="L87" s="214"/>
      <c r="M87" s="214"/>
      <c r="N87" s="214"/>
      <c r="O87" s="214"/>
      <c r="P87" s="215">
        <f t="shared" si="7"/>
        <v>5978</v>
      </c>
      <c r="Q87" s="214"/>
      <c r="R87" s="214"/>
      <c r="S87" s="214">
        <v>573</v>
      </c>
      <c r="T87" s="214"/>
      <c r="U87" s="214"/>
      <c r="V87" s="214"/>
      <c r="W87" s="214"/>
      <c r="X87" s="214"/>
      <c r="Y87" s="214"/>
      <c r="Z87" s="214"/>
      <c r="AA87" s="216">
        <f t="shared" si="8"/>
        <v>573</v>
      </c>
      <c r="AB87" s="217">
        <f t="shared" si="9"/>
        <v>5405</v>
      </c>
      <c r="AC87" s="214"/>
    </row>
    <row r="88" spans="1:29" x14ac:dyDescent="0.25">
      <c r="A88" s="214">
        <f t="shared" si="6"/>
        <v>86</v>
      </c>
      <c r="B88" s="214">
        <v>61</v>
      </c>
      <c r="C88" s="225">
        <v>43487</v>
      </c>
      <c r="D88" s="214">
        <v>81940</v>
      </c>
      <c r="E88" s="225">
        <v>43496</v>
      </c>
      <c r="F88" s="214" t="s">
        <v>192</v>
      </c>
      <c r="G88" s="214" t="s">
        <v>25</v>
      </c>
      <c r="H88" s="214">
        <v>14800</v>
      </c>
      <c r="I88" s="214">
        <v>1332</v>
      </c>
      <c r="J88" s="214"/>
      <c r="K88" s="214"/>
      <c r="L88" s="214"/>
      <c r="M88" s="214"/>
      <c r="N88" s="214"/>
      <c r="O88" s="214"/>
      <c r="P88" s="215">
        <f t="shared" si="7"/>
        <v>16132</v>
      </c>
      <c r="Q88" s="214"/>
      <c r="R88" s="214"/>
      <c r="S88" s="214"/>
      <c r="T88" s="214"/>
      <c r="U88" s="214"/>
      <c r="V88" s="214"/>
      <c r="W88" s="214"/>
      <c r="X88" s="214"/>
      <c r="Y88" s="214"/>
      <c r="Z88" s="214"/>
      <c r="AA88" s="216">
        <f t="shared" si="8"/>
        <v>0</v>
      </c>
      <c r="AB88" s="217">
        <f t="shared" si="9"/>
        <v>16132</v>
      </c>
      <c r="AC88" s="214"/>
    </row>
    <row r="89" spans="1:29" ht="30" x14ac:dyDescent="0.25">
      <c r="A89" s="214">
        <f t="shared" si="6"/>
        <v>87</v>
      </c>
      <c r="B89" s="214">
        <v>45</v>
      </c>
      <c r="C89" s="225">
        <v>43388</v>
      </c>
      <c r="D89" s="214">
        <v>61581</v>
      </c>
      <c r="E89" s="225">
        <v>43409</v>
      </c>
      <c r="F89" s="214" t="s">
        <v>192</v>
      </c>
      <c r="G89" s="214" t="s">
        <v>235</v>
      </c>
      <c r="H89" s="214">
        <v>63241</v>
      </c>
      <c r="I89" s="214">
        <v>-55281</v>
      </c>
      <c r="J89" s="214"/>
      <c r="K89" s="214"/>
      <c r="L89" s="214"/>
      <c r="M89" s="214"/>
      <c r="N89" s="214"/>
      <c r="O89" s="214"/>
      <c r="P89" s="215">
        <f t="shared" si="7"/>
        <v>7960</v>
      </c>
      <c r="Q89" s="214"/>
      <c r="R89" s="214"/>
      <c r="S89" s="214">
        <v>759</v>
      </c>
      <c r="T89" s="214"/>
      <c r="U89" s="214"/>
      <c r="V89" s="214"/>
      <c r="W89" s="214"/>
      <c r="X89" s="214"/>
      <c r="Y89" s="214"/>
      <c r="Z89" s="214"/>
      <c r="AA89" s="216">
        <f t="shared" si="8"/>
        <v>759</v>
      </c>
      <c r="AB89" s="217">
        <f t="shared" si="9"/>
        <v>7201</v>
      </c>
      <c r="AC89" s="214"/>
    </row>
    <row r="90" spans="1:29" x14ac:dyDescent="0.25">
      <c r="A90" s="214">
        <f t="shared" si="6"/>
        <v>88</v>
      </c>
      <c r="B90" s="214">
        <v>1</v>
      </c>
      <c r="C90" s="225">
        <v>43558</v>
      </c>
      <c r="D90" s="214">
        <v>2067</v>
      </c>
      <c r="E90" s="225">
        <v>43567</v>
      </c>
      <c r="F90" s="214" t="s">
        <v>246</v>
      </c>
      <c r="G90" s="140">
        <v>43525</v>
      </c>
      <c r="H90" s="214">
        <v>29600</v>
      </c>
      <c r="I90" s="214">
        <v>3552</v>
      </c>
      <c r="J90" s="214">
        <v>2368</v>
      </c>
      <c r="K90" s="214"/>
      <c r="L90" s="214"/>
      <c r="M90" s="214"/>
      <c r="N90" s="214"/>
      <c r="O90" s="214"/>
      <c r="P90" s="215">
        <f t="shared" si="7"/>
        <v>35520</v>
      </c>
      <c r="Q90" s="214">
        <v>3000</v>
      </c>
      <c r="R90" s="214"/>
      <c r="S90" s="214">
        <v>3315</v>
      </c>
      <c r="T90" s="214"/>
      <c r="U90" s="214"/>
      <c r="V90" s="214"/>
      <c r="W90" s="214"/>
      <c r="X90" s="214"/>
      <c r="Y90" s="214"/>
      <c r="Z90" s="214"/>
      <c r="AA90" s="216">
        <f t="shared" si="8"/>
        <v>6315</v>
      </c>
      <c r="AB90" s="217">
        <f t="shared" si="9"/>
        <v>29205</v>
      </c>
      <c r="AC90" s="214"/>
    </row>
    <row r="91" spans="1:29" x14ac:dyDescent="0.25">
      <c r="A91" s="214">
        <f t="shared" si="6"/>
        <v>89</v>
      </c>
      <c r="B91" s="214">
        <v>3</v>
      </c>
      <c r="C91" s="225">
        <v>43584</v>
      </c>
      <c r="D91" s="214">
        <v>7783</v>
      </c>
      <c r="E91" s="225">
        <v>43586</v>
      </c>
      <c r="F91" s="214" t="s">
        <v>246</v>
      </c>
      <c r="G91" s="140">
        <v>43556</v>
      </c>
      <c r="H91" s="214">
        <v>29600</v>
      </c>
      <c r="I91" s="214">
        <v>3552</v>
      </c>
      <c r="J91" s="214">
        <v>2368</v>
      </c>
      <c r="K91" s="214"/>
      <c r="L91" s="214"/>
      <c r="M91" s="214"/>
      <c r="N91" s="214"/>
      <c r="O91" s="214"/>
      <c r="P91" s="215">
        <f t="shared" si="7"/>
        <v>35520</v>
      </c>
      <c r="Q91" s="214">
        <v>3000</v>
      </c>
      <c r="R91" s="214"/>
      <c r="S91" s="214">
        <v>3315</v>
      </c>
      <c r="T91" s="214">
        <v>220</v>
      </c>
      <c r="U91" s="214"/>
      <c r="V91" s="214"/>
      <c r="W91" s="214"/>
      <c r="X91" s="214"/>
      <c r="Y91" s="214"/>
      <c r="Z91" s="214"/>
      <c r="AA91" s="216">
        <f t="shared" si="8"/>
        <v>6535</v>
      </c>
      <c r="AB91" s="217">
        <f t="shared" si="9"/>
        <v>28985</v>
      </c>
      <c r="AC91" s="214"/>
    </row>
    <row r="92" spans="1:29" x14ac:dyDescent="0.25">
      <c r="A92" s="214">
        <f t="shared" si="6"/>
        <v>90</v>
      </c>
      <c r="B92" s="214">
        <v>10</v>
      </c>
      <c r="C92" s="225">
        <v>43626</v>
      </c>
      <c r="D92" s="214">
        <v>13083</v>
      </c>
      <c r="E92" s="225">
        <v>43626</v>
      </c>
      <c r="F92" s="214" t="s">
        <v>246</v>
      </c>
      <c r="G92" s="140">
        <v>43586</v>
      </c>
      <c r="H92" s="214">
        <v>29600</v>
      </c>
      <c r="I92" s="214">
        <v>3552</v>
      </c>
      <c r="J92" s="214">
        <v>2368</v>
      </c>
      <c r="K92" s="214"/>
      <c r="L92" s="214"/>
      <c r="M92" s="214"/>
      <c r="N92" s="214"/>
      <c r="O92" s="214"/>
      <c r="P92" s="215">
        <f t="shared" si="7"/>
        <v>35520</v>
      </c>
      <c r="Q92" s="214">
        <v>3000</v>
      </c>
      <c r="R92" s="214"/>
      <c r="S92" s="214">
        <v>3315</v>
      </c>
      <c r="T92" s="214"/>
      <c r="U92" s="214"/>
      <c r="V92" s="214"/>
      <c r="W92" s="214"/>
      <c r="X92" s="214"/>
      <c r="Y92" s="214"/>
      <c r="Z92" s="214"/>
      <c r="AA92" s="216">
        <f t="shared" si="8"/>
        <v>6315</v>
      </c>
      <c r="AB92" s="217">
        <f t="shared" si="9"/>
        <v>29205</v>
      </c>
      <c r="AC92" s="214"/>
    </row>
    <row r="93" spans="1:29" x14ac:dyDescent="0.25">
      <c r="A93" s="214">
        <f t="shared" si="6"/>
        <v>91</v>
      </c>
      <c r="B93" s="214">
        <v>16</v>
      </c>
      <c r="C93" s="225">
        <v>43643</v>
      </c>
      <c r="D93" s="214">
        <v>17962</v>
      </c>
      <c r="E93" s="225">
        <v>43648</v>
      </c>
      <c r="F93" s="214" t="s">
        <v>246</v>
      </c>
      <c r="G93" s="140">
        <v>43617</v>
      </c>
      <c r="H93" s="214">
        <v>29600</v>
      </c>
      <c r="I93" s="214">
        <v>3552</v>
      </c>
      <c r="J93" s="214">
        <v>2368</v>
      </c>
      <c r="K93" s="214"/>
      <c r="L93" s="214"/>
      <c r="M93" s="214"/>
      <c r="N93" s="214"/>
      <c r="O93" s="214"/>
      <c r="P93" s="215">
        <f t="shared" si="7"/>
        <v>35520</v>
      </c>
      <c r="Q93" s="214">
        <v>3000</v>
      </c>
      <c r="R93" s="214"/>
      <c r="S93" s="214">
        <v>3315</v>
      </c>
      <c r="T93" s="214"/>
      <c r="U93" s="214"/>
      <c r="V93" s="214"/>
      <c r="W93" s="214"/>
      <c r="X93" s="214"/>
      <c r="Y93" s="214"/>
      <c r="Z93" s="214"/>
      <c r="AA93" s="216">
        <f t="shared" si="8"/>
        <v>6315</v>
      </c>
      <c r="AB93" s="217">
        <f t="shared" si="9"/>
        <v>29205</v>
      </c>
      <c r="AC93" s="214"/>
    </row>
    <row r="94" spans="1:29" x14ac:dyDescent="0.25">
      <c r="A94" s="214">
        <f t="shared" si="6"/>
        <v>92</v>
      </c>
      <c r="B94" s="214">
        <v>21</v>
      </c>
      <c r="C94" s="225">
        <v>43679</v>
      </c>
      <c r="D94" s="214">
        <v>22832</v>
      </c>
      <c r="E94" s="225">
        <v>43683</v>
      </c>
      <c r="F94" s="214" t="s">
        <v>246</v>
      </c>
      <c r="G94" s="140">
        <v>43647</v>
      </c>
      <c r="H94" s="214">
        <v>30500</v>
      </c>
      <c r="I94" s="214">
        <v>3660</v>
      </c>
      <c r="J94" s="214">
        <v>2440</v>
      </c>
      <c r="K94" s="214"/>
      <c r="L94" s="214"/>
      <c r="M94" s="214"/>
      <c r="N94" s="214"/>
      <c r="O94" s="214"/>
      <c r="P94" s="215">
        <f t="shared" si="7"/>
        <v>36600</v>
      </c>
      <c r="Q94" s="214">
        <v>3000</v>
      </c>
      <c r="R94" s="214"/>
      <c r="S94" s="214">
        <v>3416</v>
      </c>
      <c r="T94" s="214"/>
      <c r="U94" s="214"/>
      <c r="V94" s="214"/>
      <c r="W94" s="214"/>
      <c r="X94" s="214"/>
      <c r="Y94" s="214"/>
      <c r="Z94" s="214"/>
      <c r="AA94" s="216">
        <f t="shared" si="8"/>
        <v>6416</v>
      </c>
      <c r="AB94" s="217">
        <f t="shared" si="9"/>
        <v>30184</v>
      </c>
      <c r="AC94" s="214"/>
    </row>
    <row r="95" spans="1:29" x14ac:dyDescent="0.25">
      <c r="A95" s="214">
        <f t="shared" si="6"/>
        <v>93</v>
      </c>
      <c r="B95" s="214">
        <v>25</v>
      </c>
      <c r="C95" s="225">
        <v>43704</v>
      </c>
      <c r="D95" s="214">
        <v>28118</v>
      </c>
      <c r="E95" s="225">
        <v>43710</v>
      </c>
      <c r="F95" s="214" t="s">
        <v>246</v>
      </c>
      <c r="G95" s="140">
        <v>43678</v>
      </c>
      <c r="H95" s="214">
        <v>30500</v>
      </c>
      <c r="I95" s="214">
        <v>3660</v>
      </c>
      <c r="J95" s="214">
        <v>2440</v>
      </c>
      <c r="K95" s="214"/>
      <c r="L95" s="214"/>
      <c r="M95" s="214"/>
      <c r="N95" s="214"/>
      <c r="O95" s="214"/>
      <c r="P95" s="215">
        <f t="shared" si="7"/>
        <v>36600</v>
      </c>
      <c r="Q95" s="214">
        <v>3000</v>
      </c>
      <c r="R95" s="214"/>
      <c r="S95" s="214">
        <v>3416</v>
      </c>
      <c r="T95" s="214"/>
      <c r="U95" s="214"/>
      <c r="V95" s="214"/>
      <c r="W95" s="214"/>
      <c r="X95" s="214"/>
      <c r="Y95" s="214"/>
      <c r="Z95" s="214"/>
      <c r="AA95" s="216">
        <f t="shared" si="8"/>
        <v>6416</v>
      </c>
      <c r="AB95" s="217">
        <f t="shared" si="9"/>
        <v>30184</v>
      </c>
      <c r="AC95" s="214"/>
    </row>
    <row r="96" spans="1:29" x14ac:dyDescent="0.25">
      <c r="A96" s="214">
        <f t="shared" si="6"/>
        <v>94</v>
      </c>
      <c r="B96" s="214">
        <v>31</v>
      </c>
      <c r="C96" s="225">
        <v>43734</v>
      </c>
      <c r="D96" s="214">
        <v>35390</v>
      </c>
      <c r="E96" s="225">
        <v>43739</v>
      </c>
      <c r="F96" s="214" t="s">
        <v>246</v>
      </c>
      <c r="G96" s="140">
        <v>43709</v>
      </c>
      <c r="H96" s="214">
        <v>30500</v>
      </c>
      <c r="I96" s="214">
        <v>3660</v>
      </c>
      <c r="J96" s="214">
        <v>2440</v>
      </c>
      <c r="K96" s="214"/>
      <c r="L96" s="214"/>
      <c r="M96" s="214"/>
      <c r="N96" s="214"/>
      <c r="O96" s="214"/>
      <c r="P96" s="215">
        <f t="shared" si="7"/>
        <v>36600</v>
      </c>
      <c r="Q96" s="214">
        <v>3000</v>
      </c>
      <c r="R96" s="214"/>
      <c r="S96" s="214">
        <v>3416</v>
      </c>
      <c r="T96" s="214"/>
      <c r="U96" s="214"/>
      <c r="V96" s="214"/>
      <c r="W96" s="214"/>
      <c r="X96" s="214"/>
      <c r="Y96" s="214"/>
      <c r="Z96" s="214"/>
      <c r="AA96" s="216">
        <f t="shared" si="8"/>
        <v>6416</v>
      </c>
      <c r="AB96" s="217">
        <f t="shared" si="9"/>
        <v>30184</v>
      </c>
      <c r="AC96" s="214"/>
    </row>
    <row r="97" spans="1:29" x14ac:dyDescent="0.25">
      <c r="A97" s="214">
        <f t="shared" si="6"/>
        <v>95</v>
      </c>
      <c r="B97" s="214">
        <v>40</v>
      </c>
      <c r="C97" s="225">
        <v>43763</v>
      </c>
      <c r="D97" s="214">
        <v>41375</v>
      </c>
      <c r="E97" s="225">
        <v>43770</v>
      </c>
      <c r="F97" s="214" t="s">
        <v>246</v>
      </c>
      <c r="G97" s="140">
        <v>43739</v>
      </c>
      <c r="H97" s="214">
        <v>30500</v>
      </c>
      <c r="I97" s="214">
        <v>3660</v>
      </c>
      <c r="J97" s="214">
        <v>2440</v>
      </c>
      <c r="K97" s="214"/>
      <c r="L97" s="214"/>
      <c r="M97" s="214"/>
      <c r="N97" s="214"/>
      <c r="O97" s="214"/>
      <c r="P97" s="215">
        <f t="shared" si="7"/>
        <v>36600</v>
      </c>
      <c r="Q97" s="214">
        <v>3000</v>
      </c>
      <c r="R97" s="214"/>
      <c r="S97" s="214">
        <v>3416</v>
      </c>
      <c r="T97" s="214"/>
      <c r="U97" s="214"/>
      <c r="V97" s="214"/>
      <c r="W97" s="214"/>
      <c r="X97" s="214"/>
      <c r="Y97" s="214"/>
      <c r="Z97" s="214"/>
      <c r="AA97" s="216">
        <f t="shared" si="8"/>
        <v>6416</v>
      </c>
      <c r="AB97" s="217">
        <f t="shared" si="9"/>
        <v>30184</v>
      </c>
      <c r="AC97" s="214"/>
    </row>
    <row r="98" spans="1:29" x14ac:dyDescent="0.25">
      <c r="A98" s="214">
        <f t="shared" si="6"/>
        <v>96</v>
      </c>
      <c r="B98" s="214">
        <v>43</v>
      </c>
      <c r="C98" s="225">
        <v>43796</v>
      </c>
      <c r="D98" s="214">
        <v>48035</v>
      </c>
      <c r="E98" s="225">
        <v>43802</v>
      </c>
      <c r="F98" s="214" t="s">
        <v>246</v>
      </c>
      <c r="G98" s="140">
        <v>43770</v>
      </c>
      <c r="H98" s="214">
        <v>30500</v>
      </c>
      <c r="I98" s="214">
        <v>3660</v>
      </c>
      <c r="J98" s="214">
        <v>2440</v>
      </c>
      <c r="K98" s="214"/>
      <c r="L98" s="214"/>
      <c r="M98" s="214"/>
      <c r="N98" s="214"/>
      <c r="O98" s="214"/>
      <c r="P98" s="215">
        <f t="shared" si="7"/>
        <v>36600</v>
      </c>
      <c r="Q98" s="214">
        <v>3000</v>
      </c>
      <c r="R98" s="214"/>
      <c r="S98" s="214">
        <v>3416</v>
      </c>
      <c r="T98" s="214"/>
      <c r="U98" s="214"/>
      <c r="V98" s="214"/>
      <c r="W98" s="214"/>
      <c r="X98" s="214"/>
      <c r="Y98" s="214"/>
      <c r="Z98" s="214"/>
      <c r="AA98" s="216">
        <f t="shared" si="8"/>
        <v>6416</v>
      </c>
      <c r="AB98" s="217">
        <f t="shared" si="9"/>
        <v>30184</v>
      </c>
      <c r="AC98" s="214"/>
    </row>
    <row r="99" spans="1:29" x14ac:dyDescent="0.25">
      <c r="A99" s="214">
        <f t="shared" si="6"/>
        <v>97</v>
      </c>
      <c r="B99" s="214">
        <v>48</v>
      </c>
      <c r="C99" s="225">
        <v>43829</v>
      </c>
      <c r="D99" s="214">
        <v>53590</v>
      </c>
      <c r="E99" s="225">
        <v>43833</v>
      </c>
      <c r="F99" s="214" t="s">
        <v>246</v>
      </c>
      <c r="G99" s="140">
        <v>43800</v>
      </c>
      <c r="H99" s="214">
        <v>30500</v>
      </c>
      <c r="I99" s="214">
        <v>3660</v>
      </c>
      <c r="J99" s="214">
        <v>2440</v>
      </c>
      <c r="K99" s="214"/>
      <c r="L99" s="214"/>
      <c r="M99" s="214"/>
      <c r="N99" s="214"/>
      <c r="O99" s="214"/>
      <c r="P99" s="215">
        <f t="shared" ref="P99:P130" si="10">SUM(H99:O99)</f>
        <v>36600</v>
      </c>
      <c r="Q99" s="214">
        <v>3000</v>
      </c>
      <c r="R99" s="214"/>
      <c r="S99" s="214">
        <v>3416</v>
      </c>
      <c r="T99" s="214"/>
      <c r="U99" s="214"/>
      <c r="V99" s="214"/>
      <c r="W99" s="214"/>
      <c r="X99" s="214"/>
      <c r="Y99" s="214"/>
      <c r="Z99" s="214"/>
      <c r="AA99" s="216">
        <f t="shared" ref="AA99:AA130" si="11">SUM(Q99:Z99)</f>
        <v>6416</v>
      </c>
      <c r="AB99" s="217">
        <f t="shared" si="9"/>
        <v>30184</v>
      </c>
      <c r="AC99" s="214"/>
    </row>
    <row r="100" spans="1:29" x14ac:dyDescent="0.25">
      <c r="A100" s="214">
        <f t="shared" si="6"/>
        <v>98</v>
      </c>
      <c r="B100" s="214">
        <v>53</v>
      </c>
      <c r="C100" s="225">
        <v>43859</v>
      </c>
      <c r="D100" s="214">
        <v>58674</v>
      </c>
      <c r="E100" s="225">
        <v>43862</v>
      </c>
      <c r="F100" s="214" t="s">
        <v>246</v>
      </c>
      <c r="G100" s="140">
        <v>43831</v>
      </c>
      <c r="H100" s="214">
        <v>30500</v>
      </c>
      <c r="I100" s="214">
        <v>3660</v>
      </c>
      <c r="J100" s="214">
        <v>2440</v>
      </c>
      <c r="K100" s="214"/>
      <c r="L100" s="214"/>
      <c r="M100" s="214"/>
      <c r="N100" s="214"/>
      <c r="O100" s="214"/>
      <c r="P100" s="215">
        <f t="shared" si="10"/>
        <v>36600</v>
      </c>
      <c r="Q100" s="214">
        <v>3000</v>
      </c>
      <c r="R100" s="214"/>
      <c r="S100" s="214">
        <v>3416</v>
      </c>
      <c r="T100" s="214"/>
      <c r="U100" s="214"/>
      <c r="V100" s="214"/>
      <c r="W100" s="214"/>
      <c r="X100" s="214"/>
      <c r="Y100" s="214"/>
      <c r="Z100" s="214"/>
      <c r="AA100" s="216">
        <f t="shared" si="11"/>
        <v>6416</v>
      </c>
      <c r="AB100" s="217">
        <f t="shared" si="9"/>
        <v>30184</v>
      </c>
      <c r="AC100" s="214"/>
    </row>
    <row r="101" spans="1:29" x14ac:dyDescent="0.25">
      <c r="A101" s="214">
        <f t="shared" si="6"/>
        <v>99</v>
      </c>
      <c r="B101" s="214">
        <v>62</v>
      </c>
      <c r="C101" s="225">
        <v>43889</v>
      </c>
      <c r="D101" s="214">
        <v>65112</v>
      </c>
      <c r="E101" s="225">
        <v>43894</v>
      </c>
      <c r="F101" s="214" t="s">
        <v>246</v>
      </c>
      <c r="G101" s="140">
        <v>43862</v>
      </c>
      <c r="H101" s="214">
        <v>30500</v>
      </c>
      <c r="I101" s="214">
        <v>3660</v>
      </c>
      <c r="J101" s="214">
        <v>2440</v>
      </c>
      <c r="K101" s="214"/>
      <c r="L101" s="214"/>
      <c r="M101" s="214"/>
      <c r="N101" s="214"/>
      <c r="O101" s="214"/>
      <c r="P101" s="215">
        <f t="shared" si="10"/>
        <v>36600</v>
      </c>
      <c r="Q101" s="214">
        <v>3000</v>
      </c>
      <c r="R101" s="214"/>
      <c r="S101" s="214">
        <v>3416</v>
      </c>
      <c r="T101" s="214"/>
      <c r="U101" s="214"/>
      <c r="V101" s="214"/>
      <c r="W101" s="214"/>
      <c r="X101" s="214"/>
      <c r="Y101" s="214"/>
      <c r="Z101" s="214"/>
      <c r="AA101" s="216">
        <f t="shared" si="11"/>
        <v>6416</v>
      </c>
      <c r="AB101" s="217">
        <f t="shared" si="9"/>
        <v>30184</v>
      </c>
      <c r="AC101" s="214"/>
    </row>
    <row r="102" spans="1:29" x14ac:dyDescent="0.25">
      <c r="A102" s="214">
        <f t="shared" si="6"/>
        <v>100</v>
      </c>
      <c r="B102" s="214">
        <v>4</v>
      </c>
      <c r="C102" s="225">
        <v>43585</v>
      </c>
      <c r="D102" s="214">
        <v>8498</v>
      </c>
      <c r="E102" s="225">
        <v>43589</v>
      </c>
      <c r="F102" s="214" t="s">
        <v>246</v>
      </c>
      <c r="G102" s="214" t="s">
        <v>274</v>
      </c>
      <c r="H102" s="214"/>
      <c r="I102" s="214">
        <v>1776</v>
      </c>
      <c r="J102" s="214"/>
      <c r="K102" s="214"/>
      <c r="L102" s="214"/>
      <c r="M102" s="214"/>
      <c r="N102" s="214"/>
      <c r="O102" s="214"/>
      <c r="P102" s="215">
        <f t="shared" si="10"/>
        <v>1776</v>
      </c>
      <c r="Q102" s="214"/>
      <c r="R102" s="214"/>
      <c r="S102" s="214">
        <v>178</v>
      </c>
      <c r="T102" s="214"/>
      <c r="U102" s="214"/>
      <c r="V102" s="214"/>
      <c r="W102" s="214"/>
      <c r="X102" s="214"/>
      <c r="Y102" s="214"/>
      <c r="Z102" s="214"/>
      <c r="AA102" s="216">
        <f t="shared" si="11"/>
        <v>178</v>
      </c>
      <c r="AB102" s="217">
        <f t="shared" si="9"/>
        <v>1598</v>
      </c>
      <c r="AC102" s="214"/>
    </row>
    <row r="103" spans="1:29" x14ac:dyDescent="0.25">
      <c r="A103" s="214">
        <f t="shared" si="6"/>
        <v>101</v>
      </c>
      <c r="B103" s="214">
        <v>54</v>
      </c>
      <c r="C103" s="225">
        <v>43865</v>
      </c>
      <c r="D103" s="214">
        <v>61348</v>
      </c>
      <c r="E103" s="225">
        <v>43879</v>
      </c>
      <c r="F103" s="214" t="s">
        <v>246</v>
      </c>
      <c r="G103" s="214" t="s">
        <v>25</v>
      </c>
      <c r="H103" s="214">
        <v>15250</v>
      </c>
      <c r="I103" s="214">
        <v>1830</v>
      </c>
      <c r="J103" s="214"/>
      <c r="K103" s="214"/>
      <c r="L103" s="214"/>
      <c r="M103" s="214"/>
      <c r="N103" s="214"/>
      <c r="O103" s="214"/>
      <c r="P103" s="215">
        <f t="shared" si="10"/>
        <v>17080</v>
      </c>
      <c r="Q103" s="214"/>
      <c r="R103" s="214"/>
      <c r="S103" s="214"/>
      <c r="T103" s="214"/>
      <c r="U103" s="214"/>
      <c r="V103" s="214"/>
      <c r="W103" s="214"/>
      <c r="X103" s="214"/>
      <c r="Y103" s="214"/>
      <c r="Z103" s="214"/>
      <c r="AA103" s="216">
        <f t="shared" si="11"/>
        <v>0</v>
      </c>
      <c r="AB103" s="217">
        <f t="shared" si="9"/>
        <v>17080</v>
      </c>
      <c r="AC103" s="214"/>
    </row>
    <row r="104" spans="1:29" x14ac:dyDescent="0.25">
      <c r="A104" s="214">
        <f t="shared" si="6"/>
        <v>102</v>
      </c>
      <c r="B104" s="214">
        <v>39</v>
      </c>
      <c r="C104" s="225">
        <v>43761</v>
      </c>
      <c r="D104" s="214">
        <v>40610</v>
      </c>
      <c r="E104" s="225">
        <v>43766</v>
      </c>
      <c r="F104" s="214" t="s">
        <v>246</v>
      </c>
      <c r="G104" s="214" t="s">
        <v>629</v>
      </c>
      <c r="H104" s="214"/>
      <c r="I104" s="214"/>
      <c r="J104" s="214"/>
      <c r="K104" s="214"/>
      <c r="L104" s="214">
        <v>6774</v>
      </c>
      <c r="M104" s="214"/>
      <c r="N104" s="214"/>
      <c r="O104" s="214"/>
      <c r="P104" s="215">
        <f t="shared" si="10"/>
        <v>6774</v>
      </c>
      <c r="Q104" s="214"/>
      <c r="R104" s="214"/>
      <c r="S104" s="214"/>
      <c r="T104" s="214"/>
      <c r="U104" s="214"/>
      <c r="V104" s="214"/>
      <c r="W104" s="214"/>
      <c r="X104" s="214"/>
      <c r="Y104" s="214"/>
      <c r="Z104" s="214"/>
      <c r="AA104" s="216">
        <f t="shared" si="11"/>
        <v>0</v>
      </c>
      <c r="AB104" s="217">
        <f t="shared" si="9"/>
        <v>6774</v>
      </c>
      <c r="AC104" s="214"/>
    </row>
    <row r="105" spans="1:29" x14ac:dyDescent="0.25">
      <c r="A105" s="214">
        <f t="shared" si="6"/>
        <v>103</v>
      </c>
      <c r="B105" s="214">
        <v>1</v>
      </c>
      <c r="C105" s="225">
        <v>43924</v>
      </c>
      <c r="D105" s="214">
        <v>291</v>
      </c>
      <c r="E105" s="225">
        <v>43929</v>
      </c>
      <c r="F105" s="214" t="s">
        <v>342</v>
      </c>
      <c r="G105" s="140">
        <v>43891</v>
      </c>
      <c r="H105" s="214">
        <v>21645</v>
      </c>
      <c r="I105" s="214">
        <v>3680</v>
      </c>
      <c r="J105" s="214">
        <v>1732</v>
      </c>
      <c r="K105" s="214"/>
      <c r="L105" s="214"/>
      <c r="M105" s="214"/>
      <c r="N105" s="214"/>
      <c r="O105" s="214"/>
      <c r="P105" s="215">
        <f t="shared" si="10"/>
        <v>27057</v>
      </c>
      <c r="Q105" s="214"/>
      <c r="R105" s="214"/>
      <c r="S105" s="214">
        <v>2532</v>
      </c>
      <c r="T105" s="214"/>
      <c r="U105" s="214"/>
      <c r="V105" s="214"/>
      <c r="W105" s="214">
        <v>1968</v>
      </c>
      <c r="X105" s="214"/>
      <c r="Y105" s="214"/>
      <c r="Z105" s="214"/>
      <c r="AA105" s="216">
        <f t="shared" si="11"/>
        <v>4500</v>
      </c>
      <c r="AB105" s="217">
        <f t="shared" si="9"/>
        <v>22557</v>
      </c>
      <c r="AC105" s="214"/>
    </row>
    <row r="106" spans="1:29" x14ac:dyDescent="0.25">
      <c r="A106" s="214">
        <f t="shared" si="6"/>
        <v>104</v>
      </c>
      <c r="B106" s="214">
        <v>5</v>
      </c>
      <c r="C106" s="225">
        <v>43952</v>
      </c>
      <c r="D106" s="214">
        <v>4971</v>
      </c>
      <c r="E106" s="225">
        <v>43956</v>
      </c>
      <c r="F106" s="214" t="s">
        <v>342</v>
      </c>
      <c r="G106" s="140">
        <v>43922</v>
      </c>
      <c r="H106" s="214">
        <v>30500</v>
      </c>
      <c r="I106" s="214">
        <v>5185</v>
      </c>
      <c r="J106" s="214">
        <v>2440</v>
      </c>
      <c r="K106" s="214"/>
      <c r="L106" s="214"/>
      <c r="M106" s="214"/>
      <c r="N106" s="214"/>
      <c r="O106" s="214"/>
      <c r="P106" s="215">
        <f t="shared" si="10"/>
        <v>38125</v>
      </c>
      <c r="Q106" s="214">
        <v>5000</v>
      </c>
      <c r="R106" s="214"/>
      <c r="S106" s="214">
        <v>3569</v>
      </c>
      <c r="T106" s="214">
        <v>220</v>
      </c>
      <c r="U106" s="214"/>
      <c r="V106" s="214"/>
      <c r="W106" s="214"/>
      <c r="X106" s="214"/>
      <c r="Y106" s="214"/>
      <c r="Z106" s="214"/>
      <c r="AA106" s="216">
        <f t="shared" si="11"/>
        <v>8789</v>
      </c>
      <c r="AB106" s="217">
        <f t="shared" si="9"/>
        <v>29336</v>
      </c>
      <c r="AC106" s="214"/>
    </row>
    <row r="107" spans="1:29" x14ac:dyDescent="0.25">
      <c r="A107" s="214">
        <f t="shared" si="6"/>
        <v>105</v>
      </c>
      <c r="B107" s="214">
        <v>13</v>
      </c>
      <c r="C107" s="225">
        <v>43978</v>
      </c>
      <c r="D107" s="214">
        <v>10260</v>
      </c>
      <c r="E107" s="225">
        <v>43983</v>
      </c>
      <c r="F107" s="214" t="s">
        <v>342</v>
      </c>
      <c r="G107" s="140">
        <v>43952</v>
      </c>
      <c r="H107" s="214">
        <v>30500</v>
      </c>
      <c r="I107" s="214">
        <v>5185</v>
      </c>
      <c r="J107" s="214">
        <v>2440</v>
      </c>
      <c r="K107" s="214"/>
      <c r="L107" s="214"/>
      <c r="M107" s="214"/>
      <c r="N107" s="214"/>
      <c r="O107" s="214"/>
      <c r="P107" s="215">
        <f t="shared" si="10"/>
        <v>38125</v>
      </c>
      <c r="Q107" s="214">
        <v>10000</v>
      </c>
      <c r="R107" s="214"/>
      <c r="S107" s="214">
        <v>3569</v>
      </c>
      <c r="T107" s="214"/>
      <c r="U107" s="214"/>
      <c r="V107" s="214"/>
      <c r="W107" s="214"/>
      <c r="X107" s="214"/>
      <c r="Y107" s="214"/>
      <c r="Z107" s="214"/>
      <c r="AA107" s="216">
        <f t="shared" si="11"/>
        <v>13569</v>
      </c>
      <c r="AB107" s="217">
        <f t="shared" si="9"/>
        <v>24556</v>
      </c>
      <c r="AC107" s="214"/>
    </row>
    <row r="108" spans="1:29" x14ac:dyDescent="0.25">
      <c r="A108" s="214">
        <f t="shared" si="6"/>
        <v>106</v>
      </c>
      <c r="B108" s="214">
        <v>17</v>
      </c>
      <c r="C108" s="225">
        <v>44011</v>
      </c>
      <c r="D108" s="214">
        <v>17622</v>
      </c>
      <c r="E108" s="225">
        <v>44015</v>
      </c>
      <c r="F108" s="214" t="s">
        <v>342</v>
      </c>
      <c r="G108" s="140">
        <v>43983</v>
      </c>
      <c r="H108" s="214">
        <v>30500</v>
      </c>
      <c r="I108" s="214">
        <v>5185</v>
      </c>
      <c r="J108" s="214">
        <v>2440</v>
      </c>
      <c r="K108" s="214"/>
      <c r="L108" s="214"/>
      <c r="M108" s="214"/>
      <c r="N108" s="214"/>
      <c r="O108" s="214"/>
      <c r="P108" s="215">
        <f t="shared" si="10"/>
        <v>38125</v>
      </c>
      <c r="Q108" s="214">
        <v>5000</v>
      </c>
      <c r="R108" s="214"/>
      <c r="S108" s="214">
        <v>3569</v>
      </c>
      <c r="T108" s="214"/>
      <c r="U108" s="214"/>
      <c r="V108" s="214"/>
      <c r="W108" s="214"/>
      <c r="X108" s="214"/>
      <c r="Y108" s="214"/>
      <c r="Z108" s="214"/>
      <c r="AA108" s="216">
        <f t="shared" si="11"/>
        <v>8569</v>
      </c>
      <c r="AB108" s="217">
        <f t="shared" si="9"/>
        <v>29556</v>
      </c>
      <c r="AC108" s="214"/>
    </row>
    <row r="109" spans="1:29" x14ac:dyDescent="0.25">
      <c r="A109" s="214">
        <f t="shared" si="6"/>
        <v>107</v>
      </c>
      <c r="B109" s="214">
        <v>19</v>
      </c>
      <c r="C109" s="225">
        <v>44041</v>
      </c>
      <c r="D109" s="214">
        <v>23350</v>
      </c>
      <c r="E109" s="225">
        <v>44048</v>
      </c>
      <c r="F109" s="214" t="s">
        <v>342</v>
      </c>
      <c r="G109" s="140">
        <v>44013</v>
      </c>
      <c r="H109" s="214">
        <v>31400</v>
      </c>
      <c r="I109" s="214">
        <v>5338</v>
      </c>
      <c r="J109" s="214">
        <v>2512</v>
      </c>
      <c r="K109" s="214"/>
      <c r="L109" s="214"/>
      <c r="M109" s="214"/>
      <c r="N109" s="214"/>
      <c r="O109" s="214"/>
      <c r="P109" s="215">
        <f t="shared" si="10"/>
        <v>39250</v>
      </c>
      <c r="Q109" s="214">
        <v>5000</v>
      </c>
      <c r="R109" s="214"/>
      <c r="S109" s="214">
        <v>3674</v>
      </c>
      <c r="T109" s="214"/>
      <c r="U109" s="214"/>
      <c r="V109" s="214"/>
      <c r="W109" s="214"/>
      <c r="X109" s="214"/>
      <c r="Y109" s="214"/>
      <c r="Z109" s="214"/>
      <c r="AA109" s="216">
        <f t="shared" si="11"/>
        <v>8674</v>
      </c>
      <c r="AB109" s="217">
        <f t="shared" si="9"/>
        <v>30576</v>
      </c>
      <c r="AC109" s="214"/>
    </row>
    <row r="110" spans="1:29" x14ac:dyDescent="0.25">
      <c r="A110" s="214">
        <f t="shared" si="6"/>
        <v>108</v>
      </c>
      <c r="B110" s="214">
        <v>24</v>
      </c>
      <c r="C110" s="225">
        <v>44074</v>
      </c>
      <c r="D110" s="214">
        <v>28462</v>
      </c>
      <c r="E110" s="225">
        <v>44077</v>
      </c>
      <c r="F110" s="214" t="s">
        <v>342</v>
      </c>
      <c r="G110" s="140">
        <v>44044</v>
      </c>
      <c r="H110" s="214">
        <v>31400</v>
      </c>
      <c r="I110" s="214">
        <v>5338</v>
      </c>
      <c r="J110" s="214">
        <v>2512</v>
      </c>
      <c r="K110" s="214"/>
      <c r="L110" s="214"/>
      <c r="M110" s="214"/>
      <c r="N110" s="214"/>
      <c r="O110" s="214"/>
      <c r="P110" s="215">
        <f t="shared" si="10"/>
        <v>39250</v>
      </c>
      <c r="Q110" s="214">
        <v>5000</v>
      </c>
      <c r="R110" s="214"/>
      <c r="S110" s="214">
        <v>3674</v>
      </c>
      <c r="T110" s="214"/>
      <c r="U110" s="214"/>
      <c r="V110" s="214"/>
      <c r="W110" s="214"/>
      <c r="X110" s="214"/>
      <c r="Y110" s="214"/>
      <c r="Z110" s="214"/>
      <c r="AA110" s="216">
        <f t="shared" si="11"/>
        <v>8674</v>
      </c>
      <c r="AB110" s="217">
        <f t="shared" si="9"/>
        <v>30576</v>
      </c>
      <c r="AC110" s="214"/>
    </row>
    <row r="111" spans="1:29" x14ac:dyDescent="0.25">
      <c r="A111" s="214">
        <f t="shared" si="6"/>
        <v>109</v>
      </c>
      <c r="B111" s="214">
        <v>30</v>
      </c>
      <c r="C111" s="225">
        <v>44104</v>
      </c>
      <c r="D111" s="214">
        <v>33490</v>
      </c>
      <c r="E111" s="225">
        <v>44109</v>
      </c>
      <c r="F111" s="214" t="s">
        <v>342</v>
      </c>
      <c r="G111" s="140">
        <v>44075</v>
      </c>
      <c r="H111" s="214">
        <v>31400</v>
      </c>
      <c r="I111" s="214">
        <v>5338</v>
      </c>
      <c r="J111" s="214">
        <v>2512</v>
      </c>
      <c r="K111" s="214"/>
      <c r="L111" s="214"/>
      <c r="M111" s="214"/>
      <c r="N111" s="214"/>
      <c r="O111" s="214"/>
      <c r="P111" s="215">
        <f t="shared" si="10"/>
        <v>39250</v>
      </c>
      <c r="Q111" s="214">
        <v>5000</v>
      </c>
      <c r="R111" s="214"/>
      <c r="S111" s="214">
        <v>3674</v>
      </c>
      <c r="T111" s="214"/>
      <c r="U111" s="214"/>
      <c r="V111" s="214"/>
      <c r="W111" s="214">
        <v>1308</v>
      </c>
      <c r="X111" s="214"/>
      <c r="Y111" s="214"/>
      <c r="Z111" s="214"/>
      <c r="AA111" s="216">
        <f t="shared" si="11"/>
        <v>9982</v>
      </c>
      <c r="AB111" s="217">
        <f t="shared" si="9"/>
        <v>29268</v>
      </c>
      <c r="AC111" s="214"/>
    </row>
    <row r="112" spans="1:29" x14ac:dyDescent="0.25">
      <c r="A112" s="214">
        <f t="shared" si="6"/>
        <v>110</v>
      </c>
      <c r="B112" s="214">
        <v>33</v>
      </c>
      <c r="C112" s="225">
        <v>44132</v>
      </c>
      <c r="D112" s="214">
        <v>38388</v>
      </c>
      <c r="E112" s="225">
        <v>44137</v>
      </c>
      <c r="F112" s="214" t="s">
        <v>342</v>
      </c>
      <c r="G112" s="140">
        <v>44105</v>
      </c>
      <c r="H112" s="214">
        <v>31400</v>
      </c>
      <c r="I112" s="214">
        <v>5338</v>
      </c>
      <c r="J112" s="214">
        <v>2512</v>
      </c>
      <c r="K112" s="214"/>
      <c r="L112" s="214"/>
      <c r="M112" s="214"/>
      <c r="N112" s="214"/>
      <c r="O112" s="214"/>
      <c r="P112" s="215">
        <f t="shared" si="10"/>
        <v>39250</v>
      </c>
      <c r="Q112" s="214">
        <v>5000</v>
      </c>
      <c r="R112" s="214"/>
      <c r="S112" s="214">
        <v>3674</v>
      </c>
      <c r="T112" s="214"/>
      <c r="U112" s="214"/>
      <c r="V112" s="214"/>
      <c r="W112" s="214">
        <v>1266</v>
      </c>
      <c r="X112" s="214"/>
      <c r="Y112" s="214"/>
      <c r="Z112" s="214"/>
      <c r="AA112" s="216">
        <f t="shared" si="11"/>
        <v>9940</v>
      </c>
      <c r="AB112" s="217">
        <f t="shared" si="9"/>
        <v>29310</v>
      </c>
      <c r="AC112" s="214"/>
    </row>
    <row r="113" spans="1:29" x14ac:dyDescent="0.25">
      <c r="A113" s="214">
        <f t="shared" si="6"/>
        <v>111</v>
      </c>
      <c r="B113" s="214">
        <v>37</v>
      </c>
      <c r="C113" s="225">
        <v>44160</v>
      </c>
      <c r="D113" s="214">
        <v>45971</v>
      </c>
      <c r="E113" s="225">
        <v>44169</v>
      </c>
      <c r="F113" s="214" t="s">
        <v>342</v>
      </c>
      <c r="G113" s="140">
        <v>44136</v>
      </c>
      <c r="H113" s="214">
        <v>31400</v>
      </c>
      <c r="I113" s="214">
        <v>5338</v>
      </c>
      <c r="J113" s="214">
        <v>2512</v>
      </c>
      <c r="K113" s="214"/>
      <c r="L113" s="214"/>
      <c r="M113" s="214"/>
      <c r="N113" s="214"/>
      <c r="O113" s="214"/>
      <c r="P113" s="215">
        <f t="shared" si="10"/>
        <v>39250</v>
      </c>
      <c r="Q113" s="214">
        <v>5000</v>
      </c>
      <c r="R113" s="214"/>
      <c r="S113" s="214">
        <v>3674</v>
      </c>
      <c r="T113" s="214"/>
      <c r="U113" s="214"/>
      <c r="V113" s="214"/>
      <c r="W113" s="214"/>
      <c r="X113" s="214"/>
      <c r="Y113" s="214"/>
      <c r="Z113" s="214"/>
      <c r="AA113" s="216">
        <f t="shared" si="11"/>
        <v>8674</v>
      </c>
      <c r="AB113" s="217">
        <f t="shared" si="9"/>
        <v>30576</v>
      </c>
      <c r="AC113" s="214"/>
    </row>
    <row r="114" spans="1:29" x14ac:dyDescent="0.25">
      <c r="A114" s="214">
        <f t="shared" si="6"/>
        <v>112</v>
      </c>
      <c r="B114" s="214">
        <v>40</v>
      </c>
      <c r="C114" s="225">
        <v>44193</v>
      </c>
      <c r="D114" s="214">
        <v>52244</v>
      </c>
      <c r="E114" s="225">
        <v>44197</v>
      </c>
      <c r="F114" s="214" t="s">
        <v>342</v>
      </c>
      <c r="G114" s="140">
        <v>44166</v>
      </c>
      <c r="H114" s="214">
        <v>31400</v>
      </c>
      <c r="I114" s="214">
        <v>5338</v>
      </c>
      <c r="J114" s="214">
        <v>2512</v>
      </c>
      <c r="K114" s="214"/>
      <c r="L114" s="214"/>
      <c r="M114" s="214"/>
      <c r="N114" s="214"/>
      <c r="O114" s="214"/>
      <c r="P114" s="215">
        <f t="shared" si="10"/>
        <v>39250</v>
      </c>
      <c r="Q114" s="214">
        <v>5000</v>
      </c>
      <c r="R114" s="214"/>
      <c r="S114" s="214">
        <v>3674</v>
      </c>
      <c r="T114" s="214"/>
      <c r="U114" s="214"/>
      <c r="V114" s="214"/>
      <c r="W114" s="214"/>
      <c r="X114" s="214"/>
      <c r="Y114" s="214"/>
      <c r="Z114" s="214"/>
      <c r="AA114" s="216">
        <f t="shared" si="11"/>
        <v>8674</v>
      </c>
      <c r="AB114" s="217">
        <f t="shared" si="9"/>
        <v>30576</v>
      </c>
      <c r="AC114" s="214"/>
    </row>
    <row r="115" spans="1:29" x14ac:dyDescent="0.25">
      <c r="A115" s="214">
        <f t="shared" si="6"/>
        <v>113</v>
      </c>
      <c r="B115" s="214">
        <v>42</v>
      </c>
      <c r="C115" s="225">
        <v>44223</v>
      </c>
      <c r="D115" s="214">
        <v>58485</v>
      </c>
      <c r="E115" s="225">
        <v>44231</v>
      </c>
      <c r="F115" s="214" t="s">
        <v>342</v>
      </c>
      <c r="G115" s="140">
        <v>44197</v>
      </c>
      <c r="H115" s="214">
        <v>31400</v>
      </c>
      <c r="I115" s="214">
        <v>5338</v>
      </c>
      <c r="J115" s="214">
        <v>2512</v>
      </c>
      <c r="K115" s="214"/>
      <c r="L115" s="214"/>
      <c r="M115" s="214"/>
      <c r="N115" s="214"/>
      <c r="O115" s="214"/>
      <c r="P115" s="215">
        <f t="shared" si="10"/>
        <v>39250</v>
      </c>
      <c r="Q115" s="214">
        <v>5000</v>
      </c>
      <c r="R115" s="214"/>
      <c r="S115" s="214">
        <v>3674</v>
      </c>
      <c r="T115" s="214"/>
      <c r="U115" s="214"/>
      <c r="V115" s="214"/>
      <c r="W115" s="214"/>
      <c r="X115" s="214"/>
      <c r="Y115" s="214"/>
      <c r="Z115" s="214"/>
      <c r="AA115" s="216">
        <f t="shared" si="11"/>
        <v>8674</v>
      </c>
      <c r="AB115" s="217">
        <f t="shared" si="9"/>
        <v>30576</v>
      </c>
      <c r="AC115" s="214"/>
    </row>
    <row r="116" spans="1:29" x14ac:dyDescent="0.25">
      <c r="A116" s="214">
        <f t="shared" si="6"/>
        <v>114</v>
      </c>
      <c r="B116" s="214">
        <v>45</v>
      </c>
      <c r="C116" s="225">
        <v>44253</v>
      </c>
      <c r="D116" s="214">
        <v>63803</v>
      </c>
      <c r="E116" s="225">
        <v>44258</v>
      </c>
      <c r="F116" s="214" t="s">
        <v>342</v>
      </c>
      <c r="G116" s="140">
        <v>44228</v>
      </c>
      <c r="H116" s="214">
        <v>31400</v>
      </c>
      <c r="I116" s="214">
        <v>5338</v>
      </c>
      <c r="J116" s="214">
        <v>2512</v>
      </c>
      <c r="K116" s="214"/>
      <c r="L116" s="214"/>
      <c r="M116" s="214"/>
      <c r="N116" s="214"/>
      <c r="O116" s="214"/>
      <c r="P116" s="215">
        <f t="shared" si="10"/>
        <v>39250</v>
      </c>
      <c r="Q116" s="214">
        <v>5000</v>
      </c>
      <c r="R116" s="214"/>
      <c r="S116" s="214">
        <v>3674</v>
      </c>
      <c r="T116" s="214"/>
      <c r="U116" s="214"/>
      <c r="V116" s="214"/>
      <c r="W116" s="214"/>
      <c r="X116" s="214"/>
      <c r="Y116" s="214"/>
      <c r="Z116" s="214"/>
      <c r="AA116" s="216">
        <f t="shared" si="11"/>
        <v>8674</v>
      </c>
      <c r="AB116" s="217">
        <f t="shared" si="9"/>
        <v>30576</v>
      </c>
      <c r="AC116" s="214"/>
    </row>
    <row r="117" spans="1:29" x14ac:dyDescent="0.25">
      <c r="A117" s="214">
        <f t="shared" si="6"/>
        <v>115</v>
      </c>
      <c r="B117" s="214">
        <v>47</v>
      </c>
      <c r="C117" s="225">
        <v>44260</v>
      </c>
      <c r="D117" s="214">
        <v>66693</v>
      </c>
      <c r="E117" s="225">
        <v>44270</v>
      </c>
      <c r="F117" s="214" t="s">
        <v>342</v>
      </c>
      <c r="G117" s="140">
        <v>43891</v>
      </c>
      <c r="H117" s="214">
        <v>8855</v>
      </c>
      <c r="I117" s="214">
        <v>1505</v>
      </c>
      <c r="J117" s="214">
        <v>709</v>
      </c>
      <c r="K117" s="214"/>
      <c r="L117" s="214"/>
      <c r="M117" s="214"/>
      <c r="N117" s="214"/>
      <c r="O117" s="214"/>
      <c r="P117" s="215">
        <f t="shared" si="10"/>
        <v>11069</v>
      </c>
      <c r="Q117" s="214"/>
      <c r="R117" s="214"/>
      <c r="S117" s="214">
        <v>1036</v>
      </c>
      <c r="T117" s="214"/>
      <c r="U117" s="214"/>
      <c r="V117" s="214"/>
      <c r="W117" s="214"/>
      <c r="X117" s="214"/>
      <c r="Y117" s="214"/>
      <c r="Z117" s="214"/>
      <c r="AA117" s="216">
        <f t="shared" si="11"/>
        <v>1036</v>
      </c>
      <c r="AB117" s="217">
        <f t="shared" si="9"/>
        <v>10033</v>
      </c>
      <c r="AC117" s="214"/>
    </row>
    <row r="118" spans="1:29" x14ac:dyDescent="0.25">
      <c r="A118" s="214">
        <f t="shared" si="6"/>
        <v>116</v>
      </c>
      <c r="B118" s="214">
        <v>2</v>
      </c>
      <c r="C118" s="225">
        <v>43932</v>
      </c>
      <c r="D118" s="214">
        <v>4819</v>
      </c>
      <c r="E118" s="225">
        <v>43955</v>
      </c>
      <c r="F118" s="214" t="s">
        <v>342</v>
      </c>
      <c r="G118" s="214" t="s">
        <v>368</v>
      </c>
      <c r="H118" s="214"/>
      <c r="I118" s="214">
        <v>9150</v>
      </c>
      <c r="J118" s="214"/>
      <c r="K118" s="214"/>
      <c r="L118" s="214"/>
      <c r="M118" s="214"/>
      <c r="N118" s="214"/>
      <c r="O118" s="214"/>
      <c r="P118" s="215">
        <f t="shared" si="10"/>
        <v>9150</v>
      </c>
      <c r="Q118" s="214"/>
      <c r="R118" s="214"/>
      <c r="S118" s="214">
        <v>918</v>
      </c>
      <c r="T118" s="214"/>
      <c r="U118" s="214"/>
      <c r="V118" s="214"/>
      <c r="W118" s="214"/>
      <c r="X118" s="214"/>
      <c r="Y118" s="214"/>
      <c r="Z118" s="214"/>
      <c r="AA118" s="216">
        <f t="shared" si="11"/>
        <v>918</v>
      </c>
      <c r="AB118" s="217">
        <f t="shared" si="9"/>
        <v>8232</v>
      </c>
      <c r="AC118" s="214"/>
    </row>
    <row r="119" spans="1:29" x14ac:dyDescent="0.25">
      <c r="A119" s="214">
        <f t="shared" si="6"/>
        <v>117</v>
      </c>
      <c r="B119" s="214">
        <v>3</v>
      </c>
      <c r="C119" s="225">
        <v>43934</v>
      </c>
      <c r="D119" s="214">
        <v>4811</v>
      </c>
      <c r="E119" s="225">
        <v>43955</v>
      </c>
      <c r="F119" s="214" t="s">
        <v>342</v>
      </c>
      <c r="G119" s="214" t="s">
        <v>368</v>
      </c>
      <c r="H119" s="214"/>
      <c r="I119" s="214">
        <v>3050</v>
      </c>
      <c r="J119" s="214"/>
      <c r="K119" s="214"/>
      <c r="L119" s="214"/>
      <c r="M119" s="214"/>
      <c r="N119" s="214"/>
      <c r="O119" s="214"/>
      <c r="P119" s="215">
        <f t="shared" si="10"/>
        <v>3050</v>
      </c>
      <c r="Q119" s="214"/>
      <c r="R119" s="214"/>
      <c r="S119" s="214">
        <v>306</v>
      </c>
      <c r="T119" s="214"/>
      <c r="U119" s="214"/>
      <c r="V119" s="214"/>
      <c r="W119" s="214"/>
      <c r="X119" s="214"/>
      <c r="Y119" s="214"/>
      <c r="Z119" s="214"/>
      <c r="AA119" s="216">
        <f t="shared" si="11"/>
        <v>306</v>
      </c>
      <c r="AB119" s="217">
        <f t="shared" si="9"/>
        <v>2744</v>
      </c>
      <c r="AC119" s="214"/>
    </row>
    <row r="120" spans="1:29" x14ac:dyDescent="0.25">
      <c r="A120" s="214">
        <f t="shared" si="6"/>
        <v>118</v>
      </c>
      <c r="B120" s="214">
        <v>23</v>
      </c>
      <c r="C120" s="225">
        <v>44062</v>
      </c>
      <c r="D120" s="214">
        <v>31858</v>
      </c>
      <c r="E120" s="225">
        <v>44098</v>
      </c>
      <c r="F120" s="214" t="s">
        <v>342</v>
      </c>
      <c r="G120" s="214" t="s">
        <v>25</v>
      </c>
      <c r="H120" s="214">
        <v>15700</v>
      </c>
      <c r="I120" s="214">
        <v>2669</v>
      </c>
      <c r="J120" s="214"/>
      <c r="K120" s="214"/>
      <c r="L120" s="214"/>
      <c r="M120" s="214"/>
      <c r="N120" s="214"/>
      <c r="O120" s="214"/>
      <c r="P120" s="215">
        <f t="shared" si="10"/>
        <v>18369</v>
      </c>
      <c r="Q120" s="214"/>
      <c r="R120" s="214"/>
      <c r="S120" s="214"/>
      <c r="T120" s="214"/>
      <c r="U120" s="214"/>
      <c r="V120" s="214"/>
      <c r="W120" s="214"/>
      <c r="X120" s="214"/>
      <c r="Y120" s="214"/>
      <c r="Z120" s="214"/>
      <c r="AA120" s="216">
        <f t="shared" si="11"/>
        <v>0</v>
      </c>
      <c r="AB120" s="217">
        <f t="shared" si="9"/>
        <v>18369</v>
      </c>
      <c r="AC120" s="214"/>
    </row>
    <row r="121" spans="1:29" x14ac:dyDescent="0.25">
      <c r="A121" s="214">
        <f t="shared" si="6"/>
        <v>119</v>
      </c>
      <c r="B121" s="214">
        <v>34</v>
      </c>
      <c r="C121" s="225">
        <v>44148</v>
      </c>
      <c r="D121" s="214">
        <v>42173</v>
      </c>
      <c r="E121" s="225">
        <v>44153</v>
      </c>
      <c r="F121" s="214" t="s">
        <v>342</v>
      </c>
      <c r="G121" s="214" t="s">
        <v>629</v>
      </c>
      <c r="H121" s="214"/>
      <c r="I121" s="214"/>
      <c r="J121" s="214"/>
      <c r="K121" s="214"/>
      <c r="L121" s="214">
        <v>6774</v>
      </c>
      <c r="M121" s="214"/>
      <c r="N121" s="214"/>
      <c r="O121" s="214"/>
      <c r="P121" s="215">
        <f t="shared" si="10"/>
        <v>6774</v>
      </c>
      <c r="Q121" s="214"/>
      <c r="R121" s="214"/>
      <c r="S121" s="214"/>
      <c r="T121" s="214"/>
      <c r="U121" s="214"/>
      <c r="V121" s="214"/>
      <c r="W121" s="214"/>
      <c r="X121" s="214">
        <v>5081</v>
      </c>
      <c r="Y121" s="214"/>
      <c r="Z121" s="214"/>
      <c r="AA121" s="216">
        <f t="shared" si="11"/>
        <v>5081</v>
      </c>
      <c r="AB121" s="217">
        <f t="shared" si="9"/>
        <v>1693</v>
      </c>
      <c r="AC121" s="214"/>
    </row>
    <row r="122" spans="1:29" x14ac:dyDescent="0.25">
      <c r="A122" s="214">
        <f t="shared" si="6"/>
        <v>120</v>
      </c>
      <c r="B122" s="214">
        <v>1</v>
      </c>
      <c r="C122" s="225">
        <v>44292</v>
      </c>
      <c r="D122" s="214">
        <v>1971</v>
      </c>
      <c r="E122" s="225">
        <v>44294</v>
      </c>
      <c r="F122" s="214" t="s">
        <v>416</v>
      </c>
      <c r="G122" s="140">
        <v>44256</v>
      </c>
      <c r="H122" s="214">
        <v>31400</v>
      </c>
      <c r="I122" s="214">
        <v>5338</v>
      </c>
      <c r="J122" s="214">
        <v>2512</v>
      </c>
      <c r="K122" s="214"/>
      <c r="L122" s="214"/>
      <c r="M122" s="214"/>
      <c r="N122" s="214"/>
      <c r="O122" s="214"/>
      <c r="P122" s="215">
        <f t="shared" si="10"/>
        <v>39250</v>
      </c>
      <c r="Q122" s="214">
        <v>5000</v>
      </c>
      <c r="R122" s="214"/>
      <c r="S122" s="214">
        <v>3674</v>
      </c>
      <c r="T122" s="214"/>
      <c r="U122" s="214"/>
      <c r="V122" s="214"/>
      <c r="W122" s="214"/>
      <c r="X122" s="214"/>
      <c r="Y122" s="214"/>
      <c r="Z122" s="214"/>
      <c r="AA122" s="216">
        <f t="shared" si="11"/>
        <v>8674</v>
      </c>
      <c r="AB122" s="217">
        <f t="shared" si="9"/>
        <v>30576</v>
      </c>
      <c r="AC122" s="214"/>
    </row>
    <row r="123" spans="1:29" x14ac:dyDescent="0.25">
      <c r="A123" s="214">
        <f t="shared" si="6"/>
        <v>121</v>
      </c>
      <c r="B123" s="214">
        <v>4</v>
      </c>
      <c r="C123" s="225">
        <v>44316</v>
      </c>
      <c r="D123" s="214">
        <v>6836</v>
      </c>
      <c r="E123" s="225">
        <v>44320</v>
      </c>
      <c r="F123" s="214" t="s">
        <v>416</v>
      </c>
      <c r="G123" s="140">
        <v>44287</v>
      </c>
      <c r="H123" s="214">
        <v>31400</v>
      </c>
      <c r="I123" s="214">
        <v>5338</v>
      </c>
      <c r="J123" s="214">
        <v>2512</v>
      </c>
      <c r="K123" s="214"/>
      <c r="L123" s="214"/>
      <c r="M123" s="214"/>
      <c r="N123" s="214"/>
      <c r="O123" s="214"/>
      <c r="P123" s="215">
        <f t="shared" si="10"/>
        <v>39250</v>
      </c>
      <c r="Q123" s="214">
        <v>5000</v>
      </c>
      <c r="R123" s="214"/>
      <c r="S123" s="214">
        <v>3674</v>
      </c>
      <c r="T123" s="214">
        <v>2100</v>
      </c>
      <c r="U123" s="214"/>
      <c r="V123" s="214"/>
      <c r="W123" s="214"/>
      <c r="X123" s="214"/>
      <c r="Y123" s="214"/>
      <c r="Z123" s="214"/>
      <c r="AA123" s="216">
        <f t="shared" si="11"/>
        <v>10774</v>
      </c>
      <c r="AB123" s="217">
        <f t="shared" si="9"/>
        <v>28476</v>
      </c>
      <c r="AC123" s="214"/>
    </row>
    <row r="124" spans="1:29" x14ac:dyDescent="0.25">
      <c r="A124" s="214">
        <f t="shared" si="6"/>
        <v>122</v>
      </c>
      <c r="B124" s="214">
        <v>7</v>
      </c>
      <c r="C124" s="225">
        <v>44350</v>
      </c>
      <c r="D124" s="214">
        <v>12477</v>
      </c>
      <c r="E124" s="225">
        <v>44354</v>
      </c>
      <c r="F124" s="214" t="s">
        <v>416</v>
      </c>
      <c r="G124" s="140">
        <v>44317</v>
      </c>
      <c r="H124" s="214">
        <v>31400</v>
      </c>
      <c r="I124" s="214">
        <v>5338</v>
      </c>
      <c r="J124" s="214">
        <v>2512</v>
      </c>
      <c r="K124" s="214"/>
      <c r="L124" s="214"/>
      <c r="M124" s="214"/>
      <c r="N124" s="214"/>
      <c r="O124" s="214"/>
      <c r="P124" s="215">
        <f t="shared" si="10"/>
        <v>39250</v>
      </c>
      <c r="Q124" s="214">
        <v>5000</v>
      </c>
      <c r="R124" s="214"/>
      <c r="S124" s="214">
        <v>3674</v>
      </c>
      <c r="T124" s="214"/>
      <c r="U124" s="214"/>
      <c r="V124" s="214"/>
      <c r="W124" s="214"/>
      <c r="X124" s="214"/>
      <c r="Y124" s="214"/>
      <c r="Z124" s="214"/>
      <c r="AA124" s="216">
        <f t="shared" si="11"/>
        <v>8674</v>
      </c>
      <c r="AB124" s="217">
        <f t="shared" si="9"/>
        <v>30576</v>
      </c>
      <c r="AC124" s="214"/>
    </row>
    <row r="125" spans="1:29" x14ac:dyDescent="0.25">
      <c r="A125" s="214">
        <f t="shared" si="6"/>
        <v>123</v>
      </c>
      <c r="B125" s="214">
        <v>9</v>
      </c>
      <c r="C125" s="225">
        <v>44362</v>
      </c>
      <c r="D125" s="214">
        <v>16676</v>
      </c>
      <c r="E125" s="225">
        <v>44378</v>
      </c>
      <c r="F125" s="214" t="s">
        <v>416</v>
      </c>
      <c r="G125" s="214" t="s">
        <v>25</v>
      </c>
      <c r="H125" s="214">
        <v>15700</v>
      </c>
      <c r="I125" s="214">
        <v>2669</v>
      </c>
      <c r="J125" s="214"/>
      <c r="K125" s="214"/>
      <c r="L125" s="214"/>
      <c r="M125" s="214"/>
      <c r="N125" s="214"/>
      <c r="O125" s="214"/>
      <c r="P125" s="215">
        <f t="shared" si="10"/>
        <v>18369</v>
      </c>
      <c r="Q125" s="214"/>
      <c r="R125" s="214"/>
      <c r="S125" s="214"/>
      <c r="T125" s="214"/>
      <c r="U125" s="214"/>
      <c r="V125" s="214"/>
      <c r="W125" s="214"/>
      <c r="X125" s="214"/>
      <c r="Y125" s="214"/>
      <c r="Z125" s="214"/>
      <c r="AA125" s="216">
        <f t="shared" si="11"/>
        <v>0</v>
      </c>
      <c r="AB125" s="217">
        <f t="shared" si="9"/>
        <v>18369</v>
      </c>
      <c r="AC125" s="214"/>
    </row>
    <row r="126" spans="1:29" x14ac:dyDescent="0.25">
      <c r="A126" s="214">
        <f t="shared" si="6"/>
        <v>124</v>
      </c>
      <c r="B126" s="214">
        <v>12</v>
      </c>
      <c r="C126" s="225">
        <v>44378</v>
      </c>
      <c r="D126" s="214">
        <v>17505</v>
      </c>
      <c r="E126" s="225">
        <v>44383</v>
      </c>
      <c r="F126" s="214" t="s">
        <v>416</v>
      </c>
      <c r="G126" s="140">
        <v>44348</v>
      </c>
      <c r="H126" s="214">
        <v>31400</v>
      </c>
      <c r="I126" s="214">
        <v>5338</v>
      </c>
      <c r="J126" s="214">
        <v>2512</v>
      </c>
      <c r="K126" s="214"/>
      <c r="L126" s="214"/>
      <c r="M126" s="214"/>
      <c r="N126" s="214"/>
      <c r="O126" s="214"/>
      <c r="P126" s="215">
        <f t="shared" si="10"/>
        <v>39250</v>
      </c>
      <c r="Q126" s="214">
        <v>5000</v>
      </c>
      <c r="R126" s="214"/>
      <c r="S126" s="214">
        <v>3674</v>
      </c>
      <c r="T126" s="214"/>
      <c r="U126" s="214"/>
      <c r="V126" s="214"/>
      <c r="W126" s="214"/>
      <c r="X126" s="214"/>
      <c r="Y126" s="214"/>
      <c r="Z126" s="214"/>
      <c r="AA126" s="216">
        <f t="shared" si="11"/>
        <v>8674</v>
      </c>
      <c r="AB126" s="217">
        <f t="shared" si="9"/>
        <v>30576</v>
      </c>
      <c r="AC126" s="214"/>
    </row>
    <row r="127" spans="1:29" x14ac:dyDescent="0.25">
      <c r="A127" s="214">
        <f t="shared" si="6"/>
        <v>125</v>
      </c>
      <c r="B127" s="214">
        <v>404</v>
      </c>
      <c r="C127" s="225">
        <v>44406</v>
      </c>
      <c r="D127" s="214">
        <v>22702</v>
      </c>
      <c r="E127" s="225">
        <v>44411</v>
      </c>
      <c r="F127" s="214" t="s">
        <v>416</v>
      </c>
      <c r="G127" s="140">
        <v>44378</v>
      </c>
      <c r="H127" s="214">
        <v>32300</v>
      </c>
      <c r="I127" s="214">
        <v>9044</v>
      </c>
      <c r="J127" s="214">
        <v>2584</v>
      </c>
      <c r="K127" s="214"/>
      <c r="L127" s="214"/>
      <c r="M127" s="214"/>
      <c r="N127" s="214"/>
      <c r="O127" s="214"/>
      <c r="P127" s="215">
        <f t="shared" si="10"/>
        <v>43928</v>
      </c>
      <c r="Q127" s="214">
        <v>5000</v>
      </c>
      <c r="R127" s="214"/>
      <c r="S127" s="214">
        <v>4134</v>
      </c>
      <c r="T127" s="214"/>
      <c r="U127" s="214"/>
      <c r="V127" s="214"/>
      <c r="W127" s="214"/>
      <c r="X127" s="214"/>
      <c r="Y127" s="214"/>
      <c r="Z127" s="214"/>
      <c r="AA127" s="216">
        <f t="shared" si="11"/>
        <v>9134</v>
      </c>
      <c r="AB127" s="217">
        <f t="shared" si="9"/>
        <v>34794</v>
      </c>
      <c r="AC127" s="214"/>
    </row>
    <row r="128" spans="1:29" x14ac:dyDescent="0.25">
      <c r="A128" s="214">
        <f t="shared" si="6"/>
        <v>126</v>
      </c>
      <c r="B128" s="214">
        <v>407</v>
      </c>
      <c r="C128" s="225">
        <v>44418</v>
      </c>
      <c r="D128" s="214">
        <v>26318</v>
      </c>
      <c r="E128" s="225">
        <v>44427</v>
      </c>
      <c r="F128" s="214" t="s">
        <v>416</v>
      </c>
      <c r="G128" s="140" t="s">
        <v>499</v>
      </c>
      <c r="H128" s="214"/>
      <c r="I128" s="214"/>
      <c r="J128" s="214">
        <v>323</v>
      </c>
      <c r="K128" s="214"/>
      <c r="L128" s="214"/>
      <c r="M128" s="214"/>
      <c r="N128" s="214"/>
      <c r="O128" s="214"/>
      <c r="P128" s="215">
        <f t="shared" si="10"/>
        <v>323</v>
      </c>
      <c r="Q128" s="214"/>
      <c r="R128" s="214"/>
      <c r="S128" s="214"/>
      <c r="T128" s="214"/>
      <c r="U128" s="214"/>
      <c r="V128" s="214"/>
      <c r="W128" s="214"/>
      <c r="X128" s="214"/>
      <c r="Y128" s="214"/>
      <c r="Z128" s="214"/>
      <c r="AA128" s="216">
        <f t="shared" si="11"/>
        <v>0</v>
      </c>
      <c r="AB128" s="217">
        <f t="shared" si="9"/>
        <v>323</v>
      </c>
      <c r="AC128" s="214"/>
    </row>
    <row r="129" spans="1:29" x14ac:dyDescent="0.25">
      <c r="A129" s="214">
        <f t="shared" si="6"/>
        <v>127</v>
      </c>
      <c r="B129" s="214">
        <v>411</v>
      </c>
      <c r="C129" s="225">
        <v>44434</v>
      </c>
      <c r="D129" s="214">
        <v>28815</v>
      </c>
      <c r="E129" s="225">
        <v>44440</v>
      </c>
      <c r="F129" s="214" t="s">
        <v>416</v>
      </c>
      <c r="G129" s="140">
        <v>44409</v>
      </c>
      <c r="H129" s="214">
        <v>32300</v>
      </c>
      <c r="I129" s="214">
        <v>9044</v>
      </c>
      <c r="J129" s="214">
        <v>2907</v>
      </c>
      <c r="K129" s="214"/>
      <c r="L129" s="214"/>
      <c r="M129" s="214"/>
      <c r="N129" s="214"/>
      <c r="O129" s="214"/>
      <c r="P129" s="215">
        <f t="shared" si="10"/>
        <v>44251</v>
      </c>
      <c r="Q129" s="214">
        <v>5000</v>
      </c>
      <c r="R129" s="214"/>
      <c r="S129" s="214">
        <v>4134</v>
      </c>
      <c r="T129" s="214"/>
      <c r="U129" s="214"/>
      <c r="V129" s="214"/>
      <c r="W129" s="214"/>
      <c r="X129" s="214"/>
      <c r="Y129" s="214"/>
      <c r="Z129" s="214"/>
      <c r="AA129" s="216">
        <f t="shared" si="11"/>
        <v>9134</v>
      </c>
      <c r="AB129" s="217">
        <f t="shared" si="9"/>
        <v>35117</v>
      </c>
      <c r="AC129" s="214"/>
    </row>
    <row r="130" spans="1:29" x14ac:dyDescent="0.25">
      <c r="A130" s="214">
        <f t="shared" si="6"/>
        <v>128</v>
      </c>
      <c r="B130" s="214">
        <v>414</v>
      </c>
      <c r="C130" s="225">
        <v>44475</v>
      </c>
      <c r="D130" s="214">
        <v>36889</v>
      </c>
      <c r="E130" s="225">
        <v>44480</v>
      </c>
      <c r="F130" s="214" t="s">
        <v>416</v>
      </c>
      <c r="G130" s="140">
        <v>44440</v>
      </c>
      <c r="H130" s="214">
        <v>32300</v>
      </c>
      <c r="I130" s="214">
        <v>9044</v>
      </c>
      <c r="J130" s="214">
        <v>2907</v>
      </c>
      <c r="K130" s="214"/>
      <c r="L130" s="214"/>
      <c r="M130" s="214"/>
      <c r="N130" s="214"/>
      <c r="O130" s="214"/>
      <c r="P130" s="215">
        <f t="shared" si="10"/>
        <v>44251</v>
      </c>
      <c r="Q130" s="214">
        <v>5000</v>
      </c>
      <c r="R130" s="214"/>
      <c r="S130" s="214">
        <v>4134</v>
      </c>
      <c r="T130" s="214"/>
      <c r="U130" s="214"/>
      <c r="V130" s="214"/>
      <c r="W130" s="214"/>
      <c r="X130" s="214"/>
      <c r="Y130" s="214">
        <v>220</v>
      </c>
      <c r="Z130" s="214"/>
      <c r="AA130" s="216">
        <f t="shared" si="11"/>
        <v>9354</v>
      </c>
      <c r="AB130" s="217">
        <f t="shared" si="9"/>
        <v>34897</v>
      </c>
      <c r="AC130" s="214"/>
    </row>
    <row r="131" spans="1:29" x14ac:dyDescent="0.25">
      <c r="A131" s="214">
        <f t="shared" ref="A131:A166" si="12">IFERROR(VALUE(A130),0)+1</f>
        <v>129</v>
      </c>
      <c r="B131" s="214">
        <v>415</v>
      </c>
      <c r="C131" s="225">
        <v>44496</v>
      </c>
      <c r="D131" s="214">
        <v>40146</v>
      </c>
      <c r="E131" s="225">
        <v>44501</v>
      </c>
      <c r="F131" s="214" t="s">
        <v>416</v>
      </c>
      <c r="G131" s="140">
        <v>44470</v>
      </c>
      <c r="H131" s="214">
        <v>32300</v>
      </c>
      <c r="I131" s="214">
        <v>10013</v>
      </c>
      <c r="J131" s="214">
        <v>2907</v>
      </c>
      <c r="K131" s="214"/>
      <c r="L131" s="214"/>
      <c r="M131" s="214"/>
      <c r="N131" s="214"/>
      <c r="O131" s="214"/>
      <c r="P131" s="215">
        <f t="shared" ref="P131:P162" si="13">SUM(H131:O131)</f>
        <v>45220</v>
      </c>
      <c r="Q131" s="214">
        <v>5000</v>
      </c>
      <c r="R131" s="214"/>
      <c r="S131" s="214">
        <v>4231</v>
      </c>
      <c r="T131" s="214"/>
      <c r="U131" s="214"/>
      <c r="V131" s="214"/>
      <c r="W131" s="214"/>
      <c r="X131" s="214"/>
      <c r="Y131" s="214">
        <v>220</v>
      </c>
      <c r="Z131" s="214"/>
      <c r="AA131" s="216">
        <f t="shared" ref="AA131:AA162" si="14">SUM(Q131:Z131)</f>
        <v>9451</v>
      </c>
      <c r="AB131" s="217">
        <f t="shared" si="9"/>
        <v>35769</v>
      </c>
      <c r="AC131" s="214"/>
    </row>
    <row r="132" spans="1:29" x14ac:dyDescent="0.25">
      <c r="A132" s="214">
        <f t="shared" si="12"/>
        <v>130</v>
      </c>
      <c r="B132" s="214">
        <v>23</v>
      </c>
      <c r="C132" s="225">
        <v>44495</v>
      </c>
      <c r="D132" s="214">
        <v>42420</v>
      </c>
      <c r="E132" s="225">
        <v>44501</v>
      </c>
      <c r="F132" s="214" t="s">
        <v>416</v>
      </c>
      <c r="G132" s="214" t="s">
        <v>629</v>
      </c>
      <c r="H132" s="214"/>
      <c r="I132" s="214"/>
      <c r="J132" s="214"/>
      <c r="K132" s="214"/>
      <c r="L132" s="214">
        <v>6774</v>
      </c>
      <c r="M132" s="214"/>
      <c r="N132" s="214"/>
      <c r="O132" s="214"/>
      <c r="P132" s="215">
        <f t="shared" si="13"/>
        <v>6774</v>
      </c>
      <c r="Q132" s="214"/>
      <c r="R132" s="214"/>
      <c r="S132" s="214"/>
      <c r="T132" s="214"/>
      <c r="U132" s="214"/>
      <c r="V132" s="214"/>
      <c r="W132" s="214"/>
      <c r="X132" s="214">
        <v>3387</v>
      </c>
      <c r="Y132" s="214"/>
      <c r="Z132" s="214"/>
      <c r="AA132" s="216">
        <f t="shared" si="14"/>
        <v>3387</v>
      </c>
      <c r="AB132" s="217">
        <f t="shared" ref="AB132:AB141" si="15">P132-AA132</f>
        <v>3387</v>
      </c>
      <c r="AC132" s="214"/>
    </row>
    <row r="133" spans="1:29" x14ac:dyDescent="0.25">
      <c r="A133" s="214">
        <f t="shared" si="12"/>
        <v>131</v>
      </c>
      <c r="B133" s="214">
        <v>418</v>
      </c>
      <c r="C133" s="225">
        <v>44516</v>
      </c>
      <c r="D133" s="214">
        <v>48467</v>
      </c>
      <c r="E133" s="225">
        <v>44531</v>
      </c>
      <c r="F133" s="214" t="s">
        <v>416</v>
      </c>
      <c r="G133" s="140">
        <v>44501</v>
      </c>
      <c r="H133" s="214">
        <v>32300</v>
      </c>
      <c r="I133" s="214">
        <v>10013</v>
      </c>
      <c r="J133" s="214">
        <v>2907</v>
      </c>
      <c r="K133" s="214"/>
      <c r="L133" s="214"/>
      <c r="M133" s="214"/>
      <c r="N133" s="214"/>
      <c r="O133" s="214"/>
      <c r="P133" s="215">
        <f t="shared" si="13"/>
        <v>45220</v>
      </c>
      <c r="Q133" s="214">
        <v>5000</v>
      </c>
      <c r="R133" s="214"/>
      <c r="S133" s="214">
        <v>4231</v>
      </c>
      <c r="T133" s="214"/>
      <c r="U133" s="214"/>
      <c r="V133" s="214"/>
      <c r="W133" s="214"/>
      <c r="X133" s="214"/>
      <c r="Y133" s="214">
        <v>220</v>
      </c>
      <c r="Z133" s="214"/>
      <c r="AA133" s="216">
        <f t="shared" si="14"/>
        <v>9451</v>
      </c>
      <c r="AB133" s="217">
        <f t="shared" si="15"/>
        <v>35769</v>
      </c>
      <c r="AC133" s="214"/>
    </row>
    <row r="134" spans="1:29" x14ac:dyDescent="0.25">
      <c r="A134" s="214">
        <f t="shared" si="12"/>
        <v>132</v>
      </c>
      <c r="B134" s="214">
        <v>417</v>
      </c>
      <c r="C134" s="225">
        <v>44514</v>
      </c>
      <c r="D134" s="214">
        <v>52725</v>
      </c>
      <c r="E134" s="225">
        <v>44546</v>
      </c>
      <c r="F134" s="214" t="s">
        <v>416</v>
      </c>
      <c r="G134" s="140">
        <v>44501</v>
      </c>
      <c r="H134" s="214"/>
      <c r="I134" s="214">
        <v>2907</v>
      </c>
      <c r="J134" s="214"/>
      <c r="K134" s="214"/>
      <c r="L134" s="214"/>
      <c r="M134" s="214"/>
      <c r="N134" s="214"/>
      <c r="O134" s="214"/>
      <c r="P134" s="215">
        <f t="shared" si="13"/>
        <v>2907</v>
      </c>
      <c r="Q134" s="214"/>
      <c r="R134" s="214"/>
      <c r="S134" s="214">
        <v>291</v>
      </c>
      <c r="T134" s="214"/>
      <c r="U134" s="214"/>
      <c r="V134" s="214"/>
      <c r="W134" s="214"/>
      <c r="X134" s="214">
        <v>2616</v>
      </c>
      <c r="Y134" s="214"/>
      <c r="Z134" s="214"/>
      <c r="AA134" s="216">
        <f t="shared" si="14"/>
        <v>2907</v>
      </c>
      <c r="AB134" s="217">
        <f t="shared" si="15"/>
        <v>0</v>
      </c>
      <c r="AC134" s="214" t="s">
        <v>831</v>
      </c>
    </row>
    <row r="135" spans="1:29" x14ac:dyDescent="0.25">
      <c r="A135" s="214">
        <f t="shared" si="12"/>
        <v>133</v>
      </c>
      <c r="B135" s="214">
        <v>419</v>
      </c>
      <c r="C135" s="225">
        <v>44546</v>
      </c>
      <c r="D135" s="214">
        <v>55697</v>
      </c>
      <c r="E135" s="225">
        <v>44562</v>
      </c>
      <c r="F135" s="214" t="s">
        <v>416</v>
      </c>
      <c r="G135" s="140">
        <v>44531</v>
      </c>
      <c r="H135" s="214">
        <v>32300</v>
      </c>
      <c r="I135" s="214">
        <v>10013</v>
      </c>
      <c r="J135" s="214">
        <v>2907</v>
      </c>
      <c r="K135" s="214"/>
      <c r="L135" s="214"/>
      <c r="M135" s="214"/>
      <c r="N135" s="214"/>
      <c r="O135" s="214"/>
      <c r="P135" s="215">
        <f t="shared" si="13"/>
        <v>45220</v>
      </c>
      <c r="Q135" s="214">
        <v>5000</v>
      </c>
      <c r="R135" s="214"/>
      <c r="S135" s="214">
        <v>4231</v>
      </c>
      <c r="T135" s="214"/>
      <c r="U135" s="214"/>
      <c r="V135" s="214"/>
      <c r="W135" s="214"/>
      <c r="X135" s="214"/>
      <c r="Y135" s="214">
        <v>220</v>
      </c>
      <c r="Z135" s="214"/>
      <c r="AA135" s="216">
        <f t="shared" si="14"/>
        <v>9451</v>
      </c>
      <c r="AB135" s="217">
        <f t="shared" si="15"/>
        <v>35769</v>
      </c>
      <c r="AC135" s="214" t="s">
        <v>831</v>
      </c>
    </row>
    <row r="136" spans="1:29" x14ac:dyDescent="0.25">
      <c r="A136" s="214">
        <f t="shared" si="12"/>
        <v>134</v>
      </c>
      <c r="B136" s="214">
        <v>423</v>
      </c>
      <c r="C136" s="225">
        <v>44588</v>
      </c>
      <c r="D136" s="214">
        <v>63392</v>
      </c>
      <c r="E136" s="225">
        <v>44593</v>
      </c>
      <c r="F136" s="214" t="s">
        <v>416</v>
      </c>
      <c r="G136" s="140">
        <v>44562</v>
      </c>
      <c r="H136" s="214">
        <v>32300</v>
      </c>
      <c r="I136" s="214">
        <v>10013</v>
      </c>
      <c r="J136" s="214">
        <v>2907</v>
      </c>
      <c r="K136" s="214"/>
      <c r="L136" s="214"/>
      <c r="M136" s="214"/>
      <c r="N136" s="214"/>
      <c r="O136" s="214"/>
      <c r="P136" s="215">
        <f t="shared" si="13"/>
        <v>45220</v>
      </c>
      <c r="Q136" s="214">
        <v>5000</v>
      </c>
      <c r="R136" s="214"/>
      <c r="S136" s="214">
        <v>4231</v>
      </c>
      <c r="T136" s="214"/>
      <c r="U136" s="214"/>
      <c r="V136" s="214"/>
      <c r="W136" s="214"/>
      <c r="X136" s="214"/>
      <c r="Y136" s="214">
        <v>660</v>
      </c>
      <c r="Z136" s="214"/>
      <c r="AA136" s="216">
        <f t="shared" si="14"/>
        <v>9891</v>
      </c>
      <c r="AB136" s="217">
        <f t="shared" si="15"/>
        <v>35329</v>
      </c>
      <c r="AC136" s="214" t="s">
        <v>831</v>
      </c>
    </row>
    <row r="137" spans="1:29" x14ac:dyDescent="0.25">
      <c r="A137" s="214">
        <f t="shared" si="12"/>
        <v>135</v>
      </c>
      <c r="B137" s="214">
        <v>424</v>
      </c>
      <c r="C137" s="225">
        <v>44612</v>
      </c>
      <c r="D137" s="214">
        <v>69267</v>
      </c>
      <c r="E137" s="225">
        <v>44621</v>
      </c>
      <c r="F137" s="214" t="s">
        <v>416</v>
      </c>
      <c r="G137" s="140">
        <v>44593</v>
      </c>
      <c r="H137" s="214">
        <v>32300</v>
      </c>
      <c r="I137" s="214">
        <v>10013</v>
      </c>
      <c r="J137" s="214">
        <v>2907</v>
      </c>
      <c r="K137" s="214"/>
      <c r="L137" s="214"/>
      <c r="M137" s="214"/>
      <c r="N137" s="214"/>
      <c r="O137" s="214"/>
      <c r="P137" s="215">
        <f t="shared" si="13"/>
        <v>45220</v>
      </c>
      <c r="Q137" s="214">
        <v>5000</v>
      </c>
      <c r="R137" s="214"/>
      <c r="S137" s="214">
        <v>4231</v>
      </c>
      <c r="T137" s="214"/>
      <c r="U137" s="214"/>
      <c r="V137" s="214"/>
      <c r="W137" s="214"/>
      <c r="X137" s="214"/>
      <c r="Y137" s="214">
        <v>220</v>
      </c>
      <c r="Z137" s="214"/>
      <c r="AA137" s="216">
        <f t="shared" si="14"/>
        <v>9451</v>
      </c>
      <c r="AB137" s="217">
        <f t="shared" si="15"/>
        <v>35769</v>
      </c>
      <c r="AC137" s="214" t="s">
        <v>831</v>
      </c>
    </row>
    <row r="138" spans="1:29" x14ac:dyDescent="0.25">
      <c r="A138" s="214">
        <f t="shared" si="12"/>
        <v>136</v>
      </c>
      <c r="B138" s="214">
        <v>38098991</v>
      </c>
      <c r="C138" s="225">
        <v>44652</v>
      </c>
      <c r="D138" s="214">
        <v>1076</v>
      </c>
      <c r="E138" s="225">
        <v>44653</v>
      </c>
      <c r="F138" s="214" t="s">
        <v>516</v>
      </c>
      <c r="G138" s="140">
        <v>44621</v>
      </c>
      <c r="H138" s="214">
        <v>32300</v>
      </c>
      <c r="I138" s="214">
        <v>10013</v>
      </c>
      <c r="J138" s="214">
        <v>2907</v>
      </c>
      <c r="K138" s="214"/>
      <c r="L138" s="214"/>
      <c r="M138" s="214"/>
      <c r="N138" s="214"/>
      <c r="O138" s="214"/>
      <c r="P138" s="215">
        <f t="shared" si="13"/>
        <v>45220</v>
      </c>
      <c r="Q138" s="214">
        <v>5000</v>
      </c>
      <c r="R138" s="214"/>
      <c r="S138" s="214"/>
      <c r="T138" s="214"/>
      <c r="U138" s="214"/>
      <c r="V138" s="214"/>
      <c r="W138" s="214"/>
      <c r="X138" s="214"/>
      <c r="Y138" s="214">
        <v>220</v>
      </c>
      <c r="Z138" s="214"/>
      <c r="AA138" s="216">
        <f t="shared" si="14"/>
        <v>5220</v>
      </c>
      <c r="AB138" s="217">
        <f t="shared" si="15"/>
        <v>40000</v>
      </c>
      <c r="AC138" s="214"/>
    </row>
    <row r="139" spans="1:29" x14ac:dyDescent="0.25">
      <c r="A139" s="214">
        <f t="shared" si="12"/>
        <v>137</v>
      </c>
      <c r="B139" s="214">
        <v>39242038</v>
      </c>
      <c r="C139" s="225">
        <v>44678</v>
      </c>
      <c r="D139" s="214">
        <v>6842</v>
      </c>
      <c r="E139" s="225">
        <v>44685</v>
      </c>
      <c r="F139" s="214" t="s">
        <v>516</v>
      </c>
      <c r="G139" s="140">
        <v>44652</v>
      </c>
      <c r="H139" s="214">
        <v>32300</v>
      </c>
      <c r="I139" s="214">
        <v>10982</v>
      </c>
      <c r="J139" s="214">
        <v>2907</v>
      </c>
      <c r="K139" s="214"/>
      <c r="L139" s="214"/>
      <c r="M139" s="214"/>
      <c r="N139" s="214"/>
      <c r="O139" s="214"/>
      <c r="P139" s="215">
        <f t="shared" si="13"/>
        <v>46189</v>
      </c>
      <c r="Q139" s="214">
        <v>5000</v>
      </c>
      <c r="R139" s="214"/>
      <c r="S139" s="214"/>
      <c r="T139" s="214">
        <v>1750</v>
      </c>
      <c r="U139" s="214"/>
      <c r="V139" s="214"/>
      <c r="W139" s="214"/>
      <c r="X139" s="214"/>
      <c r="Y139" s="214">
        <v>440</v>
      </c>
      <c r="Z139" s="214"/>
      <c r="AA139" s="216">
        <f t="shared" si="14"/>
        <v>7190</v>
      </c>
      <c r="AB139" s="217">
        <f t="shared" si="15"/>
        <v>38999</v>
      </c>
      <c r="AC139" s="214"/>
    </row>
    <row r="140" spans="1:29" x14ac:dyDescent="0.25">
      <c r="A140" s="214">
        <f t="shared" si="12"/>
        <v>138</v>
      </c>
      <c r="B140" s="214">
        <v>39593330</v>
      </c>
      <c r="C140" s="225">
        <v>44693</v>
      </c>
      <c r="D140" s="214">
        <v>10069</v>
      </c>
      <c r="E140" s="225">
        <v>44704</v>
      </c>
      <c r="F140" s="214" t="s">
        <v>516</v>
      </c>
      <c r="G140" s="214" t="s">
        <v>25</v>
      </c>
      <c r="H140" s="214">
        <v>16150</v>
      </c>
      <c r="I140" s="214">
        <v>5491</v>
      </c>
      <c r="J140" s="214"/>
      <c r="K140" s="214"/>
      <c r="L140" s="214"/>
      <c r="M140" s="214"/>
      <c r="N140" s="214"/>
      <c r="O140" s="214"/>
      <c r="P140" s="215">
        <f t="shared" si="13"/>
        <v>21641</v>
      </c>
      <c r="Q140" s="214"/>
      <c r="R140" s="214"/>
      <c r="S140" s="214"/>
      <c r="T140" s="214"/>
      <c r="U140" s="214"/>
      <c r="V140" s="214"/>
      <c r="W140" s="214"/>
      <c r="X140" s="214"/>
      <c r="Y140" s="214"/>
      <c r="Z140" s="214"/>
      <c r="AA140" s="216">
        <f t="shared" si="14"/>
        <v>0</v>
      </c>
      <c r="AB140" s="217">
        <f t="shared" si="15"/>
        <v>21641</v>
      </c>
      <c r="AC140" s="214"/>
    </row>
    <row r="141" spans="1:29" x14ac:dyDescent="0.25">
      <c r="A141" s="214">
        <f t="shared" si="12"/>
        <v>139</v>
      </c>
      <c r="B141" s="214">
        <v>39905433</v>
      </c>
      <c r="C141" s="225">
        <v>44710</v>
      </c>
      <c r="D141" s="214">
        <v>12278</v>
      </c>
      <c r="E141" s="225">
        <v>44713</v>
      </c>
      <c r="F141" s="214" t="s">
        <v>516</v>
      </c>
      <c r="G141" s="140">
        <v>44682</v>
      </c>
      <c r="H141" s="214">
        <v>32300</v>
      </c>
      <c r="I141" s="214">
        <v>10982</v>
      </c>
      <c r="J141" s="214">
        <v>2907</v>
      </c>
      <c r="K141" s="214"/>
      <c r="L141" s="214"/>
      <c r="M141" s="214"/>
      <c r="N141" s="214"/>
      <c r="O141" s="214"/>
      <c r="P141" s="215">
        <f t="shared" si="13"/>
        <v>46189</v>
      </c>
      <c r="Q141" s="214">
        <v>5000</v>
      </c>
      <c r="R141" s="214"/>
      <c r="S141" s="214"/>
      <c r="T141" s="214"/>
      <c r="U141" s="214"/>
      <c r="V141" s="214"/>
      <c r="W141" s="214"/>
      <c r="X141" s="214">
        <v>4200</v>
      </c>
      <c r="Y141" s="214">
        <v>440</v>
      </c>
      <c r="Z141" s="214"/>
      <c r="AA141" s="216">
        <f t="shared" si="14"/>
        <v>9640</v>
      </c>
      <c r="AB141" s="217">
        <f t="shared" si="15"/>
        <v>36549</v>
      </c>
      <c r="AC141" s="214"/>
    </row>
    <row r="142" spans="1:29" x14ac:dyDescent="0.25">
      <c r="A142" s="214">
        <f t="shared" si="12"/>
        <v>140</v>
      </c>
      <c r="B142" s="214">
        <v>40304752</v>
      </c>
      <c r="C142" s="225">
        <v>44735</v>
      </c>
      <c r="D142" s="214">
        <v>19496</v>
      </c>
      <c r="E142" s="225">
        <v>44743</v>
      </c>
      <c r="F142" s="214" t="s">
        <v>516</v>
      </c>
      <c r="G142" s="140">
        <v>44713</v>
      </c>
      <c r="H142" s="214">
        <v>32300</v>
      </c>
      <c r="I142" s="214">
        <v>10982</v>
      </c>
      <c r="J142" s="214">
        <v>2907</v>
      </c>
      <c r="K142" s="214"/>
      <c r="L142" s="214"/>
      <c r="M142" s="214"/>
      <c r="N142" s="214"/>
      <c r="O142" s="214"/>
      <c r="P142" s="215">
        <f t="shared" si="13"/>
        <v>46189</v>
      </c>
      <c r="Q142" s="214">
        <v>5000</v>
      </c>
      <c r="R142" s="214"/>
      <c r="S142" s="214"/>
      <c r="T142" s="214"/>
      <c r="U142" s="214"/>
      <c r="V142" s="214"/>
      <c r="W142" s="214"/>
      <c r="X142" s="214">
        <v>2100</v>
      </c>
      <c r="Y142" s="214">
        <v>440</v>
      </c>
      <c r="Z142" s="214"/>
      <c r="AA142" s="216">
        <f t="shared" si="14"/>
        <v>7540</v>
      </c>
      <c r="AB142" s="217">
        <f t="shared" ref="AB142:AB147" si="16">P142-AA142</f>
        <v>38649</v>
      </c>
      <c r="AC142" s="214"/>
    </row>
    <row r="143" spans="1:29" x14ac:dyDescent="0.25">
      <c r="A143" s="214">
        <f t="shared" si="12"/>
        <v>141</v>
      </c>
      <c r="B143" s="214">
        <v>40160448</v>
      </c>
      <c r="C143" s="225">
        <v>44728</v>
      </c>
      <c r="D143" s="214">
        <v>17326</v>
      </c>
      <c r="E143" s="225">
        <v>44739</v>
      </c>
      <c r="F143" s="214" t="s">
        <v>516</v>
      </c>
      <c r="G143" s="214" t="s">
        <v>630</v>
      </c>
      <c r="H143" s="214"/>
      <c r="I143" s="214">
        <v>2907</v>
      </c>
      <c r="J143" s="214"/>
      <c r="K143" s="214"/>
      <c r="L143" s="214"/>
      <c r="M143" s="214"/>
      <c r="N143" s="214"/>
      <c r="O143" s="214"/>
      <c r="P143" s="215">
        <f t="shared" si="13"/>
        <v>2907</v>
      </c>
      <c r="Q143" s="214"/>
      <c r="R143" s="214"/>
      <c r="S143" s="214"/>
      <c r="T143" s="214"/>
      <c r="U143" s="214"/>
      <c r="V143" s="214"/>
      <c r="W143" s="214"/>
      <c r="X143" s="214">
        <v>2907</v>
      </c>
      <c r="Y143" s="214"/>
      <c r="Z143" s="214"/>
      <c r="AA143" s="216">
        <f t="shared" si="14"/>
        <v>2907</v>
      </c>
      <c r="AB143" s="217">
        <f t="shared" si="16"/>
        <v>0</v>
      </c>
      <c r="AC143" s="214"/>
    </row>
    <row r="144" spans="1:29" x14ac:dyDescent="0.25">
      <c r="A144" s="214">
        <f t="shared" si="12"/>
        <v>142</v>
      </c>
      <c r="B144" s="214">
        <v>40693185</v>
      </c>
      <c r="C144" s="225">
        <v>44762</v>
      </c>
      <c r="D144" s="214">
        <v>25322</v>
      </c>
      <c r="E144" s="225">
        <v>44774</v>
      </c>
      <c r="F144" s="214" t="s">
        <v>516</v>
      </c>
      <c r="G144" s="140">
        <v>44743</v>
      </c>
      <c r="H144" s="214">
        <v>33300</v>
      </c>
      <c r="I144" s="214">
        <f>Table1[[#This Row],[ Pay]]*34/100</f>
        <v>11322</v>
      </c>
      <c r="J144" s="214">
        <f>Table1[[#This Row],[ Pay]]*9/100</f>
        <v>2997</v>
      </c>
      <c r="K144" s="214"/>
      <c r="L144" s="214"/>
      <c r="M144" s="214"/>
      <c r="N144" s="214"/>
      <c r="O144" s="214"/>
      <c r="P144" s="215">
        <f t="shared" si="13"/>
        <v>47619</v>
      </c>
      <c r="Q144" s="214">
        <v>5000</v>
      </c>
      <c r="R144" s="214"/>
      <c r="S144" s="214"/>
      <c r="T144" s="214"/>
      <c r="U144" s="214"/>
      <c r="V144" s="214"/>
      <c r="W144" s="214"/>
      <c r="X144" s="214">
        <v>2100</v>
      </c>
      <c r="Y144" s="214">
        <v>440</v>
      </c>
      <c r="Z144" s="214"/>
      <c r="AA144" s="216">
        <f t="shared" si="14"/>
        <v>7540</v>
      </c>
      <c r="AB144" s="217">
        <f t="shared" si="16"/>
        <v>40079</v>
      </c>
      <c r="AC144" s="214"/>
    </row>
    <row r="145" spans="1:29" x14ac:dyDescent="0.25">
      <c r="A145" s="214">
        <f t="shared" si="12"/>
        <v>143</v>
      </c>
      <c r="B145" s="214">
        <v>41095681</v>
      </c>
      <c r="C145" s="225">
        <v>44792</v>
      </c>
      <c r="D145" s="214">
        <v>31626</v>
      </c>
      <c r="E145" s="225">
        <v>44805</v>
      </c>
      <c r="F145" s="214" t="s">
        <v>516</v>
      </c>
      <c r="G145" s="140">
        <v>44774</v>
      </c>
      <c r="H145" s="214">
        <v>33300</v>
      </c>
      <c r="I145" s="214">
        <v>11322</v>
      </c>
      <c r="J145" s="214">
        <v>2997</v>
      </c>
      <c r="K145" s="214"/>
      <c r="L145" s="214"/>
      <c r="M145" s="214"/>
      <c r="N145" s="214"/>
      <c r="O145" s="214"/>
      <c r="P145" s="215">
        <f t="shared" si="13"/>
        <v>47619</v>
      </c>
      <c r="Q145" s="214">
        <v>5000</v>
      </c>
      <c r="R145" s="214"/>
      <c r="S145" s="214"/>
      <c r="T145" s="214"/>
      <c r="U145" s="214"/>
      <c r="V145" s="214"/>
      <c r="W145" s="214"/>
      <c r="X145" s="214">
        <v>2100</v>
      </c>
      <c r="Y145" s="214">
        <v>440</v>
      </c>
      <c r="Z145" s="214"/>
      <c r="AA145" s="216">
        <f t="shared" si="14"/>
        <v>7540</v>
      </c>
      <c r="AB145" s="217">
        <f t="shared" si="16"/>
        <v>40079</v>
      </c>
      <c r="AC145" s="214"/>
    </row>
    <row r="146" spans="1:29" x14ac:dyDescent="0.25">
      <c r="A146" s="214">
        <f t="shared" si="12"/>
        <v>144</v>
      </c>
      <c r="B146" s="214">
        <v>41591732</v>
      </c>
      <c r="C146" s="225">
        <v>44823</v>
      </c>
      <c r="D146" s="214">
        <v>38533</v>
      </c>
      <c r="E146" s="225">
        <v>44835</v>
      </c>
      <c r="F146" s="214" t="s">
        <v>516</v>
      </c>
      <c r="G146" s="140">
        <v>44805</v>
      </c>
      <c r="H146" s="214">
        <v>33300</v>
      </c>
      <c r="I146" s="214">
        <v>11322</v>
      </c>
      <c r="J146" s="214">
        <v>2997</v>
      </c>
      <c r="K146" s="214"/>
      <c r="L146" s="214"/>
      <c r="M146" s="214"/>
      <c r="N146" s="214"/>
      <c r="O146" s="214"/>
      <c r="P146" s="215">
        <f t="shared" si="13"/>
        <v>47619</v>
      </c>
      <c r="Q146" s="214">
        <v>5000</v>
      </c>
      <c r="R146" s="214"/>
      <c r="S146" s="214"/>
      <c r="T146" s="214"/>
      <c r="U146" s="214"/>
      <c r="V146" s="214"/>
      <c r="W146" s="214"/>
      <c r="X146" s="214">
        <v>2100</v>
      </c>
      <c r="Y146" s="214">
        <v>440</v>
      </c>
      <c r="Z146" s="214"/>
      <c r="AA146" s="216">
        <f t="shared" si="14"/>
        <v>7540</v>
      </c>
      <c r="AB146" s="217">
        <f t="shared" si="16"/>
        <v>40079</v>
      </c>
      <c r="AC146" s="214"/>
    </row>
    <row r="147" spans="1:29" x14ac:dyDescent="0.25">
      <c r="A147" s="214">
        <f t="shared" si="12"/>
        <v>145</v>
      </c>
      <c r="B147" s="214">
        <v>42065399</v>
      </c>
      <c r="C147" s="225">
        <v>44852</v>
      </c>
      <c r="D147" s="214">
        <v>42574</v>
      </c>
      <c r="E147" s="225">
        <v>44854</v>
      </c>
      <c r="F147" s="214" t="s">
        <v>516</v>
      </c>
      <c r="G147" s="214" t="s">
        <v>629</v>
      </c>
      <c r="H147" s="214"/>
      <c r="I147" s="214"/>
      <c r="J147" s="214"/>
      <c r="K147" s="214"/>
      <c r="L147" s="214">
        <v>6774</v>
      </c>
      <c r="M147" s="214"/>
      <c r="N147" s="214"/>
      <c r="O147" s="214"/>
      <c r="P147" s="215">
        <f t="shared" si="13"/>
        <v>6774</v>
      </c>
      <c r="Q147" s="214"/>
      <c r="R147" s="214"/>
      <c r="S147" s="214"/>
      <c r="T147" s="214"/>
      <c r="U147" s="214"/>
      <c r="V147" s="214"/>
      <c r="W147" s="214"/>
      <c r="X147" s="214">
        <v>1694</v>
      </c>
      <c r="Y147" s="214"/>
      <c r="Z147" s="214"/>
      <c r="AA147" s="216">
        <f t="shared" si="14"/>
        <v>1694</v>
      </c>
      <c r="AB147" s="217">
        <f t="shared" si="16"/>
        <v>5080</v>
      </c>
      <c r="AC147" s="214"/>
    </row>
    <row r="148" spans="1:29" x14ac:dyDescent="0.25">
      <c r="A148" s="214">
        <f t="shared" si="12"/>
        <v>146</v>
      </c>
      <c r="B148" s="214">
        <v>42338085</v>
      </c>
      <c r="C148" s="225">
        <v>44861</v>
      </c>
      <c r="D148" s="214">
        <v>47806</v>
      </c>
      <c r="E148" s="225">
        <v>44866</v>
      </c>
      <c r="F148" s="214" t="s">
        <v>516</v>
      </c>
      <c r="G148" s="140">
        <v>44835</v>
      </c>
      <c r="H148" s="214">
        <v>33300</v>
      </c>
      <c r="I148" s="214">
        <v>12654</v>
      </c>
      <c r="J148" s="214">
        <v>2997</v>
      </c>
      <c r="K148" s="214"/>
      <c r="L148" s="214"/>
      <c r="M148" s="214"/>
      <c r="N148" s="214"/>
      <c r="O148" s="214"/>
      <c r="P148" s="215">
        <f t="shared" si="13"/>
        <v>48951</v>
      </c>
      <c r="Q148" s="214">
        <v>5000</v>
      </c>
      <c r="R148" s="214"/>
      <c r="S148" s="214"/>
      <c r="T148" s="214"/>
      <c r="U148" s="214"/>
      <c r="V148" s="214"/>
      <c r="W148" s="214"/>
      <c r="X148" s="214">
        <v>2100</v>
      </c>
      <c r="Y148" s="214">
        <v>440</v>
      </c>
      <c r="Z148" s="214"/>
      <c r="AA148" s="216">
        <f t="shared" si="14"/>
        <v>7540</v>
      </c>
      <c r="AB148" s="217">
        <f t="shared" ref="AB148:AB157" si="17">P148-AA148</f>
        <v>41411</v>
      </c>
      <c r="AC148" s="214"/>
    </row>
    <row r="149" spans="1:29" x14ac:dyDescent="0.25">
      <c r="A149" s="214">
        <f t="shared" si="12"/>
        <v>147</v>
      </c>
      <c r="B149" s="214">
        <v>42672230</v>
      </c>
      <c r="C149" s="225">
        <v>44882</v>
      </c>
      <c r="D149" s="214">
        <v>52784</v>
      </c>
      <c r="E149" s="225">
        <v>44896</v>
      </c>
      <c r="F149" s="214" t="s">
        <v>516</v>
      </c>
      <c r="G149" s="140">
        <v>44866</v>
      </c>
      <c r="H149" s="214">
        <v>33300</v>
      </c>
      <c r="I149" s="214">
        <v>12654</v>
      </c>
      <c r="J149" s="214">
        <v>2997</v>
      </c>
      <c r="K149" s="214"/>
      <c r="L149" s="214"/>
      <c r="M149" s="214"/>
      <c r="N149" s="214"/>
      <c r="O149" s="214"/>
      <c r="P149" s="215">
        <f t="shared" si="13"/>
        <v>48951</v>
      </c>
      <c r="Q149" s="214">
        <v>5000</v>
      </c>
      <c r="R149" s="214"/>
      <c r="S149" s="214"/>
      <c r="T149" s="214"/>
      <c r="U149" s="214"/>
      <c r="V149" s="214"/>
      <c r="W149" s="214"/>
      <c r="X149" s="214">
        <v>2100</v>
      </c>
      <c r="Y149" s="214">
        <v>440</v>
      </c>
      <c r="Z149" s="214"/>
      <c r="AA149" s="216">
        <f t="shared" si="14"/>
        <v>7540</v>
      </c>
      <c r="AB149" s="217">
        <f t="shared" si="17"/>
        <v>41411</v>
      </c>
      <c r="AC149" s="214"/>
    </row>
    <row r="150" spans="1:29" x14ac:dyDescent="0.25">
      <c r="A150" s="214">
        <f t="shared" si="12"/>
        <v>148</v>
      </c>
      <c r="B150" s="214">
        <v>43353029</v>
      </c>
      <c r="C150" s="225">
        <v>44918</v>
      </c>
      <c r="D150" s="214">
        <v>60602</v>
      </c>
      <c r="E150" s="225">
        <v>44928</v>
      </c>
      <c r="F150" s="214" t="s">
        <v>516</v>
      </c>
      <c r="G150" s="140">
        <v>44896</v>
      </c>
      <c r="H150" s="214">
        <v>33300</v>
      </c>
      <c r="I150" s="214">
        <v>12654</v>
      </c>
      <c r="J150" s="214">
        <v>2997</v>
      </c>
      <c r="K150" s="214"/>
      <c r="L150" s="214"/>
      <c r="M150" s="214"/>
      <c r="N150" s="214"/>
      <c r="O150" s="214"/>
      <c r="P150" s="215">
        <f t="shared" si="13"/>
        <v>48951</v>
      </c>
      <c r="Q150" s="214">
        <v>5000</v>
      </c>
      <c r="R150" s="214"/>
      <c r="S150" s="214"/>
      <c r="T150" s="214"/>
      <c r="U150" s="214"/>
      <c r="V150" s="214"/>
      <c r="W150" s="214"/>
      <c r="X150" s="214">
        <v>2100</v>
      </c>
      <c r="Y150" s="214">
        <v>440</v>
      </c>
      <c r="Z150" s="214"/>
      <c r="AA150" s="216">
        <f t="shared" si="14"/>
        <v>7540</v>
      </c>
      <c r="AB150" s="217">
        <f t="shared" si="17"/>
        <v>41411</v>
      </c>
      <c r="AC150" s="214"/>
    </row>
    <row r="151" spans="1:29" x14ac:dyDescent="0.25">
      <c r="A151" s="214">
        <f t="shared" si="12"/>
        <v>149</v>
      </c>
      <c r="B151" s="214">
        <v>43105964</v>
      </c>
      <c r="C151" s="225">
        <v>44908</v>
      </c>
      <c r="D151" s="214">
        <v>57161</v>
      </c>
      <c r="E151" s="225">
        <v>44909</v>
      </c>
      <c r="F151" s="214" t="s">
        <v>516</v>
      </c>
      <c r="G151" s="140" t="s">
        <v>368</v>
      </c>
      <c r="H151" s="214"/>
      <c r="I151" s="214">
        <v>3996</v>
      </c>
      <c r="J151" s="214"/>
      <c r="K151" s="214"/>
      <c r="L151" s="214"/>
      <c r="M151" s="214"/>
      <c r="N151" s="214"/>
      <c r="O151" s="214"/>
      <c r="P151" s="215">
        <f t="shared" si="13"/>
        <v>3996</v>
      </c>
      <c r="Q151" s="214"/>
      <c r="R151" s="214"/>
      <c r="S151" s="214"/>
      <c r="T151" s="214"/>
      <c r="U151" s="214"/>
      <c r="V151" s="214"/>
      <c r="W151" s="214"/>
      <c r="X151" s="214">
        <v>3996</v>
      </c>
      <c r="Y151" s="214"/>
      <c r="Z151" s="214"/>
      <c r="AA151" s="216">
        <f t="shared" si="14"/>
        <v>3996</v>
      </c>
      <c r="AB151" s="217">
        <f t="shared" si="17"/>
        <v>0</v>
      </c>
      <c r="AC151" s="214"/>
    </row>
    <row r="152" spans="1:29" x14ac:dyDescent="0.25">
      <c r="A152" s="214">
        <f t="shared" si="12"/>
        <v>150</v>
      </c>
      <c r="B152" s="214">
        <v>43739170</v>
      </c>
      <c r="C152" s="225">
        <v>44944</v>
      </c>
      <c r="D152" s="214">
        <v>64998</v>
      </c>
      <c r="E152" s="225">
        <v>44946</v>
      </c>
      <c r="F152" s="214" t="s">
        <v>516</v>
      </c>
      <c r="G152" s="140" t="s">
        <v>723</v>
      </c>
      <c r="H152" s="214">
        <v>4850</v>
      </c>
      <c r="I152" s="214">
        <v>1843</v>
      </c>
      <c r="J152" s="214">
        <v>437</v>
      </c>
      <c r="K152" s="214"/>
      <c r="L152" s="214"/>
      <c r="M152" s="214"/>
      <c r="N152" s="214"/>
      <c r="O152" s="214"/>
      <c r="P152" s="215">
        <f t="shared" si="13"/>
        <v>7130</v>
      </c>
      <c r="Q152" s="214"/>
      <c r="R152" s="214"/>
      <c r="S152" s="214"/>
      <c r="T152" s="214"/>
      <c r="U152" s="214"/>
      <c r="V152" s="214"/>
      <c r="W152" s="214"/>
      <c r="X152" s="214">
        <v>14</v>
      </c>
      <c r="Y152" s="214"/>
      <c r="Z152" s="214"/>
      <c r="AA152" s="216">
        <f t="shared" si="14"/>
        <v>14</v>
      </c>
      <c r="AB152" s="217">
        <f t="shared" si="17"/>
        <v>7116</v>
      </c>
      <c r="AC152" s="214"/>
    </row>
    <row r="153" spans="1:29" x14ac:dyDescent="0.25">
      <c r="A153" s="214">
        <f t="shared" si="12"/>
        <v>151</v>
      </c>
      <c r="B153" s="214">
        <v>43878587</v>
      </c>
      <c r="C153" s="225">
        <v>44949</v>
      </c>
      <c r="D153" s="214">
        <v>68683</v>
      </c>
      <c r="E153" s="225">
        <v>44958</v>
      </c>
      <c r="F153" s="214" t="s">
        <v>516</v>
      </c>
      <c r="G153" s="140">
        <v>44927</v>
      </c>
      <c r="H153" s="214">
        <v>34800</v>
      </c>
      <c r="I153" s="214">
        <v>13224</v>
      </c>
      <c r="J153" s="214">
        <v>3132</v>
      </c>
      <c r="K153" s="214"/>
      <c r="L153" s="214"/>
      <c r="M153" s="214"/>
      <c r="N153" s="214"/>
      <c r="O153" s="214"/>
      <c r="P153" s="215">
        <f t="shared" si="13"/>
        <v>51156</v>
      </c>
      <c r="Q153" s="214">
        <v>5000</v>
      </c>
      <c r="R153" s="214"/>
      <c r="S153" s="214"/>
      <c r="T153" s="214"/>
      <c r="U153" s="214"/>
      <c r="V153" s="214"/>
      <c r="W153" s="214"/>
      <c r="X153" s="214">
        <v>2100</v>
      </c>
      <c r="Y153" s="214">
        <v>658</v>
      </c>
      <c r="Z153" s="214"/>
      <c r="AA153" s="216">
        <f t="shared" si="14"/>
        <v>7758</v>
      </c>
      <c r="AB153" s="217">
        <f t="shared" si="17"/>
        <v>43398</v>
      </c>
      <c r="AC153" s="214"/>
    </row>
    <row r="154" spans="1:29" x14ac:dyDescent="0.25">
      <c r="A154" s="214">
        <f t="shared" si="12"/>
        <v>152</v>
      </c>
      <c r="B154" s="214">
        <v>44472500</v>
      </c>
      <c r="C154" s="225">
        <v>44977</v>
      </c>
      <c r="D154" s="214">
        <v>77782</v>
      </c>
      <c r="E154" s="225">
        <v>44986</v>
      </c>
      <c r="F154" s="214" t="s">
        <v>516</v>
      </c>
      <c r="G154" s="140">
        <v>44958</v>
      </c>
      <c r="H154" s="214">
        <v>34800</v>
      </c>
      <c r="I154" s="214">
        <v>13224</v>
      </c>
      <c r="J154" s="214">
        <v>3132</v>
      </c>
      <c r="K154" s="214"/>
      <c r="L154" s="214"/>
      <c r="M154" s="214"/>
      <c r="N154" s="214"/>
      <c r="O154" s="214"/>
      <c r="P154" s="215">
        <f t="shared" si="13"/>
        <v>51156</v>
      </c>
      <c r="Q154" s="214">
        <v>5000</v>
      </c>
      <c r="R154" s="214"/>
      <c r="S154" s="214"/>
      <c r="T154" s="214"/>
      <c r="U154" s="214"/>
      <c r="V154" s="214"/>
      <c r="W154" s="214"/>
      <c r="X154" s="214">
        <v>2100</v>
      </c>
      <c r="Y154" s="214">
        <v>658</v>
      </c>
      <c r="Z154" s="214"/>
      <c r="AA154" s="216">
        <f t="shared" si="14"/>
        <v>7758</v>
      </c>
      <c r="AB154" s="217">
        <f t="shared" si="17"/>
        <v>43398</v>
      </c>
      <c r="AC154" s="214"/>
    </row>
    <row r="155" spans="1:29" x14ac:dyDescent="0.25">
      <c r="A155" s="214">
        <f t="shared" si="12"/>
        <v>153</v>
      </c>
      <c r="B155" s="214">
        <v>45133785</v>
      </c>
      <c r="C155" s="225">
        <v>45017</v>
      </c>
      <c r="D155" s="214">
        <v>763</v>
      </c>
      <c r="E155" s="225">
        <v>45019</v>
      </c>
      <c r="F155" s="214" t="s">
        <v>654</v>
      </c>
      <c r="G155" s="140">
        <v>44986</v>
      </c>
      <c r="H155" s="214">
        <v>34800</v>
      </c>
      <c r="I155" s="214">
        <v>13224</v>
      </c>
      <c r="J155" s="214">
        <v>3132</v>
      </c>
      <c r="K155" s="214"/>
      <c r="L155" s="214"/>
      <c r="M155" s="214"/>
      <c r="N155" s="214"/>
      <c r="O155" s="214"/>
      <c r="P155" s="215">
        <f t="shared" si="13"/>
        <v>51156</v>
      </c>
      <c r="Q155" s="214">
        <v>5000</v>
      </c>
      <c r="R155" s="214"/>
      <c r="S155" s="214"/>
      <c r="T155" s="214"/>
      <c r="U155" s="214"/>
      <c r="V155" s="214"/>
      <c r="W155" s="214"/>
      <c r="X155" s="214">
        <v>2100</v>
      </c>
      <c r="Y155" s="214">
        <v>658</v>
      </c>
      <c r="Z155" s="214"/>
      <c r="AA155" s="216">
        <f t="shared" si="14"/>
        <v>7758</v>
      </c>
      <c r="AB155" s="217">
        <f t="shared" si="17"/>
        <v>43398</v>
      </c>
      <c r="AC155" s="214"/>
    </row>
    <row r="156" spans="1:29" x14ac:dyDescent="0.25">
      <c r="A156" s="214">
        <f t="shared" si="12"/>
        <v>154</v>
      </c>
      <c r="B156" s="214">
        <v>46031314</v>
      </c>
      <c r="C156" s="225">
        <v>45058</v>
      </c>
      <c r="D156" s="214">
        <v>11389</v>
      </c>
      <c r="E156" s="225">
        <v>45061</v>
      </c>
      <c r="F156" s="214" t="s">
        <v>654</v>
      </c>
      <c r="G156" s="140">
        <v>45017</v>
      </c>
      <c r="H156" s="214">
        <v>26680</v>
      </c>
      <c r="I156" s="214">
        <v>11206</v>
      </c>
      <c r="J156" s="214">
        <v>2401</v>
      </c>
      <c r="K156" s="214"/>
      <c r="L156" s="214"/>
      <c r="M156" s="214"/>
      <c r="N156" s="214"/>
      <c r="O156" s="214"/>
      <c r="P156" s="215">
        <f t="shared" si="13"/>
        <v>40287</v>
      </c>
      <c r="Q156" s="214">
        <v>5000</v>
      </c>
      <c r="R156" s="214"/>
      <c r="S156" s="214"/>
      <c r="T156" s="214">
        <v>2100</v>
      </c>
      <c r="U156" s="214"/>
      <c r="V156" s="214"/>
      <c r="W156" s="214"/>
      <c r="X156" s="214">
        <v>2100</v>
      </c>
      <c r="Y156" s="214">
        <v>658</v>
      </c>
      <c r="Z156" s="214"/>
      <c r="AA156" s="216">
        <f t="shared" si="14"/>
        <v>9858</v>
      </c>
      <c r="AB156" s="217">
        <f t="shared" si="17"/>
        <v>30429</v>
      </c>
      <c r="AC156" s="214"/>
    </row>
    <row r="157" spans="1:29" x14ac:dyDescent="0.25">
      <c r="A157" s="214">
        <f t="shared" si="12"/>
        <v>155</v>
      </c>
      <c r="B157" s="214">
        <v>46331842</v>
      </c>
      <c r="C157" s="225">
        <v>45077</v>
      </c>
      <c r="D157" s="214">
        <v>15727</v>
      </c>
      <c r="E157" s="225">
        <v>45078</v>
      </c>
      <c r="F157" s="214" t="s">
        <v>654</v>
      </c>
      <c r="G157" s="140">
        <v>45047</v>
      </c>
      <c r="H157" s="214">
        <v>32555</v>
      </c>
      <c r="I157" s="214">
        <v>13673</v>
      </c>
      <c r="J157" s="214">
        <v>2930</v>
      </c>
      <c r="K157" s="214"/>
      <c r="L157" s="214"/>
      <c r="M157" s="214"/>
      <c r="N157" s="214"/>
      <c r="O157" s="214"/>
      <c r="P157" s="215">
        <f t="shared" si="13"/>
        <v>49158</v>
      </c>
      <c r="Q157" s="214">
        <v>5000</v>
      </c>
      <c r="R157" s="214"/>
      <c r="S157" s="214"/>
      <c r="T157" s="214"/>
      <c r="U157" s="214"/>
      <c r="V157" s="214"/>
      <c r="W157" s="214"/>
      <c r="X157" s="214">
        <v>2100</v>
      </c>
      <c r="Y157" s="214">
        <v>658</v>
      </c>
      <c r="Z157" s="214"/>
      <c r="AA157" s="216">
        <f t="shared" si="14"/>
        <v>7758</v>
      </c>
      <c r="AB157" s="217">
        <f t="shared" si="17"/>
        <v>41400</v>
      </c>
      <c r="AC157" s="214"/>
    </row>
    <row r="158" spans="1:29" x14ac:dyDescent="0.25">
      <c r="A158" s="214">
        <f t="shared" si="12"/>
        <v>156</v>
      </c>
      <c r="B158" s="214">
        <v>46899463</v>
      </c>
      <c r="C158" s="225">
        <v>45117</v>
      </c>
      <c r="D158" s="214">
        <v>23938</v>
      </c>
      <c r="E158" s="225">
        <v>45118</v>
      </c>
      <c r="F158" s="214" t="s">
        <v>654</v>
      </c>
      <c r="G158" s="140">
        <v>45017</v>
      </c>
      <c r="H158" s="214">
        <v>8120</v>
      </c>
      <c r="I158" s="214">
        <v>3410</v>
      </c>
      <c r="J158" s="214">
        <v>731</v>
      </c>
      <c r="K158" s="214"/>
      <c r="L158" s="214"/>
      <c r="M158" s="214"/>
      <c r="N158" s="214"/>
      <c r="O158" s="214"/>
      <c r="P158" s="215">
        <f t="shared" si="13"/>
        <v>12261</v>
      </c>
      <c r="Q158" s="214"/>
      <c r="R158" s="214"/>
      <c r="S158" s="214"/>
      <c r="T158" s="214"/>
      <c r="U158" s="214"/>
      <c r="V158" s="214"/>
      <c r="W158" s="214"/>
      <c r="X158" s="214"/>
      <c r="Y158" s="214"/>
      <c r="Z158" s="214"/>
      <c r="AA158" s="216">
        <f t="shared" si="14"/>
        <v>0</v>
      </c>
      <c r="AB158" s="217">
        <f t="shared" ref="AB158:AB160" si="18">P158-AA158</f>
        <v>12261</v>
      </c>
      <c r="AC158" s="214"/>
    </row>
    <row r="159" spans="1:29" x14ac:dyDescent="0.25">
      <c r="A159" s="214">
        <f t="shared" si="12"/>
        <v>157</v>
      </c>
      <c r="B159" s="214">
        <v>46616223</v>
      </c>
      <c r="C159" s="225">
        <v>45101</v>
      </c>
      <c r="D159" s="214">
        <v>19972</v>
      </c>
      <c r="E159" s="225">
        <v>45108</v>
      </c>
      <c r="F159" s="214" t="s">
        <v>654</v>
      </c>
      <c r="G159" s="140">
        <v>45078</v>
      </c>
      <c r="H159" s="214">
        <v>34800</v>
      </c>
      <c r="I159" s="214">
        <v>14616</v>
      </c>
      <c r="J159" s="214">
        <v>3132</v>
      </c>
      <c r="K159" s="214"/>
      <c r="L159" s="214"/>
      <c r="M159" s="214"/>
      <c r="N159" s="214"/>
      <c r="O159" s="214"/>
      <c r="P159" s="215">
        <f t="shared" si="13"/>
        <v>52548</v>
      </c>
      <c r="Q159" s="214">
        <v>5000</v>
      </c>
      <c r="R159" s="214"/>
      <c r="S159" s="214"/>
      <c r="T159" s="214"/>
      <c r="U159" s="214"/>
      <c r="V159" s="214"/>
      <c r="W159" s="214"/>
      <c r="X159" s="214">
        <v>2100</v>
      </c>
      <c r="Y159" s="214">
        <v>658</v>
      </c>
      <c r="Z159" s="214"/>
      <c r="AA159" s="216">
        <f t="shared" si="14"/>
        <v>7758</v>
      </c>
      <c r="AB159" s="217">
        <f t="shared" si="18"/>
        <v>44790</v>
      </c>
      <c r="AC159" s="214"/>
    </row>
    <row r="160" spans="1:29" x14ac:dyDescent="0.25">
      <c r="A160" s="214">
        <f t="shared" si="12"/>
        <v>158</v>
      </c>
      <c r="B160" s="214">
        <v>47362967</v>
      </c>
      <c r="C160" s="225">
        <v>45142</v>
      </c>
      <c r="D160" s="214">
        <v>30437</v>
      </c>
      <c r="E160" s="225">
        <v>45145</v>
      </c>
      <c r="F160" s="214" t="s">
        <v>654</v>
      </c>
      <c r="G160" s="140">
        <v>45108</v>
      </c>
      <c r="H160" s="214">
        <v>35800</v>
      </c>
      <c r="I160" s="214">
        <v>15036</v>
      </c>
      <c r="J160" s="214">
        <v>3222</v>
      </c>
      <c r="K160" s="214"/>
      <c r="L160" s="214"/>
      <c r="M160" s="214"/>
      <c r="N160" s="214"/>
      <c r="O160" s="214"/>
      <c r="P160" s="215">
        <f t="shared" si="13"/>
        <v>54058</v>
      </c>
      <c r="Q160" s="214">
        <v>5000</v>
      </c>
      <c r="R160" s="214"/>
      <c r="S160" s="214"/>
      <c r="T160" s="214"/>
      <c r="U160" s="214"/>
      <c r="V160" s="214"/>
      <c r="W160" s="214"/>
      <c r="X160" s="214">
        <v>2100</v>
      </c>
      <c r="Y160" s="214">
        <v>658</v>
      </c>
      <c r="Z160" s="214"/>
      <c r="AA160" s="216">
        <f t="shared" si="14"/>
        <v>7758</v>
      </c>
      <c r="AB160" s="217">
        <f t="shared" si="18"/>
        <v>46300</v>
      </c>
      <c r="AC160" s="214"/>
    </row>
    <row r="161" spans="1:29" x14ac:dyDescent="0.25">
      <c r="A161" s="214">
        <f t="shared" si="12"/>
        <v>159</v>
      </c>
      <c r="B161" s="214">
        <v>47086106</v>
      </c>
      <c r="C161" s="225">
        <v>45128</v>
      </c>
      <c r="D161" s="214">
        <v>29256</v>
      </c>
      <c r="E161" s="225">
        <v>45139</v>
      </c>
      <c r="F161" s="214" t="s">
        <v>654</v>
      </c>
      <c r="G161" s="140">
        <v>45047</v>
      </c>
      <c r="H161" s="214">
        <v>2245</v>
      </c>
      <c r="I161" s="214">
        <v>943</v>
      </c>
      <c r="J161" s="214">
        <v>202</v>
      </c>
      <c r="K161" s="214"/>
      <c r="L161" s="214"/>
      <c r="M161" s="214"/>
      <c r="N161" s="214"/>
      <c r="O161" s="214"/>
      <c r="P161" s="215">
        <f t="shared" si="13"/>
        <v>3390</v>
      </c>
      <c r="Q161" s="214"/>
      <c r="R161" s="214"/>
      <c r="S161" s="214"/>
      <c r="T161" s="214"/>
      <c r="U161" s="214"/>
      <c r="V161" s="214"/>
      <c r="W161" s="214"/>
      <c r="X161" s="214"/>
      <c r="Y161" s="214"/>
      <c r="Z161" s="214"/>
      <c r="AA161" s="216">
        <f t="shared" si="14"/>
        <v>0</v>
      </c>
      <c r="AB161" s="217">
        <f t="shared" ref="AB161:AB166" si="19">P161-AA161</f>
        <v>3390</v>
      </c>
      <c r="AC161" s="214"/>
    </row>
    <row r="162" spans="1:29" x14ac:dyDescent="0.25">
      <c r="A162" s="214">
        <f t="shared" si="12"/>
        <v>160</v>
      </c>
      <c r="B162" s="214">
        <v>47617195</v>
      </c>
      <c r="C162" s="225">
        <v>45161</v>
      </c>
      <c r="D162" s="214">
        <v>34957</v>
      </c>
      <c r="E162" s="225">
        <v>45170</v>
      </c>
      <c r="F162" s="214" t="s">
        <v>654</v>
      </c>
      <c r="G162" s="140">
        <v>45139</v>
      </c>
      <c r="H162" s="214">
        <v>35800</v>
      </c>
      <c r="I162" s="214">
        <v>15036</v>
      </c>
      <c r="J162" s="214">
        <v>3222</v>
      </c>
      <c r="K162" s="214"/>
      <c r="L162" s="214"/>
      <c r="M162" s="214"/>
      <c r="N162" s="214"/>
      <c r="O162" s="214"/>
      <c r="P162" s="215">
        <f t="shared" si="13"/>
        <v>54058</v>
      </c>
      <c r="Q162" s="214">
        <v>5000</v>
      </c>
      <c r="R162" s="214"/>
      <c r="S162" s="214"/>
      <c r="T162" s="214"/>
      <c r="U162" s="214"/>
      <c r="V162" s="214"/>
      <c r="W162" s="214"/>
      <c r="X162" s="214">
        <v>2100</v>
      </c>
      <c r="Y162" s="214">
        <v>658</v>
      </c>
      <c r="Z162" s="214"/>
      <c r="AA162" s="216">
        <f t="shared" si="14"/>
        <v>7758</v>
      </c>
      <c r="AB162" s="217">
        <f t="shared" si="19"/>
        <v>46300</v>
      </c>
      <c r="AC162" s="214"/>
    </row>
    <row r="163" spans="1:29" ht="30" x14ac:dyDescent="0.25">
      <c r="A163" s="214">
        <f t="shared" si="12"/>
        <v>161</v>
      </c>
      <c r="B163" s="214">
        <v>47511795</v>
      </c>
      <c r="C163" s="225">
        <v>45154</v>
      </c>
      <c r="D163" s="214">
        <v>31886</v>
      </c>
      <c r="E163" s="225">
        <v>45154</v>
      </c>
      <c r="F163" s="214" t="s">
        <v>654</v>
      </c>
      <c r="G163" s="140" t="s">
        <v>792</v>
      </c>
      <c r="H163" s="214"/>
      <c r="I163" s="214">
        <v>4176</v>
      </c>
      <c r="J163" s="214"/>
      <c r="K163" s="214"/>
      <c r="L163" s="214"/>
      <c r="M163" s="214"/>
      <c r="N163" s="214"/>
      <c r="O163" s="214"/>
      <c r="P163" s="215">
        <f t="shared" ref="P163:P194" si="20">SUM(H163:O163)</f>
        <v>4176</v>
      </c>
      <c r="Q163" s="214"/>
      <c r="R163" s="214"/>
      <c r="S163" s="214"/>
      <c r="T163" s="214"/>
      <c r="U163" s="214"/>
      <c r="V163" s="214"/>
      <c r="W163" s="214"/>
      <c r="X163" s="214">
        <v>4176</v>
      </c>
      <c r="Y163" s="214"/>
      <c r="Z163" s="214"/>
      <c r="AA163" s="216">
        <f t="shared" ref="AA163:AA165" si="21">SUM(Q163:Z163)</f>
        <v>4176</v>
      </c>
      <c r="AB163" s="217">
        <f t="shared" si="19"/>
        <v>0</v>
      </c>
      <c r="AC163" s="214"/>
    </row>
    <row r="164" spans="1:29" x14ac:dyDescent="0.25">
      <c r="A164" s="214">
        <f t="shared" si="12"/>
        <v>162</v>
      </c>
      <c r="B164" s="214">
        <v>48065579</v>
      </c>
      <c r="C164" s="225">
        <v>45192</v>
      </c>
      <c r="D164" s="214">
        <v>40520</v>
      </c>
      <c r="E164" s="225">
        <v>45202</v>
      </c>
      <c r="F164" s="214" t="s">
        <v>654</v>
      </c>
      <c r="G164" s="140">
        <v>45170</v>
      </c>
      <c r="H164" s="214">
        <v>35800</v>
      </c>
      <c r="I164" s="214">
        <v>15036</v>
      </c>
      <c r="J164" s="214">
        <v>3222</v>
      </c>
      <c r="K164" s="214"/>
      <c r="L164" s="214"/>
      <c r="M164" s="214"/>
      <c r="N164" s="214"/>
      <c r="O164" s="214"/>
      <c r="P164" s="215">
        <f t="shared" si="20"/>
        <v>54058</v>
      </c>
      <c r="Q164" s="214">
        <v>5000</v>
      </c>
      <c r="R164" s="214"/>
      <c r="S164" s="214"/>
      <c r="T164" s="214"/>
      <c r="U164" s="214"/>
      <c r="V164" s="214"/>
      <c r="W164" s="214"/>
      <c r="X164" s="214">
        <v>2100</v>
      </c>
      <c r="Y164" s="214">
        <v>658</v>
      </c>
      <c r="Z164" s="214"/>
      <c r="AA164" s="216">
        <f t="shared" si="21"/>
        <v>7758</v>
      </c>
      <c r="AB164" s="217">
        <f t="shared" si="19"/>
        <v>46300</v>
      </c>
      <c r="AC164" s="214"/>
    </row>
    <row r="165" spans="1:29" x14ac:dyDescent="0.25">
      <c r="A165" s="214">
        <f t="shared" si="12"/>
        <v>163</v>
      </c>
      <c r="B165" s="214">
        <v>48627195</v>
      </c>
      <c r="C165" s="225">
        <v>45226</v>
      </c>
      <c r="D165" s="214">
        <v>45911</v>
      </c>
      <c r="E165" s="225">
        <v>45231</v>
      </c>
      <c r="F165" s="214" t="s">
        <v>654</v>
      </c>
      <c r="G165" s="140">
        <v>45200</v>
      </c>
      <c r="H165" s="214">
        <v>35800</v>
      </c>
      <c r="I165" s="214">
        <v>15036</v>
      </c>
      <c r="J165" s="214">
        <v>3222</v>
      </c>
      <c r="K165" s="214"/>
      <c r="L165" s="214"/>
      <c r="M165" s="214"/>
      <c r="N165" s="214"/>
      <c r="O165" s="214"/>
      <c r="P165" s="215">
        <f t="shared" si="20"/>
        <v>54058</v>
      </c>
      <c r="Q165" s="214">
        <v>5000</v>
      </c>
      <c r="R165" s="214"/>
      <c r="S165" s="214"/>
      <c r="T165" s="214"/>
      <c r="U165" s="214"/>
      <c r="V165" s="214"/>
      <c r="W165" s="214"/>
      <c r="X165" s="214">
        <v>2100</v>
      </c>
      <c r="Y165" s="214">
        <v>658</v>
      </c>
      <c r="Z165" s="214">
        <v>2000</v>
      </c>
      <c r="AA165" s="216">
        <f t="shared" si="21"/>
        <v>9758</v>
      </c>
      <c r="AB165" s="217">
        <f t="shared" si="19"/>
        <v>44300</v>
      </c>
      <c r="AC165" s="214"/>
    </row>
    <row r="166" spans="1:29" x14ac:dyDescent="0.25">
      <c r="A166" s="214">
        <f t="shared" si="12"/>
        <v>164</v>
      </c>
      <c r="B166" s="214">
        <v>48896643</v>
      </c>
      <c r="C166" s="225">
        <v>45237</v>
      </c>
      <c r="D166" s="214">
        <v>50640</v>
      </c>
      <c r="E166" s="225">
        <v>45239</v>
      </c>
      <c r="F166" s="214" t="s">
        <v>654</v>
      </c>
      <c r="G166" s="140" t="s">
        <v>629</v>
      </c>
      <c r="H166" s="214"/>
      <c r="I166" s="214"/>
      <c r="J166" s="214"/>
      <c r="K166" s="214"/>
      <c r="L166" s="214">
        <v>6774</v>
      </c>
      <c r="M166" s="214"/>
      <c r="N166" s="214"/>
      <c r="O166" s="214"/>
      <c r="P166" s="215">
        <f t="shared" si="20"/>
        <v>6774</v>
      </c>
      <c r="Q166" s="214"/>
      <c r="R166" s="214"/>
      <c r="S166" s="214"/>
      <c r="T166" s="214"/>
      <c r="U166" s="214"/>
      <c r="V166" s="214"/>
      <c r="W166" s="214"/>
      <c r="X166" s="214">
        <v>1694</v>
      </c>
      <c r="Y166" s="214"/>
      <c r="Z166" s="214"/>
      <c r="AA166" s="216">
        <f>SUM(Q166:Z166)</f>
        <v>1694</v>
      </c>
      <c r="AB166" s="217">
        <f t="shared" si="19"/>
        <v>5080</v>
      </c>
      <c r="AC166" s="214"/>
    </row>
    <row r="167" spans="1:29" x14ac:dyDescent="0.25">
      <c r="A167" s="214">
        <f t="shared" ref="A167:A173" si="22">IFERROR(VALUE(A166),0)+1</f>
        <v>165</v>
      </c>
      <c r="B167" s="214">
        <v>49199160</v>
      </c>
      <c r="C167" s="225">
        <v>45255</v>
      </c>
      <c r="D167" s="214">
        <v>54122</v>
      </c>
      <c r="E167" s="225">
        <v>45261</v>
      </c>
      <c r="F167" s="214" t="s">
        <v>654</v>
      </c>
      <c r="G167" s="140">
        <v>45231</v>
      </c>
      <c r="H167" s="214">
        <v>35800</v>
      </c>
      <c r="I167" s="214">
        <v>16468</v>
      </c>
      <c r="J167" s="214">
        <v>3222</v>
      </c>
      <c r="K167" s="214"/>
      <c r="L167" s="214"/>
      <c r="M167" s="214"/>
      <c r="N167" s="214"/>
      <c r="O167" s="214"/>
      <c r="P167" s="215">
        <f t="shared" si="20"/>
        <v>55490</v>
      </c>
      <c r="Q167" s="214">
        <v>5000</v>
      </c>
      <c r="R167" s="214"/>
      <c r="S167" s="214"/>
      <c r="T167" s="214"/>
      <c r="U167" s="214"/>
      <c r="V167" s="214"/>
      <c r="W167" s="214"/>
      <c r="X167" s="214">
        <v>2100</v>
      </c>
      <c r="Y167" s="214">
        <v>658</v>
      </c>
      <c r="Z167" s="214">
        <v>2000</v>
      </c>
      <c r="AA167" s="216">
        <f t="shared" ref="AA167:AA170" si="23">SUM(Q167:Z167)</f>
        <v>9758</v>
      </c>
      <c r="AB167" s="217">
        <f t="shared" ref="AB167:AB170" si="24">P167-AA167</f>
        <v>45732</v>
      </c>
      <c r="AC167" s="214"/>
    </row>
    <row r="168" spans="1:29" x14ac:dyDescent="0.25">
      <c r="A168" s="214">
        <f t="shared" si="22"/>
        <v>166</v>
      </c>
      <c r="B168" s="214">
        <v>49721966</v>
      </c>
      <c r="C168" s="225">
        <v>45283</v>
      </c>
      <c r="D168" s="214">
        <v>61348</v>
      </c>
      <c r="E168" s="225">
        <v>45292</v>
      </c>
      <c r="F168" s="214" t="s">
        <v>654</v>
      </c>
      <c r="G168" s="140">
        <v>45261</v>
      </c>
      <c r="H168" s="214">
        <v>35800</v>
      </c>
      <c r="I168" s="214">
        <v>16468</v>
      </c>
      <c r="J168" s="214">
        <v>3222</v>
      </c>
      <c r="K168" s="214"/>
      <c r="L168" s="214"/>
      <c r="M168" s="214"/>
      <c r="N168" s="214"/>
      <c r="O168" s="214"/>
      <c r="P168" s="215">
        <f t="shared" si="20"/>
        <v>55490</v>
      </c>
      <c r="Q168" s="214">
        <v>5000</v>
      </c>
      <c r="R168" s="214"/>
      <c r="S168" s="214"/>
      <c r="T168" s="214"/>
      <c r="U168" s="214"/>
      <c r="V168" s="214"/>
      <c r="W168" s="214"/>
      <c r="X168" s="214">
        <v>2100</v>
      </c>
      <c r="Y168" s="214">
        <v>658</v>
      </c>
      <c r="Z168" s="214">
        <v>2000</v>
      </c>
      <c r="AA168" s="216">
        <f t="shared" si="23"/>
        <v>9758</v>
      </c>
      <c r="AB168" s="217">
        <f t="shared" si="24"/>
        <v>45732</v>
      </c>
      <c r="AC168" s="214"/>
    </row>
    <row r="169" spans="1:29" x14ac:dyDescent="0.25">
      <c r="A169" s="214">
        <f t="shared" si="22"/>
        <v>167</v>
      </c>
      <c r="B169" s="214">
        <v>50288389</v>
      </c>
      <c r="C169" s="225">
        <v>45317</v>
      </c>
      <c r="D169" s="214">
        <v>70303</v>
      </c>
      <c r="E169" s="225">
        <v>45323</v>
      </c>
      <c r="F169" s="214" t="s">
        <v>654</v>
      </c>
      <c r="G169" s="140">
        <v>45292</v>
      </c>
      <c r="H169" s="214">
        <v>35800</v>
      </c>
      <c r="I169" s="214">
        <v>16468</v>
      </c>
      <c r="J169" s="214">
        <v>3222</v>
      </c>
      <c r="K169" s="214"/>
      <c r="L169" s="214"/>
      <c r="M169" s="214"/>
      <c r="N169" s="214"/>
      <c r="O169" s="214"/>
      <c r="P169" s="215">
        <f t="shared" si="20"/>
        <v>55490</v>
      </c>
      <c r="Q169" s="214">
        <v>5000</v>
      </c>
      <c r="R169" s="214"/>
      <c r="S169" s="214"/>
      <c r="T169" s="214"/>
      <c r="U169" s="214"/>
      <c r="V169" s="214"/>
      <c r="W169" s="214"/>
      <c r="X169" s="214">
        <v>2100</v>
      </c>
      <c r="Y169" s="214">
        <v>658</v>
      </c>
      <c r="Z169" s="214">
        <v>2000</v>
      </c>
      <c r="AA169" s="216">
        <f t="shared" si="23"/>
        <v>9758</v>
      </c>
      <c r="AB169" s="217">
        <f t="shared" si="24"/>
        <v>45732</v>
      </c>
      <c r="AC169" s="214"/>
    </row>
    <row r="170" spans="1:29" ht="30" x14ac:dyDescent="0.25">
      <c r="A170" s="214">
        <f t="shared" si="22"/>
        <v>168</v>
      </c>
      <c r="B170" s="214">
        <v>50080221</v>
      </c>
      <c r="C170" s="225">
        <v>45307</v>
      </c>
      <c r="D170" s="214">
        <v>67485</v>
      </c>
      <c r="E170" s="225">
        <v>45315</v>
      </c>
      <c r="F170" s="214" t="s">
        <v>654</v>
      </c>
      <c r="G170" s="140" t="s">
        <v>793</v>
      </c>
      <c r="H170" s="214"/>
      <c r="I170" s="214">
        <v>5728</v>
      </c>
      <c r="J170" s="214"/>
      <c r="K170" s="214"/>
      <c r="L170" s="214"/>
      <c r="M170" s="214"/>
      <c r="N170" s="214"/>
      <c r="O170" s="214"/>
      <c r="P170" s="215">
        <f t="shared" si="20"/>
        <v>5728</v>
      </c>
      <c r="Q170" s="214"/>
      <c r="R170" s="214"/>
      <c r="S170" s="214"/>
      <c r="T170" s="214"/>
      <c r="U170" s="214"/>
      <c r="V170" s="214"/>
      <c r="W170" s="214"/>
      <c r="X170" s="214">
        <v>5728</v>
      </c>
      <c r="Y170" s="214"/>
      <c r="Z170" s="214"/>
      <c r="AA170" s="216">
        <f t="shared" si="23"/>
        <v>5728</v>
      </c>
      <c r="AB170" s="217">
        <f t="shared" si="24"/>
        <v>0</v>
      </c>
      <c r="AC170" s="214"/>
    </row>
    <row r="171" spans="1:29" x14ac:dyDescent="0.25">
      <c r="A171" s="214">
        <f t="shared" si="22"/>
        <v>169</v>
      </c>
      <c r="B171" s="214">
        <v>500253174</v>
      </c>
      <c r="C171" s="225">
        <v>45349</v>
      </c>
      <c r="D171" s="214">
        <v>77719</v>
      </c>
      <c r="E171" s="225">
        <v>45355</v>
      </c>
      <c r="F171" s="214" t="s">
        <v>654</v>
      </c>
      <c r="G171" s="140">
        <v>45323</v>
      </c>
      <c r="H171" s="214">
        <v>35800</v>
      </c>
      <c r="I171" s="214">
        <v>16468</v>
      </c>
      <c r="J171" s="214">
        <v>3222</v>
      </c>
      <c r="K171" s="214"/>
      <c r="L171" s="214"/>
      <c r="M171" s="214"/>
      <c r="N171" s="214"/>
      <c r="O171" s="214"/>
      <c r="P171" s="215">
        <f t="shared" si="20"/>
        <v>55490</v>
      </c>
      <c r="Q171" s="214">
        <v>5000</v>
      </c>
      <c r="R171" s="214"/>
      <c r="S171" s="214"/>
      <c r="T171" s="214"/>
      <c r="U171" s="214"/>
      <c r="V171" s="214"/>
      <c r="W171" s="214"/>
      <c r="X171" s="214">
        <v>2100</v>
      </c>
      <c r="Y171" s="214">
        <v>658</v>
      </c>
      <c r="Z171" s="214">
        <v>2000</v>
      </c>
      <c r="AA171" s="216">
        <f t="shared" ref="AA171:AA177" si="25">SUM(Q171:Z171)</f>
        <v>9758</v>
      </c>
      <c r="AB171" s="217">
        <f t="shared" ref="AB171:AB177" si="26">P171-AA171</f>
        <v>45732</v>
      </c>
      <c r="AC171" s="214"/>
    </row>
    <row r="172" spans="1:29" x14ac:dyDescent="0.25">
      <c r="A172" s="214">
        <f t="shared" si="22"/>
        <v>170</v>
      </c>
      <c r="B172" s="214">
        <v>500441461</v>
      </c>
      <c r="C172" s="225">
        <v>45379</v>
      </c>
      <c r="D172" s="214">
        <v>859</v>
      </c>
      <c r="E172" s="225">
        <v>45384</v>
      </c>
      <c r="F172" s="214" t="s">
        <v>568</v>
      </c>
      <c r="G172" s="140">
        <v>45352</v>
      </c>
      <c r="H172" s="214">
        <v>35800</v>
      </c>
      <c r="I172" s="214">
        <v>17900</v>
      </c>
      <c r="J172" s="214">
        <v>3222</v>
      </c>
      <c r="K172" s="214"/>
      <c r="L172" s="214"/>
      <c r="M172" s="214"/>
      <c r="N172" s="214"/>
      <c r="O172" s="214"/>
      <c r="P172" s="215">
        <f t="shared" si="20"/>
        <v>56922</v>
      </c>
      <c r="Q172" s="214">
        <v>5000</v>
      </c>
      <c r="R172" s="214"/>
      <c r="S172" s="214"/>
      <c r="T172" s="214"/>
      <c r="U172" s="214"/>
      <c r="V172" s="214"/>
      <c r="W172" s="214"/>
      <c r="X172" s="214">
        <v>2100</v>
      </c>
      <c r="Y172" s="214">
        <v>658</v>
      </c>
      <c r="Z172" s="214"/>
      <c r="AA172" s="216">
        <f t="shared" si="25"/>
        <v>7758</v>
      </c>
      <c r="AB172" s="217">
        <f t="shared" si="26"/>
        <v>49164</v>
      </c>
      <c r="AC172" s="214"/>
    </row>
    <row r="173" spans="1:29" x14ac:dyDescent="0.25">
      <c r="A173" s="214">
        <f t="shared" si="22"/>
        <v>171</v>
      </c>
      <c r="B173" s="214">
        <v>500732006</v>
      </c>
      <c r="C173" s="225">
        <v>45418</v>
      </c>
      <c r="D173" s="214">
        <v>8364</v>
      </c>
      <c r="E173" s="225">
        <v>45419</v>
      </c>
      <c r="F173" s="214" t="s">
        <v>568</v>
      </c>
      <c r="G173" s="140">
        <v>45383</v>
      </c>
      <c r="H173" s="214">
        <v>35800</v>
      </c>
      <c r="I173" s="214">
        <v>17900</v>
      </c>
      <c r="J173" s="214">
        <v>3222</v>
      </c>
      <c r="K173" s="214"/>
      <c r="L173" s="214"/>
      <c r="M173" s="214"/>
      <c r="N173" s="214"/>
      <c r="O173" s="214"/>
      <c r="P173" s="215">
        <f t="shared" si="20"/>
        <v>56922</v>
      </c>
      <c r="Q173" s="214">
        <v>5000</v>
      </c>
      <c r="R173" s="214"/>
      <c r="S173" s="214"/>
      <c r="T173" s="214">
        <v>2100</v>
      </c>
      <c r="U173" s="214"/>
      <c r="V173" s="214"/>
      <c r="W173" s="214"/>
      <c r="X173" s="214">
        <v>2100</v>
      </c>
      <c r="Y173" s="214">
        <v>658</v>
      </c>
      <c r="Z173" s="214">
        <v>2500</v>
      </c>
      <c r="AA173" s="216">
        <f t="shared" si="25"/>
        <v>12358</v>
      </c>
      <c r="AB173" s="217">
        <f t="shared" si="26"/>
        <v>44564</v>
      </c>
      <c r="AC173" s="224"/>
    </row>
    <row r="174" spans="1:29" ht="30" x14ac:dyDescent="0.25">
      <c r="A174" s="214">
        <f t="shared" ref="A174:A183" si="27">IFERROR(VALUE(A173),0)+1</f>
        <v>172</v>
      </c>
      <c r="B174" s="214">
        <v>500935824</v>
      </c>
      <c r="C174" s="225">
        <v>45440</v>
      </c>
      <c r="D174" s="214">
        <v>12316</v>
      </c>
      <c r="E174" s="225">
        <v>45442</v>
      </c>
      <c r="F174" s="214" t="s">
        <v>568</v>
      </c>
      <c r="G174" s="140" t="s">
        <v>794</v>
      </c>
      <c r="H174" s="214"/>
      <c r="I174" s="214">
        <v>2864</v>
      </c>
      <c r="J174" s="214"/>
      <c r="K174" s="214"/>
      <c r="L174" s="214"/>
      <c r="M174" s="214"/>
      <c r="N174" s="214"/>
      <c r="O174" s="214"/>
      <c r="P174" s="215">
        <f t="shared" si="20"/>
        <v>2864</v>
      </c>
      <c r="Q174" s="214"/>
      <c r="R174" s="214"/>
      <c r="S174" s="214"/>
      <c r="T174" s="214"/>
      <c r="U174" s="214"/>
      <c r="V174" s="214"/>
      <c r="W174" s="214"/>
      <c r="X174" s="214">
        <v>2864</v>
      </c>
      <c r="Y174" s="214"/>
      <c r="Z174" s="214"/>
      <c r="AA174" s="216">
        <f>SUM(Q174:Z174)</f>
        <v>2864</v>
      </c>
      <c r="AB174" s="217">
        <f t="shared" si="26"/>
        <v>0</v>
      </c>
      <c r="AC174" s="214"/>
    </row>
    <row r="175" spans="1:29" x14ac:dyDescent="0.25">
      <c r="A175" s="214">
        <f t="shared" si="27"/>
        <v>173</v>
      </c>
      <c r="B175" s="214">
        <v>500943161</v>
      </c>
      <c r="C175" s="225">
        <v>45441</v>
      </c>
      <c r="D175" s="214">
        <v>13029</v>
      </c>
      <c r="E175" s="225">
        <v>45444</v>
      </c>
      <c r="F175" s="214" t="s">
        <v>568</v>
      </c>
      <c r="G175" s="140">
        <v>45413</v>
      </c>
      <c r="H175" s="214">
        <v>35800</v>
      </c>
      <c r="I175" s="214">
        <v>17900</v>
      </c>
      <c r="J175" s="214">
        <v>3222</v>
      </c>
      <c r="K175" s="214"/>
      <c r="L175" s="214"/>
      <c r="M175" s="214"/>
      <c r="N175" s="214"/>
      <c r="O175" s="214"/>
      <c r="P175" s="215">
        <f t="shared" si="20"/>
        <v>56922</v>
      </c>
      <c r="Q175" s="214">
        <v>5000</v>
      </c>
      <c r="R175" s="214"/>
      <c r="S175" s="214"/>
      <c r="T175" s="214"/>
      <c r="U175" s="214"/>
      <c r="V175" s="214"/>
      <c r="W175" s="214"/>
      <c r="X175" s="214">
        <v>2100</v>
      </c>
      <c r="Y175" s="214">
        <v>658</v>
      </c>
      <c r="Z175" s="214">
        <v>2500</v>
      </c>
      <c r="AA175" s="216">
        <f t="shared" si="25"/>
        <v>10258</v>
      </c>
      <c r="AB175" s="217">
        <f t="shared" si="26"/>
        <v>46664</v>
      </c>
      <c r="AC175" s="214"/>
    </row>
    <row r="176" spans="1:29" x14ac:dyDescent="0.25">
      <c r="A176" s="214">
        <f t="shared" si="27"/>
        <v>174</v>
      </c>
      <c r="B176" s="214">
        <v>501141373</v>
      </c>
      <c r="C176" s="225">
        <v>45470</v>
      </c>
      <c r="D176" s="214">
        <v>19255</v>
      </c>
      <c r="E176" s="225">
        <v>45474</v>
      </c>
      <c r="F176" s="214" t="s">
        <v>568</v>
      </c>
      <c r="G176" s="140">
        <v>45444</v>
      </c>
      <c r="H176" s="214">
        <v>35800</v>
      </c>
      <c r="I176" s="214">
        <v>17900</v>
      </c>
      <c r="J176" s="214">
        <v>3222</v>
      </c>
      <c r="K176" s="214"/>
      <c r="L176" s="214"/>
      <c r="M176" s="214"/>
      <c r="N176" s="214"/>
      <c r="O176" s="214"/>
      <c r="P176" s="215">
        <f t="shared" si="20"/>
        <v>56922</v>
      </c>
      <c r="Q176" s="214">
        <v>5000</v>
      </c>
      <c r="R176" s="214"/>
      <c r="S176" s="214"/>
      <c r="T176" s="214"/>
      <c r="U176" s="214"/>
      <c r="V176" s="214"/>
      <c r="W176" s="214"/>
      <c r="X176" s="214">
        <v>2100</v>
      </c>
      <c r="Y176" s="214">
        <v>658</v>
      </c>
      <c r="Z176" s="214">
        <v>2500</v>
      </c>
      <c r="AA176" s="216">
        <f t="shared" si="25"/>
        <v>10258</v>
      </c>
      <c r="AB176" s="217">
        <f t="shared" si="26"/>
        <v>46664</v>
      </c>
      <c r="AC176" s="214"/>
    </row>
    <row r="177" spans="1:29" x14ac:dyDescent="0.25">
      <c r="A177" s="214">
        <f t="shared" si="27"/>
        <v>175</v>
      </c>
      <c r="B177" s="214">
        <v>501387157</v>
      </c>
      <c r="C177" s="225">
        <v>45503</v>
      </c>
      <c r="D177" s="214">
        <v>25295</v>
      </c>
      <c r="E177" s="225">
        <v>45505</v>
      </c>
      <c r="F177" s="214" t="s">
        <v>568</v>
      </c>
      <c r="G177" s="140">
        <v>45474</v>
      </c>
      <c r="H177" s="214">
        <v>36900</v>
      </c>
      <c r="I177" s="214">
        <v>18450</v>
      </c>
      <c r="J177" s="214">
        <v>3321</v>
      </c>
      <c r="K177" s="214"/>
      <c r="L177" s="214"/>
      <c r="M177" s="214"/>
      <c r="N177" s="214"/>
      <c r="O177" s="214"/>
      <c r="P177" s="215">
        <f t="shared" si="20"/>
        <v>58671</v>
      </c>
      <c r="Q177" s="214">
        <v>5000</v>
      </c>
      <c r="R177" s="214"/>
      <c r="S177" s="214"/>
      <c r="T177" s="214"/>
      <c r="U177" s="214"/>
      <c r="V177" s="214"/>
      <c r="W177" s="214"/>
      <c r="X177" s="214">
        <v>2100</v>
      </c>
      <c r="Y177" s="214">
        <v>658</v>
      </c>
      <c r="Z177" s="214">
        <v>2500</v>
      </c>
      <c r="AA177" s="216">
        <f t="shared" si="25"/>
        <v>10258</v>
      </c>
      <c r="AB177" s="217">
        <f t="shared" si="26"/>
        <v>48413</v>
      </c>
      <c r="AC177" s="214"/>
    </row>
    <row r="178" spans="1:29" x14ac:dyDescent="0.25">
      <c r="A178" s="214">
        <f t="shared" si="27"/>
        <v>176</v>
      </c>
      <c r="B178" s="214">
        <v>501602639</v>
      </c>
      <c r="C178" s="225">
        <v>45527</v>
      </c>
      <c r="D178" s="214">
        <v>31671</v>
      </c>
      <c r="E178" s="225">
        <v>45537</v>
      </c>
      <c r="F178" s="214" t="s">
        <v>568</v>
      </c>
      <c r="G178" s="140">
        <v>45505</v>
      </c>
      <c r="H178" s="214">
        <v>36900</v>
      </c>
      <c r="I178" s="214">
        <v>18450</v>
      </c>
      <c r="J178" s="214">
        <v>3321</v>
      </c>
      <c r="K178" s="214"/>
      <c r="L178" s="214"/>
      <c r="M178" s="214"/>
      <c r="N178" s="214"/>
      <c r="O178" s="214"/>
      <c r="P178" s="215">
        <f t="shared" si="20"/>
        <v>58671</v>
      </c>
      <c r="Q178" s="214">
        <v>5000</v>
      </c>
      <c r="R178" s="214"/>
      <c r="S178" s="214"/>
      <c r="T178" s="214"/>
      <c r="U178" s="214"/>
      <c r="V178" s="214"/>
      <c r="W178" s="214"/>
      <c r="X178" s="214">
        <v>2100</v>
      </c>
      <c r="Y178" s="214">
        <v>658</v>
      </c>
      <c r="Z178" s="214">
        <v>2500</v>
      </c>
      <c r="AA178" s="216">
        <f t="shared" ref="AA178:AA184" si="28">SUM(Q178:Z178)</f>
        <v>10258</v>
      </c>
      <c r="AB178" s="217">
        <f t="shared" ref="AB178:AB184" si="29">P178-AA178</f>
        <v>48413</v>
      </c>
      <c r="AC178" s="214"/>
    </row>
    <row r="179" spans="1:29" x14ac:dyDescent="0.25">
      <c r="A179" s="214">
        <f t="shared" si="27"/>
        <v>177</v>
      </c>
      <c r="B179" s="214">
        <v>501860136</v>
      </c>
      <c r="C179" s="225">
        <v>45561</v>
      </c>
      <c r="D179" s="214">
        <v>37968</v>
      </c>
      <c r="E179" s="225">
        <v>45566</v>
      </c>
      <c r="F179" s="214" t="s">
        <v>568</v>
      </c>
      <c r="G179" s="140">
        <v>45536</v>
      </c>
      <c r="H179" s="214">
        <v>36900</v>
      </c>
      <c r="I179" s="214">
        <v>18450</v>
      </c>
      <c r="J179" s="214">
        <v>3321</v>
      </c>
      <c r="K179" s="214"/>
      <c r="L179" s="214"/>
      <c r="M179" s="214"/>
      <c r="N179" s="214"/>
      <c r="O179" s="214"/>
      <c r="P179" s="215">
        <f t="shared" si="20"/>
        <v>58671</v>
      </c>
      <c r="Q179" s="214">
        <v>5000</v>
      </c>
      <c r="R179" s="214"/>
      <c r="S179" s="214"/>
      <c r="T179" s="214"/>
      <c r="U179" s="214"/>
      <c r="V179" s="214"/>
      <c r="W179" s="214"/>
      <c r="X179" s="214">
        <v>2100</v>
      </c>
      <c r="Y179" s="214">
        <v>658</v>
      </c>
      <c r="Z179" s="214">
        <v>2500</v>
      </c>
      <c r="AA179" s="216">
        <f t="shared" si="28"/>
        <v>10258</v>
      </c>
      <c r="AB179" s="217">
        <f t="shared" si="29"/>
        <v>48413</v>
      </c>
      <c r="AC179" s="214"/>
    </row>
    <row r="180" spans="1:29" x14ac:dyDescent="0.25">
      <c r="A180" s="214">
        <f t="shared" si="27"/>
        <v>178</v>
      </c>
      <c r="B180" s="214">
        <v>502140454</v>
      </c>
      <c r="C180" s="225">
        <v>45588</v>
      </c>
      <c r="D180" s="214">
        <v>49705</v>
      </c>
      <c r="E180" s="225">
        <v>45595</v>
      </c>
      <c r="F180" s="214" t="s">
        <v>568</v>
      </c>
      <c r="G180" s="140">
        <v>45566</v>
      </c>
      <c r="H180" s="214">
        <v>36900</v>
      </c>
      <c r="I180" s="214">
        <v>18450</v>
      </c>
      <c r="J180" s="214">
        <v>3321</v>
      </c>
      <c r="K180" s="214"/>
      <c r="L180" s="214"/>
      <c r="M180" s="214"/>
      <c r="N180" s="214"/>
      <c r="O180" s="214"/>
      <c r="P180" s="215">
        <f t="shared" si="20"/>
        <v>58671</v>
      </c>
      <c r="Q180" s="214">
        <v>5000</v>
      </c>
      <c r="R180" s="214"/>
      <c r="S180" s="214"/>
      <c r="T180" s="214"/>
      <c r="U180" s="214"/>
      <c r="V180" s="214"/>
      <c r="W180" s="214"/>
      <c r="X180" s="214">
        <v>2100</v>
      </c>
      <c r="Y180" s="214">
        <v>658</v>
      </c>
      <c r="Z180" s="214">
        <v>2500</v>
      </c>
      <c r="AA180" s="216">
        <f t="shared" si="28"/>
        <v>10258</v>
      </c>
      <c r="AB180" s="217">
        <f t="shared" si="29"/>
        <v>48413</v>
      </c>
      <c r="AC180" s="214"/>
    </row>
    <row r="181" spans="1:29" x14ac:dyDescent="0.25">
      <c r="A181" s="214">
        <f t="shared" si="27"/>
        <v>179</v>
      </c>
      <c r="B181" s="214">
        <v>502179884</v>
      </c>
      <c r="C181" s="225">
        <v>45588</v>
      </c>
      <c r="D181" s="214">
        <v>44955</v>
      </c>
      <c r="E181" s="225">
        <v>45589</v>
      </c>
      <c r="F181" s="214" t="s">
        <v>568</v>
      </c>
      <c r="G181" s="214" t="s">
        <v>629</v>
      </c>
      <c r="H181" s="214"/>
      <c r="I181" s="214"/>
      <c r="J181" s="214"/>
      <c r="K181" s="214"/>
      <c r="L181" s="214">
        <v>6774</v>
      </c>
      <c r="M181" s="214"/>
      <c r="N181" s="214"/>
      <c r="O181" s="214"/>
      <c r="P181" s="215">
        <f t="shared" si="20"/>
        <v>6774</v>
      </c>
      <c r="Q181" s="214"/>
      <c r="R181" s="214"/>
      <c r="S181" s="214"/>
      <c r="T181" s="214"/>
      <c r="U181" s="214"/>
      <c r="V181" s="214"/>
      <c r="W181" s="214"/>
      <c r="X181" s="214">
        <v>1694</v>
      </c>
      <c r="Y181" s="214"/>
      <c r="Z181" s="214"/>
      <c r="AA181" s="216">
        <f t="shared" si="28"/>
        <v>1694</v>
      </c>
      <c r="AB181" s="217">
        <f t="shared" si="29"/>
        <v>5080</v>
      </c>
      <c r="AC181" s="214"/>
    </row>
    <row r="182" spans="1:29" ht="30" x14ac:dyDescent="0.25">
      <c r="A182" s="227">
        <f t="shared" si="27"/>
        <v>180</v>
      </c>
      <c r="B182" s="214">
        <v>502532171</v>
      </c>
      <c r="C182" s="225">
        <v>45622</v>
      </c>
      <c r="D182" s="214">
        <v>54666</v>
      </c>
      <c r="E182" s="225">
        <v>45624</v>
      </c>
      <c r="F182" s="214" t="s">
        <v>568</v>
      </c>
      <c r="G182" s="140" t="s">
        <v>805</v>
      </c>
      <c r="H182" s="214"/>
      <c r="I182" s="214">
        <v>4428</v>
      </c>
      <c r="J182" s="214"/>
      <c r="K182" s="214"/>
      <c r="L182" s="214"/>
      <c r="M182" s="214"/>
      <c r="N182" s="214"/>
      <c r="O182" s="214"/>
      <c r="P182" s="215">
        <f t="shared" si="20"/>
        <v>4428</v>
      </c>
      <c r="Q182" s="214"/>
      <c r="R182" s="214"/>
      <c r="S182" s="214"/>
      <c r="T182" s="214"/>
      <c r="U182" s="214"/>
      <c r="V182" s="214"/>
      <c r="W182" s="214"/>
      <c r="X182" s="214">
        <v>4428</v>
      </c>
      <c r="Y182" s="214"/>
      <c r="Z182" s="214"/>
      <c r="AA182" s="218">
        <f t="shared" si="28"/>
        <v>4428</v>
      </c>
      <c r="AB182" s="217">
        <f t="shared" si="29"/>
        <v>0</v>
      </c>
      <c r="AC182" s="214"/>
    </row>
    <row r="183" spans="1:29" x14ac:dyDescent="0.25">
      <c r="A183" s="227">
        <f t="shared" si="27"/>
        <v>181</v>
      </c>
      <c r="B183" s="214">
        <v>502535967</v>
      </c>
      <c r="C183" s="225">
        <v>45623</v>
      </c>
      <c r="D183" s="214">
        <v>57448</v>
      </c>
      <c r="E183" s="225">
        <v>45628</v>
      </c>
      <c r="F183" s="214" t="s">
        <v>568</v>
      </c>
      <c r="G183" s="140">
        <v>45597</v>
      </c>
      <c r="H183" s="214">
        <v>36900</v>
      </c>
      <c r="I183" s="214">
        <v>19557</v>
      </c>
      <c r="J183" s="214">
        <v>3690</v>
      </c>
      <c r="K183" s="214"/>
      <c r="L183" s="214"/>
      <c r="M183" s="214"/>
      <c r="N183" s="214"/>
      <c r="O183" s="214"/>
      <c r="P183" s="215">
        <f t="shared" si="20"/>
        <v>60147</v>
      </c>
      <c r="Q183" s="214">
        <v>5000</v>
      </c>
      <c r="R183" s="214"/>
      <c r="S183" s="214"/>
      <c r="T183" s="214"/>
      <c r="U183" s="214"/>
      <c r="V183" s="214"/>
      <c r="W183" s="214"/>
      <c r="X183" s="214">
        <v>2100</v>
      </c>
      <c r="Y183" s="214">
        <v>658</v>
      </c>
      <c r="Z183" s="214">
        <v>2500</v>
      </c>
      <c r="AA183" s="218">
        <f t="shared" si="28"/>
        <v>10258</v>
      </c>
      <c r="AB183" s="217">
        <f t="shared" si="29"/>
        <v>49889</v>
      </c>
      <c r="AC183" s="214"/>
    </row>
    <row r="184" spans="1:29" x14ac:dyDescent="0.25">
      <c r="A184" s="227">
        <f t="shared" ref="A184:A189" si="30">IFERROR(VALUE(A183),0)+1</f>
        <v>182</v>
      </c>
      <c r="B184" s="214">
        <v>502837951</v>
      </c>
      <c r="C184" s="225">
        <v>45653</v>
      </c>
      <c r="D184" s="214">
        <v>63222</v>
      </c>
      <c r="E184" s="225">
        <v>45658</v>
      </c>
      <c r="F184" s="214" t="s">
        <v>568</v>
      </c>
      <c r="G184" s="140">
        <v>45627</v>
      </c>
      <c r="H184" s="214">
        <v>36900</v>
      </c>
      <c r="I184" s="214">
        <v>19557</v>
      </c>
      <c r="J184" s="214">
        <v>3690</v>
      </c>
      <c r="K184" s="214"/>
      <c r="L184" s="214"/>
      <c r="M184" s="214"/>
      <c r="N184" s="214"/>
      <c r="O184" s="214"/>
      <c r="P184" s="215">
        <f t="shared" si="20"/>
        <v>60147</v>
      </c>
      <c r="Q184" s="214">
        <v>5000</v>
      </c>
      <c r="R184" s="214"/>
      <c r="S184" s="214"/>
      <c r="T184" s="214"/>
      <c r="U184" s="214"/>
      <c r="V184" s="214"/>
      <c r="W184" s="214"/>
      <c r="X184" s="214">
        <v>2100</v>
      </c>
      <c r="Y184" s="214">
        <v>658</v>
      </c>
      <c r="Z184" s="214">
        <v>2500</v>
      </c>
      <c r="AA184" s="218">
        <f t="shared" si="28"/>
        <v>10258</v>
      </c>
      <c r="AB184" s="217">
        <f t="shared" si="29"/>
        <v>49889</v>
      </c>
      <c r="AC184" s="214"/>
    </row>
    <row r="185" spans="1:29" x14ac:dyDescent="0.25">
      <c r="A185" s="227">
        <f t="shared" si="30"/>
        <v>183</v>
      </c>
      <c r="B185" s="214">
        <v>503130202</v>
      </c>
      <c r="C185" s="225">
        <v>45691</v>
      </c>
      <c r="D185" s="214">
        <v>72172</v>
      </c>
      <c r="E185" s="225">
        <v>45693</v>
      </c>
      <c r="F185" s="214" t="s">
        <v>568</v>
      </c>
      <c r="G185" s="140">
        <v>45658</v>
      </c>
      <c r="H185" s="214">
        <v>36900</v>
      </c>
      <c r="I185" s="214">
        <v>19557</v>
      </c>
      <c r="J185" s="214">
        <v>3690</v>
      </c>
      <c r="K185" s="214"/>
      <c r="L185" s="214"/>
      <c r="M185" s="214"/>
      <c r="N185" s="214"/>
      <c r="O185" s="214"/>
      <c r="P185" s="215">
        <f t="shared" si="20"/>
        <v>60147</v>
      </c>
      <c r="Q185" s="214">
        <v>5000</v>
      </c>
      <c r="R185" s="214"/>
      <c r="S185" s="214"/>
      <c r="T185" s="214"/>
      <c r="U185" s="214"/>
      <c r="V185" s="214"/>
      <c r="W185" s="214"/>
      <c r="X185" s="214">
        <v>2100</v>
      </c>
      <c r="Y185" s="214">
        <v>658</v>
      </c>
      <c r="Z185" s="214">
        <v>2500</v>
      </c>
      <c r="AA185" s="218">
        <f>SUM(Q185:Z185)</f>
        <v>10258</v>
      </c>
      <c r="AB185" s="217">
        <f>P185-AA185</f>
        <v>49889</v>
      </c>
      <c r="AC185" s="214"/>
    </row>
    <row r="186" spans="1:29" x14ac:dyDescent="0.25">
      <c r="A186" s="227">
        <f t="shared" si="30"/>
        <v>184</v>
      </c>
      <c r="B186" s="214">
        <v>503359800</v>
      </c>
      <c r="C186" s="225">
        <v>45715</v>
      </c>
      <c r="D186" s="214">
        <v>77782</v>
      </c>
      <c r="E186" s="225">
        <v>45717</v>
      </c>
      <c r="F186" s="214" t="s">
        <v>568</v>
      </c>
      <c r="G186" s="140">
        <v>45689</v>
      </c>
      <c r="H186" s="214">
        <v>36900</v>
      </c>
      <c r="I186" s="214">
        <v>19557</v>
      </c>
      <c r="J186" s="214">
        <v>3690</v>
      </c>
      <c r="K186" s="214"/>
      <c r="L186" s="214"/>
      <c r="M186" s="214"/>
      <c r="N186" s="214"/>
      <c r="O186" s="214"/>
      <c r="P186" s="215">
        <f t="shared" si="20"/>
        <v>60147</v>
      </c>
      <c r="Q186" s="214">
        <v>5000</v>
      </c>
      <c r="R186" s="214"/>
      <c r="S186" s="214"/>
      <c r="T186" s="214"/>
      <c r="U186" s="214"/>
      <c r="V186" s="214"/>
      <c r="W186" s="214"/>
      <c r="X186" s="214">
        <v>2100</v>
      </c>
      <c r="Y186" s="214">
        <v>658</v>
      </c>
      <c r="Z186" s="214">
        <v>2500</v>
      </c>
      <c r="AA186" s="218">
        <f>SUM(Q186:Z186)</f>
        <v>10258</v>
      </c>
      <c r="AB186" s="217">
        <f>P186-AA186</f>
        <v>49889</v>
      </c>
      <c r="AC186" s="214"/>
    </row>
    <row r="187" spans="1:29" x14ac:dyDescent="0.25">
      <c r="A187" s="227">
        <f t="shared" si="30"/>
        <v>185</v>
      </c>
      <c r="B187" s="214">
        <v>503690660</v>
      </c>
      <c r="C187" s="225">
        <v>45748</v>
      </c>
      <c r="D187" s="214">
        <v>49331</v>
      </c>
      <c r="E187" s="225">
        <v>45749</v>
      </c>
      <c r="F187" s="214" t="s">
        <v>569</v>
      </c>
      <c r="G187" s="140">
        <v>45717</v>
      </c>
      <c r="H187" s="214">
        <v>36900</v>
      </c>
      <c r="I187" s="214">
        <v>19557</v>
      </c>
      <c r="J187" s="214">
        <v>3690</v>
      </c>
      <c r="K187" s="214"/>
      <c r="L187" s="214"/>
      <c r="M187" s="214"/>
      <c r="N187" s="214"/>
      <c r="O187" s="214"/>
      <c r="P187" s="215">
        <f t="shared" si="20"/>
        <v>60147</v>
      </c>
      <c r="Q187" s="214">
        <v>5000</v>
      </c>
      <c r="R187" s="214"/>
      <c r="S187" s="214"/>
      <c r="T187" s="214"/>
      <c r="U187" s="214"/>
      <c r="V187" s="214"/>
      <c r="W187" s="214"/>
      <c r="X187" s="214">
        <v>2100</v>
      </c>
      <c r="Y187" s="214">
        <v>658</v>
      </c>
      <c r="Z187" s="214"/>
      <c r="AA187" s="218">
        <f t="shared" ref="AA187:AA191" si="31">SUM(Q187:Z187)</f>
        <v>7758</v>
      </c>
      <c r="AB187" s="217">
        <f t="shared" ref="AB187:AB191" si="32">P187-AA187</f>
        <v>52389</v>
      </c>
      <c r="AC187" s="214"/>
    </row>
    <row r="188" spans="1:29" ht="30" x14ac:dyDescent="0.25">
      <c r="A188" s="227">
        <f t="shared" si="30"/>
        <v>186</v>
      </c>
      <c r="B188" s="214">
        <v>504010976</v>
      </c>
      <c r="C188" s="225">
        <v>45772</v>
      </c>
      <c r="D188" s="214">
        <v>339072</v>
      </c>
      <c r="E188" s="225">
        <v>45775</v>
      </c>
      <c r="F188" s="214" t="s">
        <v>569</v>
      </c>
      <c r="G188" s="140" t="s">
        <v>927</v>
      </c>
      <c r="H188" s="214"/>
      <c r="I188" s="214">
        <v>2214</v>
      </c>
      <c r="J188" s="214"/>
      <c r="K188" s="214"/>
      <c r="L188" s="214"/>
      <c r="M188" s="214"/>
      <c r="N188" s="214"/>
      <c r="O188" s="214"/>
      <c r="P188" s="215">
        <f t="shared" si="20"/>
        <v>2214</v>
      </c>
      <c r="Q188" s="214"/>
      <c r="R188" s="214"/>
      <c r="S188" s="214"/>
      <c r="T188" s="214"/>
      <c r="U188" s="214"/>
      <c r="V188" s="214"/>
      <c r="W188" s="214"/>
      <c r="X188" s="214">
        <v>2214</v>
      </c>
      <c r="Y188" s="214"/>
      <c r="Z188" s="214"/>
      <c r="AA188" s="218">
        <f t="shared" si="31"/>
        <v>2214</v>
      </c>
      <c r="AB188" s="217">
        <f t="shared" si="32"/>
        <v>0</v>
      </c>
      <c r="AC188" s="214"/>
    </row>
    <row r="189" spans="1:29" x14ac:dyDescent="0.25">
      <c r="A189" s="227">
        <f t="shared" si="30"/>
        <v>187</v>
      </c>
      <c r="B189" s="214">
        <v>504041112</v>
      </c>
      <c r="C189" s="225">
        <v>45775</v>
      </c>
      <c r="D189" s="214">
        <v>432978</v>
      </c>
      <c r="E189" s="225">
        <v>45778</v>
      </c>
      <c r="F189" s="214" t="s">
        <v>569</v>
      </c>
      <c r="G189" s="140">
        <v>45748</v>
      </c>
      <c r="H189" s="214">
        <v>36900</v>
      </c>
      <c r="I189" s="214">
        <v>20295</v>
      </c>
      <c r="J189" s="214">
        <v>3690</v>
      </c>
      <c r="K189" s="214"/>
      <c r="L189" s="214"/>
      <c r="M189" s="214"/>
      <c r="N189" s="214"/>
      <c r="O189" s="214"/>
      <c r="P189" s="215">
        <f t="shared" si="20"/>
        <v>60885</v>
      </c>
      <c r="Q189" s="214">
        <v>5000</v>
      </c>
      <c r="R189" s="214"/>
      <c r="S189" s="214"/>
      <c r="T189" s="214">
        <v>2100</v>
      </c>
      <c r="U189" s="214"/>
      <c r="V189" s="214"/>
      <c r="W189" s="214"/>
      <c r="X189" s="214">
        <v>2100</v>
      </c>
      <c r="Y189" s="214">
        <v>658</v>
      </c>
      <c r="Z189" s="214"/>
      <c r="AA189" s="218">
        <f t="shared" si="31"/>
        <v>9858</v>
      </c>
      <c r="AB189" s="217">
        <f t="shared" si="32"/>
        <v>51027</v>
      </c>
      <c r="AC189" s="214"/>
    </row>
    <row r="190" spans="1:29" x14ac:dyDescent="0.25">
      <c r="A190" s="228">
        <f t="shared" ref="A190:A196" si="33">IFERROR(VALUE(A189),0)+1</f>
        <v>188</v>
      </c>
      <c r="B190" s="220">
        <v>504091892</v>
      </c>
      <c r="C190" s="229">
        <v>45779</v>
      </c>
      <c r="D190" s="214">
        <v>609942</v>
      </c>
      <c r="E190" s="229">
        <v>45790</v>
      </c>
      <c r="F190" s="214" t="s">
        <v>569</v>
      </c>
      <c r="G190" s="214" t="s">
        <v>25</v>
      </c>
      <c r="H190" s="220">
        <v>18450</v>
      </c>
      <c r="I190" s="220">
        <v>10148</v>
      </c>
      <c r="J190" s="220"/>
      <c r="K190" s="220"/>
      <c r="L190" s="220"/>
      <c r="M190" s="220"/>
      <c r="N190" s="220"/>
      <c r="O190" s="220"/>
      <c r="P190" s="219">
        <f t="shared" si="20"/>
        <v>28598</v>
      </c>
      <c r="Q190" s="220"/>
      <c r="R190" s="220"/>
      <c r="S190" s="220"/>
      <c r="T190" s="220"/>
      <c r="U190" s="220"/>
      <c r="V190" s="220"/>
      <c r="W190" s="220"/>
      <c r="X190" s="220"/>
      <c r="Y190" s="220"/>
      <c r="Z190" s="220"/>
      <c r="AA190" s="218">
        <f t="shared" si="31"/>
        <v>0</v>
      </c>
      <c r="AB190" s="217">
        <f t="shared" si="32"/>
        <v>28598</v>
      </c>
      <c r="AC190" s="220"/>
    </row>
    <row r="191" spans="1:29" ht="45" x14ac:dyDescent="0.25">
      <c r="A191" s="269">
        <f t="shared" si="33"/>
        <v>189</v>
      </c>
      <c r="B191" s="270"/>
      <c r="C191" s="271"/>
      <c r="D191" s="270">
        <v>621685</v>
      </c>
      <c r="E191" s="271">
        <v>45790</v>
      </c>
      <c r="F191" s="270" t="s">
        <v>569</v>
      </c>
      <c r="G191" s="272" t="s">
        <v>829</v>
      </c>
      <c r="H191" s="270"/>
      <c r="I191" s="270"/>
      <c r="J191" s="270"/>
      <c r="K191" s="270"/>
      <c r="L191" s="270"/>
      <c r="M191" s="270"/>
      <c r="N191" s="270">
        <v>434500</v>
      </c>
      <c r="O191" s="273"/>
      <c r="P191" s="274">
        <f t="shared" si="20"/>
        <v>434500</v>
      </c>
      <c r="Q191" s="270"/>
      <c r="R191" s="270"/>
      <c r="S191" s="270"/>
      <c r="T191" s="270"/>
      <c r="U191" s="270"/>
      <c r="V191" s="270"/>
      <c r="W191" s="270"/>
      <c r="X191" s="270"/>
      <c r="Y191" s="270"/>
      <c r="Z191" s="270"/>
      <c r="AA191" s="275">
        <f t="shared" si="31"/>
        <v>0</v>
      </c>
      <c r="AB191" s="276">
        <f t="shared" si="32"/>
        <v>434500</v>
      </c>
      <c r="AC191" s="270" t="s">
        <v>1051</v>
      </c>
    </row>
    <row r="192" spans="1:29" x14ac:dyDescent="0.25">
      <c r="A192" s="227">
        <f t="shared" si="33"/>
        <v>190</v>
      </c>
      <c r="B192" s="220">
        <v>504355271</v>
      </c>
      <c r="C192" s="225">
        <v>45807</v>
      </c>
      <c r="D192" s="214">
        <v>876297</v>
      </c>
      <c r="E192" s="225">
        <v>45810</v>
      </c>
      <c r="F192" s="214" t="s">
        <v>569</v>
      </c>
      <c r="G192" s="140">
        <v>45778</v>
      </c>
      <c r="H192" s="214">
        <v>36900</v>
      </c>
      <c r="I192" s="214">
        <v>20295</v>
      </c>
      <c r="J192" s="214">
        <v>3690</v>
      </c>
      <c r="K192" s="214"/>
      <c r="L192" s="214"/>
      <c r="M192" s="214"/>
      <c r="N192" s="214"/>
      <c r="O192" s="214"/>
      <c r="P192" s="221">
        <f t="shared" si="20"/>
        <v>60885</v>
      </c>
      <c r="Q192" s="214">
        <v>5000</v>
      </c>
      <c r="R192" s="214"/>
      <c r="S192" s="214"/>
      <c r="T192" s="214"/>
      <c r="U192" s="214"/>
      <c r="V192" s="214"/>
      <c r="W192" s="214"/>
      <c r="X192" s="214">
        <v>2100</v>
      </c>
      <c r="Y192" s="214">
        <v>658</v>
      </c>
      <c r="Z192" s="214"/>
      <c r="AA192" s="218">
        <f t="shared" ref="AA192:AA199" si="34">SUM(Q192:Z192)</f>
        <v>7758</v>
      </c>
      <c r="AB192" s="217">
        <f t="shared" ref="AB192:AB199" si="35">P192-AA192</f>
        <v>53127</v>
      </c>
      <c r="AC192" s="214"/>
    </row>
    <row r="193" spans="1:29" x14ac:dyDescent="0.25">
      <c r="A193" s="228">
        <f t="shared" si="33"/>
        <v>191</v>
      </c>
      <c r="B193" s="220">
        <v>5045755347</v>
      </c>
      <c r="C193" s="229">
        <v>45834</v>
      </c>
      <c r="D193" s="220">
        <v>1272439</v>
      </c>
      <c r="E193" s="229">
        <v>45839</v>
      </c>
      <c r="F193" s="214" t="s">
        <v>569</v>
      </c>
      <c r="G193" s="223">
        <v>45809</v>
      </c>
      <c r="H193" s="220">
        <v>36900</v>
      </c>
      <c r="I193" s="220">
        <v>20295</v>
      </c>
      <c r="J193" s="220">
        <v>3690</v>
      </c>
      <c r="K193" s="220"/>
      <c r="L193" s="220"/>
      <c r="M193" s="220"/>
      <c r="N193" s="220"/>
      <c r="O193" s="220"/>
      <c r="P193" s="222">
        <f t="shared" si="20"/>
        <v>60885</v>
      </c>
      <c r="Q193" s="220">
        <v>5000</v>
      </c>
      <c r="R193" s="220">
        <v>7242</v>
      </c>
      <c r="S193" s="220"/>
      <c r="T193" s="220"/>
      <c r="U193" s="220"/>
      <c r="V193" s="220"/>
      <c r="W193" s="220"/>
      <c r="X193" s="220">
        <v>2100</v>
      </c>
      <c r="Y193" s="220">
        <v>658</v>
      </c>
      <c r="Z193" s="220"/>
      <c r="AA193" s="218">
        <f t="shared" si="34"/>
        <v>15000</v>
      </c>
      <c r="AB193" s="217">
        <f t="shared" si="35"/>
        <v>45885</v>
      </c>
      <c r="AC193" s="220"/>
    </row>
    <row r="194" spans="1:29" x14ac:dyDescent="0.25">
      <c r="A194" s="227">
        <f t="shared" si="33"/>
        <v>192</v>
      </c>
      <c r="B194" s="220">
        <v>504886347</v>
      </c>
      <c r="C194" s="225">
        <v>45867</v>
      </c>
      <c r="D194" s="228">
        <v>1714317</v>
      </c>
      <c r="E194" s="225">
        <v>45870</v>
      </c>
      <c r="F194" s="214" t="s">
        <v>569</v>
      </c>
      <c r="G194" s="140">
        <v>45839</v>
      </c>
      <c r="H194" s="214">
        <v>38000</v>
      </c>
      <c r="I194" s="214">
        <v>20900</v>
      </c>
      <c r="J194" s="214">
        <v>3800</v>
      </c>
      <c r="K194" s="214"/>
      <c r="L194" s="214"/>
      <c r="M194" s="214"/>
      <c r="N194" s="214"/>
      <c r="O194" s="214"/>
      <c r="P194" s="221">
        <f t="shared" si="20"/>
        <v>62700</v>
      </c>
      <c r="Q194" s="214">
        <v>5000</v>
      </c>
      <c r="R194" s="214">
        <v>7242</v>
      </c>
      <c r="S194" s="214"/>
      <c r="T194" s="214"/>
      <c r="U194" s="214"/>
      <c r="V194" s="214"/>
      <c r="W194" s="214"/>
      <c r="X194" s="214">
        <v>2100</v>
      </c>
      <c r="Y194" s="214">
        <v>658</v>
      </c>
      <c r="Z194" s="214"/>
      <c r="AA194" s="218">
        <f t="shared" si="34"/>
        <v>15000</v>
      </c>
      <c r="AB194" s="217">
        <f t="shared" si="35"/>
        <v>47700</v>
      </c>
      <c r="AC194" s="214"/>
    </row>
    <row r="195" spans="1:29" ht="30" x14ac:dyDescent="0.25">
      <c r="A195" s="228">
        <f t="shared" si="33"/>
        <v>193</v>
      </c>
      <c r="B195" s="220">
        <v>505211967</v>
      </c>
      <c r="C195" s="229">
        <v>45896</v>
      </c>
      <c r="D195" s="228">
        <v>2098977</v>
      </c>
      <c r="E195" s="229">
        <v>45901</v>
      </c>
      <c r="F195" s="214" t="s">
        <v>569</v>
      </c>
      <c r="G195" s="223">
        <v>45870</v>
      </c>
      <c r="H195" s="220">
        <v>6129</v>
      </c>
      <c r="I195" s="220">
        <v>3371</v>
      </c>
      <c r="J195" s="220">
        <v>613</v>
      </c>
      <c r="K195" s="220"/>
      <c r="L195" s="220"/>
      <c r="M195" s="220"/>
      <c r="N195" s="220"/>
      <c r="O195" s="220"/>
      <c r="P195" s="222">
        <f t="shared" ref="P195:P196" si="36">SUM(H195:O195)</f>
        <v>10113</v>
      </c>
      <c r="Q195" s="220"/>
      <c r="R195" s="220"/>
      <c r="S195" s="220"/>
      <c r="T195" s="220"/>
      <c r="U195" s="220"/>
      <c r="V195" s="220"/>
      <c r="W195" s="220"/>
      <c r="X195" s="220"/>
      <c r="Y195" s="220"/>
      <c r="Z195" s="220"/>
      <c r="AA195" s="218">
        <f t="shared" si="34"/>
        <v>0</v>
      </c>
      <c r="AB195" s="217">
        <f t="shared" si="35"/>
        <v>10113</v>
      </c>
      <c r="AC195" s="220" t="s">
        <v>918</v>
      </c>
    </row>
    <row r="196" spans="1:29" ht="30" x14ac:dyDescent="0.25">
      <c r="A196" s="228">
        <f t="shared" si="33"/>
        <v>194</v>
      </c>
      <c r="B196" s="220">
        <v>505247296</v>
      </c>
      <c r="C196" s="229">
        <v>45901</v>
      </c>
      <c r="D196" s="228">
        <v>2127637</v>
      </c>
      <c r="E196" s="229">
        <v>45903</v>
      </c>
      <c r="F196" s="214" t="s">
        <v>569</v>
      </c>
      <c r="G196" s="223">
        <v>45870</v>
      </c>
      <c r="H196" s="220">
        <v>31871</v>
      </c>
      <c r="I196" s="220">
        <v>17529</v>
      </c>
      <c r="J196" s="220">
        <v>6374</v>
      </c>
      <c r="K196" s="220"/>
      <c r="L196" s="220"/>
      <c r="M196" s="220"/>
      <c r="N196" s="220"/>
      <c r="O196" s="220">
        <v>839</v>
      </c>
      <c r="P196" s="222">
        <f t="shared" si="36"/>
        <v>56613</v>
      </c>
      <c r="Q196" s="220">
        <v>5000</v>
      </c>
      <c r="R196" s="220">
        <v>7242</v>
      </c>
      <c r="S196" s="220"/>
      <c r="T196" s="220"/>
      <c r="U196" s="220"/>
      <c r="V196" s="220"/>
      <c r="W196" s="220"/>
      <c r="X196" s="220">
        <v>2100</v>
      </c>
      <c r="Y196" s="220">
        <v>658</v>
      </c>
      <c r="Z196" s="220"/>
      <c r="AA196" s="218">
        <f t="shared" si="34"/>
        <v>15000</v>
      </c>
      <c r="AB196" s="217">
        <f t="shared" si="35"/>
        <v>41613</v>
      </c>
      <c r="AC196" s="220" t="s">
        <v>917</v>
      </c>
    </row>
    <row r="197" spans="1:29" x14ac:dyDescent="0.25">
      <c r="A197" s="228">
        <f t="shared" ref="A197:A202" si="37">IFERROR(VALUE(A196),0)+1</f>
        <v>195</v>
      </c>
      <c r="B197" s="220">
        <v>505520412</v>
      </c>
      <c r="C197" s="229">
        <v>45926</v>
      </c>
      <c r="D197" s="228">
        <v>2401620</v>
      </c>
      <c r="E197" s="229">
        <v>45931</v>
      </c>
      <c r="F197" s="214" t="s">
        <v>569</v>
      </c>
      <c r="G197" s="223">
        <v>45901</v>
      </c>
      <c r="H197" s="220">
        <v>38000</v>
      </c>
      <c r="I197" s="220">
        <v>20900</v>
      </c>
      <c r="J197" s="220">
        <v>7600</v>
      </c>
      <c r="K197" s="220"/>
      <c r="L197" s="220"/>
      <c r="M197" s="220"/>
      <c r="N197" s="220"/>
      <c r="O197" s="220">
        <v>1000</v>
      </c>
      <c r="P197" s="222">
        <f t="shared" ref="P197:P202" si="38">SUM(H197:O197)</f>
        <v>67500</v>
      </c>
      <c r="Q197" s="220">
        <v>5000</v>
      </c>
      <c r="R197" s="220">
        <v>7242</v>
      </c>
      <c r="S197" s="220"/>
      <c r="T197" s="220"/>
      <c r="U197" s="220"/>
      <c r="V197" s="220"/>
      <c r="W197" s="220"/>
      <c r="X197" s="220">
        <v>2100</v>
      </c>
      <c r="Y197" s="220">
        <v>658</v>
      </c>
      <c r="Z197" s="220"/>
      <c r="AA197" s="218">
        <f t="shared" si="34"/>
        <v>15000</v>
      </c>
      <c r="AB197" s="217">
        <f t="shared" si="35"/>
        <v>52500</v>
      </c>
      <c r="AC197" s="220"/>
    </row>
    <row r="198" spans="1:29" x14ac:dyDescent="0.25">
      <c r="A198" s="228">
        <f t="shared" si="37"/>
        <v>196</v>
      </c>
      <c r="B198" s="220">
        <v>505819111</v>
      </c>
      <c r="C198" s="229">
        <v>45947</v>
      </c>
      <c r="D198" s="228">
        <v>2845269</v>
      </c>
      <c r="E198" s="229">
        <v>45947</v>
      </c>
      <c r="F198" s="214" t="s">
        <v>569</v>
      </c>
      <c r="G198" s="220" t="s">
        <v>629</v>
      </c>
      <c r="H198" s="220"/>
      <c r="I198" s="220"/>
      <c r="J198" s="220"/>
      <c r="K198" s="220"/>
      <c r="L198" s="220">
        <v>6774</v>
      </c>
      <c r="M198" s="220"/>
      <c r="N198" s="220"/>
      <c r="O198" s="220"/>
      <c r="P198" s="222">
        <f t="shared" si="38"/>
        <v>6774</v>
      </c>
      <c r="Q198" s="220"/>
      <c r="R198" s="220"/>
      <c r="S198" s="220"/>
      <c r="T198" s="220"/>
      <c r="U198" s="220"/>
      <c r="V198" s="220"/>
      <c r="W198" s="220"/>
      <c r="X198" s="220">
        <v>1694</v>
      </c>
      <c r="Y198" s="220"/>
      <c r="Z198" s="220"/>
      <c r="AA198" s="218">
        <f t="shared" si="34"/>
        <v>1694</v>
      </c>
      <c r="AB198" s="217">
        <f t="shared" si="35"/>
        <v>5080</v>
      </c>
      <c r="AC198" s="220"/>
    </row>
    <row r="199" spans="1:29" x14ac:dyDescent="0.25">
      <c r="A199" s="228">
        <f t="shared" si="37"/>
        <v>197</v>
      </c>
      <c r="B199" s="220">
        <v>506009820</v>
      </c>
      <c r="C199" s="229">
        <v>45957</v>
      </c>
      <c r="D199" s="228">
        <v>3111361</v>
      </c>
      <c r="E199" s="229">
        <v>45962</v>
      </c>
      <c r="F199" s="214" t="s">
        <v>569</v>
      </c>
      <c r="G199" s="223">
        <v>45931</v>
      </c>
      <c r="H199" s="220">
        <v>38000</v>
      </c>
      <c r="I199" s="220">
        <v>22040</v>
      </c>
      <c r="J199" s="220">
        <v>7600</v>
      </c>
      <c r="K199" s="220"/>
      <c r="L199" s="220"/>
      <c r="M199" s="220"/>
      <c r="N199" s="220"/>
      <c r="O199" s="220">
        <v>1000</v>
      </c>
      <c r="P199" s="222">
        <f t="shared" si="38"/>
        <v>68640</v>
      </c>
      <c r="Q199" s="220">
        <v>5000</v>
      </c>
      <c r="R199" s="220">
        <v>7242</v>
      </c>
      <c r="S199" s="220"/>
      <c r="T199" s="220"/>
      <c r="U199" s="220"/>
      <c r="V199" s="220"/>
      <c r="W199" s="220"/>
      <c r="X199" s="220">
        <v>2100</v>
      </c>
      <c r="Y199" s="220">
        <v>658</v>
      </c>
      <c r="Z199" s="220"/>
      <c r="AA199" s="218">
        <f t="shared" si="34"/>
        <v>15000</v>
      </c>
      <c r="AB199" s="217">
        <f t="shared" si="35"/>
        <v>53640</v>
      </c>
      <c r="AC199" s="220"/>
    </row>
    <row r="200" spans="1:29" x14ac:dyDescent="0.25">
      <c r="A200" s="227">
        <f t="shared" si="37"/>
        <v>198</v>
      </c>
      <c r="B200" s="220">
        <v>506428847</v>
      </c>
      <c r="C200" s="229">
        <v>45988</v>
      </c>
      <c r="D200" s="228">
        <v>3572197</v>
      </c>
      <c r="E200" s="229">
        <v>45992</v>
      </c>
      <c r="F200" s="214" t="s">
        <v>569</v>
      </c>
      <c r="G200" s="140">
        <v>45962</v>
      </c>
      <c r="H200" s="220">
        <v>38000</v>
      </c>
      <c r="I200" s="220">
        <v>22040</v>
      </c>
      <c r="J200" s="220">
        <v>7600</v>
      </c>
      <c r="K200" s="214"/>
      <c r="L200" s="214"/>
      <c r="M200" s="214"/>
      <c r="N200" s="214"/>
      <c r="O200" s="220">
        <v>1000</v>
      </c>
      <c r="P200" s="221">
        <f t="shared" si="38"/>
        <v>68640</v>
      </c>
      <c r="Q200" s="220">
        <v>5000</v>
      </c>
      <c r="R200" s="220">
        <v>7242</v>
      </c>
      <c r="S200" s="214"/>
      <c r="T200" s="214"/>
      <c r="U200" s="214"/>
      <c r="V200" s="214"/>
      <c r="W200" s="214"/>
      <c r="X200" s="220">
        <v>2100</v>
      </c>
      <c r="Y200" s="220">
        <v>658</v>
      </c>
      <c r="Z200" s="214"/>
      <c r="AA200" s="218">
        <f>SUM(Q200:Z200)</f>
        <v>15000</v>
      </c>
      <c r="AB200" s="217">
        <f>P200-AA200</f>
        <v>53640</v>
      </c>
      <c r="AC200" s="214"/>
    </row>
    <row r="201" spans="1:29" ht="30" x14ac:dyDescent="0.25">
      <c r="A201" s="228">
        <f t="shared" si="37"/>
        <v>199</v>
      </c>
      <c r="B201" s="220">
        <v>505837064</v>
      </c>
      <c r="C201" s="229">
        <v>45951</v>
      </c>
      <c r="D201" s="228">
        <v>3138059</v>
      </c>
      <c r="E201" s="229">
        <v>45964</v>
      </c>
      <c r="F201" s="214" t="s">
        <v>569</v>
      </c>
      <c r="G201" s="140" t="s">
        <v>928</v>
      </c>
      <c r="H201" s="220"/>
      <c r="I201" s="220">
        <v>3420</v>
      </c>
      <c r="J201" s="220"/>
      <c r="K201" s="220"/>
      <c r="L201" s="220"/>
      <c r="M201" s="220"/>
      <c r="N201" s="220"/>
      <c r="O201" s="220"/>
      <c r="P201" s="222">
        <f t="shared" si="38"/>
        <v>3420</v>
      </c>
      <c r="Q201" s="220"/>
      <c r="R201" s="220"/>
      <c r="S201" s="220"/>
      <c r="T201" s="220"/>
      <c r="U201" s="220"/>
      <c r="V201" s="220"/>
      <c r="W201" s="220"/>
      <c r="X201" s="220">
        <v>3420</v>
      </c>
      <c r="Y201" s="220"/>
      <c r="Z201" s="220"/>
      <c r="AA201" s="218">
        <f>SUM(Q201:Z201)</f>
        <v>3420</v>
      </c>
      <c r="AB201" s="217">
        <f>P201-AA201</f>
        <v>0</v>
      </c>
      <c r="AC201" s="220"/>
    </row>
    <row r="202" spans="1:29" x14ac:dyDescent="0.25">
      <c r="A202" s="227">
        <f t="shared" si="37"/>
        <v>200</v>
      </c>
      <c r="B202" s="220">
        <v>506767167</v>
      </c>
      <c r="C202" s="225">
        <v>46014</v>
      </c>
      <c r="D202" s="228">
        <v>3925524</v>
      </c>
      <c r="E202" s="225">
        <v>46023</v>
      </c>
      <c r="F202" s="214" t="s">
        <v>569</v>
      </c>
      <c r="G202" s="140">
        <v>45992</v>
      </c>
      <c r="H202" s="214">
        <v>38000</v>
      </c>
      <c r="I202" s="214">
        <v>22040</v>
      </c>
      <c r="J202" s="214">
        <v>7600</v>
      </c>
      <c r="K202" s="214"/>
      <c r="L202" s="214"/>
      <c r="M202" s="214"/>
      <c r="N202" s="214"/>
      <c r="O202" s="220">
        <v>1000</v>
      </c>
      <c r="P202" s="221">
        <f t="shared" si="38"/>
        <v>68640</v>
      </c>
      <c r="Q202" s="214">
        <v>5000</v>
      </c>
      <c r="R202" s="214">
        <v>7242</v>
      </c>
      <c r="S202" s="214"/>
      <c r="T202" s="214"/>
      <c r="U202" s="214"/>
      <c r="V202" s="214"/>
      <c r="W202" s="214"/>
      <c r="X202" s="214">
        <v>2100</v>
      </c>
      <c r="Y202" s="214">
        <v>658</v>
      </c>
      <c r="Z202" s="214"/>
      <c r="AA202" s="218">
        <f>SUM(Q202:Z202)</f>
        <v>15000</v>
      </c>
      <c r="AB202" s="217">
        <f>P202-AA202</f>
        <v>53640</v>
      </c>
      <c r="AC202" s="214"/>
    </row>
    <row r="203" spans="1:29" x14ac:dyDescent="0.25">
      <c r="A203" s="228">
        <f>IFERROR(VALUE(A202),0)+1</f>
        <v>201</v>
      </c>
      <c r="B203" s="220">
        <v>507234109</v>
      </c>
      <c r="C203" s="229">
        <v>46051</v>
      </c>
      <c r="D203" s="220">
        <v>4385715</v>
      </c>
      <c r="E203" s="229">
        <v>46055</v>
      </c>
      <c r="F203" s="214" t="s">
        <v>569</v>
      </c>
      <c r="G203" s="223">
        <v>46023</v>
      </c>
      <c r="H203" s="214">
        <v>38000</v>
      </c>
      <c r="I203" s="214">
        <v>22040</v>
      </c>
      <c r="J203" s="214">
        <v>7600</v>
      </c>
      <c r="K203" s="214"/>
      <c r="L203" s="214"/>
      <c r="M203" s="214"/>
      <c r="N203" s="214"/>
      <c r="O203" s="220">
        <v>1000</v>
      </c>
      <c r="P203" s="222">
        <f>SUM(H203:O203)</f>
        <v>68640</v>
      </c>
      <c r="Q203" s="214">
        <v>5000</v>
      </c>
      <c r="R203" s="214">
        <v>7242</v>
      </c>
      <c r="S203" s="214"/>
      <c r="T203" s="214"/>
      <c r="U203" s="214"/>
      <c r="V203" s="214"/>
      <c r="W203" s="214"/>
      <c r="X203" s="214">
        <v>2100</v>
      </c>
      <c r="Y203" s="214">
        <v>658</v>
      </c>
      <c r="Z203" s="220"/>
      <c r="AA203" s="218">
        <f>SUM(Q203:Z203)</f>
        <v>15000</v>
      </c>
      <c r="AB203" s="217">
        <f>P203-AA203</f>
        <v>53640</v>
      </c>
      <c r="AC203" s="220"/>
    </row>
    <row r="204" spans="1:29" x14ac:dyDescent="0.25">
      <c r="A204" s="228">
        <f>IFERROR(VALUE(A203),0)+1</f>
        <v>202</v>
      </c>
      <c r="B204" s="220">
        <v>507641976</v>
      </c>
      <c r="C204" s="229">
        <v>46079</v>
      </c>
      <c r="D204" s="220">
        <v>4840915</v>
      </c>
      <c r="E204" s="229">
        <v>46083</v>
      </c>
      <c r="F204" s="214" t="s">
        <v>569</v>
      </c>
      <c r="G204" s="223">
        <v>46054</v>
      </c>
      <c r="H204" s="214">
        <v>38000</v>
      </c>
      <c r="I204" s="214">
        <v>22040</v>
      </c>
      <c r="J204" s="214">
        <v>7600</v>
      </c>
      <c r="K204" s="214"/>
      <c r="L204" s="214"/>
      <c r="M204" s="214"/>
      <c r="N204" s="214"/>
      <c r="O204" s="220">
        <v>1000</v>
      </c>
      <c r="P204" s="222">
        <f>SUM(H204:O204)</f>
        <v>68640</v>
      </c>
      <c r="Q204" s="214">
        <v>5000</v>
      </c>
      <c r="R204" s="214">
        <v>7242</v>
      </c>
      <c r="S204" s="214"/>
      <c r="T204" s="214"/>
      <c r="U204" s="214"/>
      <c r="V204" s="214"/>
      <c r="W204" s="214"/>
      <c r="X204" s="214">
        <v>2100</v>
      </c>
      <c r="Y204" s="214">
        <v>658</v>
      </c>
      <c r="Z204" s="220"/>
      <c r="AA204" s="218">
        <f>SUM(Q204:Z204)</f>
        <v>15000</v>
      </c>
      <c r="AB204" s="217">
        <f>P204-AA204</f>
        <v>53640</v>
      </c>
      <c r="AC204" s="220"/>
    </row>
  </sheetData>
  <phoneticPr fontId="31" type="noConversion"/>
  <conditionalFormatting sqref="D1:D190 D192:D1048576">
    <cfRule type="duplicateValues" dxfId="39" priority="1"/>
  </conditionalFormatting>
  <conditionalFormatting sqref="D3:D183">
    <cfRule type="duplicateValues" dxfId="38" priority="463"/>
  </conditionalFormatting>
  <conditionalFormatting sqref="D137:D142">
    <cfRule type="duplicateValues" dxfId="37" priority="464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27598-3130-4778-9057-E53A7C25A9AF}">
  <dimension ref="A1:Z65"/>
  <sheetViews>
    <sheetView topLeftCell="J1" workbookViewId="0">
      <selection activeCell="W7" sqref="W7"/>
    </sheetView>
  </sheetViews>
  <sheetFormatPr defaultRowHeight="11.25" x14ac:dyDescent="0.25"/>
  <cols>
    <col min="1" max="1" width="8" style="277" bestFit="1" customWidth="1"/>
    <col min="2" max="2" width="20.85546875" style="277" bestFit="1" customWidth="1"/>
    <col min="3" max="3" width="7.28515625" style="277" bestFit="1" customWidth="1"/>
    <col min="4" max="4" width="10.42578125" style="277" bestFit="1" customWidth="1"/>
    <col min="5" max="5" width="9.42578125" style="277" bestFit="1" customWidth="1"/>
    <col min="6" max="6" width="19.140625" style="277" bestFit="1" customWidth="1"/>
    <col min="7" max="7" width="10.28515625" style="277" bestFit="1" customWidth="1"/>
    <col min="8" max="8" width="6.5703125" style="277" bestFit="1" customWidth="1"/>
    <col min="9" max="9" width="28.7109375" style="277" bestFit="1" customWidth="1"/>
    <col min="10" max="10" width="6.5703125" style="277" bestFit="1" customWidth="1"/>
    <col min="11" max="12" width="14" style="277" bestFit="1" customWidth="1"/>
    <col min="13" max="13" width="5.42578125" style="277" bestFit="1" customWidth="1"/>
    <col min="14" max="14" width="5.5703125" style="277" customWidth="1"/>
    <col min="15" max="15" width="14" style="277" bestFit="1" customWidth="1"/>
    <col min="16" max="16" width="5.7109375" style="277" bestFit="1" customWidth="1"/>
    <col min="17" max="17" width="11" style="277" bestFit="1" customWidth="1"/>
    <col min="18" max="18" width="16.5703125" style="277" bestFit="1" customWidth="1"/>
    <col min="19" max="19" width="12.7109375" style="277" bestFit="1" customWidth="1"/>
    <col min="20" max="20" width="7.28515625" style="277" customWidth="1"/>
    <col min="21" max="21" width="13" style="277" customWidth="1"/>
    <col min="22" max="22" width="17.85546875" style="277" customWidth="1"/>
    <col min="23" max="23" width="6.5703125" style="277" customWidth="1"/>
    <col min="24" max="24" width="4.7109375" style="277" bestFit="1" customWidth="1"/>
    <col min="25" max="25" width="1.7109375" style="277" customWidth="1"/>
    <col min="26" max="26" width="3.7109375" style="277" bestFit="1" customWidth="1"/>
    <col min="27" max="16384" width="9.140625" style="277"/>
  </cols>
  <sheetData>
    <row r="1" spans="1:26" ht="12.75" x14ac:dyDescent="0.2">
      <c r="B1" s="278" t="s">
        <v>628</v>
      </c>
      <c r="C1" s="134">
        <v>46110</v>
      </c>
      <c r="G1" s="279" t="s">
        <v>682</v>
      </c>
      <c r="H1" s="279">
        <f>SUM(Z5:Z16)</f>
        <v>2</v>
      </c>
    </row>
    <row r="3" spans="1:26" x14ac:dyDescent="0.25">
      <c r="L3" s="354" t="s">
        <v>690</v>
      </c>
      <c r="M3" s="354"/>
      <c r="O3" s="355" t="s">
        <v>691</v>
      </c>
      <c r="P3" s="355"/>
      <c r="V3" s="355" t="s">
        <v>695</v>
      </c>
      <c r="W3" s="355"/>
    </row>
    <row r="4" spans="1:26" s="283" customFormat="1" ht="99" x14ac:dyDescent="0.2">
      <c r="A4" s="280" t="s">
        <v>683</v>
      </c>
      <c r="B4" s="281" t="s">
        <v>665</v>
      </c>
      <c r="C4" s="281" t="s">
        <v>14</v>
      </c>
      <c r="D4" s="281" t="s">
        <v>652</v>
      </c>
      <c r="E4" s="281" t="s">
        <v>653</v>
      </c>
      <c r="F4" s="281" t="s">
        <v>658</v>
      </c>
      <c r="G4" s="281" t="s">
        <v>685</v>
      </c>
      <c r="H4" s="281" t="s">
        <v>666</v>
      </c>
      <c r="I4" s="282" t="s">
        <v>585</v>
      </c>
      <c r="J4" s="281" t="s">
        <v>929</v>
      </c>
      <c r="L4" s="284" t="s">
        <v>431</v>
      </c>
      <c r="M4" s="333" t="s">
        <v>667</v>
      </c>
      <c r="O4" s="284" t="s">
        <v>431</v>
      </c>
      <c r="P4" s="285" t="s">
        <v>688</v>
      </c>
      <c r="Q4" s="285" t="s">
        <v>689</v>
      </c>
      <c r="R4" s="231"/>
      <c r="S4" s="231"/>
      <c r="V4" s="353" t="s">
        <v>694</v>
      </c>
      <c r="W4" s="353"/>
      <c r="X4" s="283" t="s">
        <v>190</v>
      </c>
      <c r="Z4" s="283" t="s">
        <v>696</v>
      </c>
    </row>
    <row r="5" spans="1:26" x14ac:dyDescent="0.2">
      <c r="A5" s="286" t="s">
        <v>684</v>
      </c>
      <c r="B5" s="236" t="s">
        <v>687</v>
      </c>
      <c r="C5" s="236">
        <v>2015</v>
      </c>
      <c r="D5" s="287">
        <v>42271</v>
      </c>
      <c r="E5" s="287">
        <v>42369</v>
      </c>
      <c r="F5" s="236" t="s">
        <v>659</v>
      </c>
      <c r="G5" s="236">
        <v>8</v>
      </c>
      <c r="H5" s="236">
        <v>8</v>
      </c>
      <c r="I5" s="288"/>
      <c r="J5" s="289" t="s">
        <v>930</v>
      </c>
      <c r="L5" s="290" t="s">
        <v>25</v>
      </c>
      <c r="M5" s="291">
        <v>8</v>
      </c>
      <c r="O5" s="290" t="s">
        <v>684</v>
      </c>
      <c r="P5" s="291">
        <v>35</v>
      </c>
      <c r="Q5" s="291">
        <v>174</v>
      </c>
      <c r="R5" s="231"/>
      <c r="S5" s="231"/>
      <c r="V5" s="236" t="s">
        <v>684</v>
      </c>
      <c r="W5" s="236">
        <v>233</v>
      </c>
      <c r="X5" s="277">
        <f>GETPIVOTDATA("Sum of Leave",$O$4)-W5</f>
        <v>-59</v>
      </c>
      <c r="Z5" s="277">
        <f>IF(X5&lt;&gt;0,1,0)</f>
        <v>1</v>
      </c>
    </row>
    <row r="6" spans="1:26" x14ac:dyDescent="0.2">
      <c r="A6" s="286" t="s">
        <v>684</v>
      </c>
      <c r="B6" s="236" t="s">
        <v>687</v>
      </c>
      <c r="C6" s="236">
        <v>2016</v>
      </c>
      <c r="D6" s="287">
        <v>42370</v>
      </c>
      <c r="E6" s="287">
        <v>42551</v>
      </c>
      <c r="F6" s="236" t="s">
        <v>660</v>
      </c>
      <c r="G6" s="236">
        <v>15</v>
      </c>
      <c r="H6" s="236">
        <f>Table11[[#This Row],[Leave Earned / Cash Payment or Deductable PL2]]+H5</f>
        <v>23</v>
      </c>
      <c r="I6" s="288"/>
      <c r="J6" s="236" t="s">
        <v>930</v>
      </c>
      <c r="L6" s="290" t="s">
        <v>432</v>
      </c>
      <c r="M6" s="291">
        <v>8</v>
      </c>
      <c r="O6" s="292" t="s">
        <v>686</v>
      </c>
      <c r="P6" s="291">
        <v>8</v>
      </c>
      <c r="Q6" s="291">
        <v>-120</v>
      </c>
      <c r="R6" s="231"/>
      <c r="S6" s="231"/>
      <c r="V6" s="236" t="s">
        <v>692</v>
      </c>
      <c r="W6" s="236">
        <v>120</v>
      </c>
      <c r="X6" s="277">
        <f>GETPIVOTDATA("Sum of Leave",$O$15)-W6</f>
        <v>20</v>
      </c>
      <c r="Z6" s="277">
        <f>IF(X6&lt;&gt;0,1,0)</f>
        <v>1</v>
      </c>
    </row>
    <row r="7" spans="1:26" x14ac:dyDescent="0.2">
      <c r="A7" s="286" t="s">
        <v>684</v>
      </c>
      <c r="B7" s="236" t="s">
        <v>687</v>
      </c>
      <c r="C7" s="236">
        <v>2016</v>
      </c>
      <c r="D7" s="287">
        <v>42552</v>
      </c>
      <c r="E7" s="287">
        <v>42735</v>
      </c>
      <c r="F7" s="236" t="s">
        <v>660</v>
      </c>
      <c r="G7" s="236">
        <v>15</v>
      </c>
      <c r="H7" s="236">
        <f>Table11[[#This Row],[Leave Earned / Cash Payment or Deductable PL2]]+H6</f>
        <v>38</v>
      </c>
      <c r="I7" s="288"/>
      <c r="J7" s="236" t="s">
        <v>930</v>
      </c>
      <c r="O7" s="292" t="s">
        <v>687</v>
      </c>
      <c r="P7" s="291">
        <v>23</v>
      </c>
      <c r="Q7" s="291">
        <v>328</v>
      </c>
      <c r="R7" s="231"/>
      <c r="S7" s="231"/>
    </row>
    <row r="8" spans="1:26" x14ac:dyDescent="0.2">
      <c r="A8" s="286" t="s">
        <v>684</v>
      </c>
      <c r="B8" s="236" t="s">
        <v>687</v>
      </c>
      <c r="C8" s="236">
        <v>2016</v>
      </c>
      <c r="D8" s="236"/>
      <c r="E8" s="236"/>
      <c r="F8" s="236"/>
      <c r="G8" s="236">
        <v>10</v>
      </c>
      <c r="H8" s="236">
        <f>Table11[[#This Row],[Leave Earned / Cash Payment or Deductable PL2]]+H7</f>
        <v>48</v>
      </c>
      <c r="I8" s="288" t="s">
        <v>661</v>
      </c>
      <c r="J8" s="236" t="s">
        <v>930</v>
      </c>
      <c r="O8" s="292" t="s">
        <v>749</v>
      </c>
      <c r="P8" s="291">
        <v>4</v>
      </c>
      <c r="Q8" s="291">
        <v>-34</v>
      </c>
      <c r="R8" s="231"/>
      <c r="S8" s="231"/>
    </row>
    <row r="9" spans="1:26" x14ac:dyDescent="0.2">
      <c r="A9" s="286" t="s">
        <v>684</v>
      </c>
      <c r="B9" s="236" t="s">
        <v>687</v>
      </c>
      <c r="C9" s="236">
        <v>2017</v>
      </c>
      <c r="D9" s="287">
        <v>42736</v>
      </c>
      <c r="E9" s="287">
        <v>42916</v>
      </c>
      <c r="F9" s="236" t="s">
        <v>660</v>
      </c>
      <c r="G9" s="236">
        <v>15</v>
      </c>
      <c r="H9" s="236">
        <f>Table11[[#This Row],[Leave Earned / Cash Payment or Deductable PL2]]+H8</f>
        <v>63</v>
      </c>
      <c r="I9" s="288"/>
      <c r="J9" s="236" t="s">
        <v>930</v>
      </c>
      <c r="O9" s="290" t="s">
        <v>432</v>
      </c>
      <c r="P9" s="291">
        <v>35</v>
      </c>
      <c r="Q9" s="291">
        <v>174</v>
      </c>
      <c r="R9" s="231"/>
      <c r="S9" s="231"/>
    </row>
    <row r="10" spans="1:26" ht="37.5" customHeight="1" x14ac:dyDescent="0.2">
      <c r="A10" s="286" t="s">
        <v>684</v>
      </c>
      <c r="B10" s="236" t="s">
        <v>686</v>
      </c>
      <c r="C10" s="236">
        <v>2017</v>
      </c>
      <c r="D10" s="293">
        <v>42795</v>
      </c>
      <c r="E10" s="236"/>
      <c r="F10" s="236"/>
      <c r="G10" s="236">
        <v>-15</v>
      </c>
      <c r="H10" s="236">
        <f>Table11[[#This Row],[Leave Earned / Cash Payment or Deductable PL2]]+H9</f>
        <v>48</v>
      </c>
      <c r="I10" s="288"/>
      <c r="J10" s="236" t="s">
        <v>930</v>
      </c>
      <c r="O10" s="231"/>
      <c r="P10" s="231"/>
      <c r="Q10" s="231"/>
      <c r="V10" s="353" t="s">
        <v>697</v>
      </c>
      <c r="W10" s="353"/>
      <c r="X10" s="236">
        <f>GETPIVOTDATA("Name of month",$L$4,"Name of month","Surrender Leave")-GETPIVOTDATA("Leave Earned / Cash Payment or Deductable PL",$O$4,"Leave Type","PL","Leave Earned / Cash Payment or Deductable PL","Payment")</f>
        <v>0</v>
      </c>
      <c r="Z10" s="277">
        <f>IF(X10&lt;&gt;0,1,0)</f>
        <v>0</v>
      </c>
    </row>
    <row r="11" spans="1:26" ht="30" customHeight="1" x14ac:dyDescent="0.2">
      <c r="A11" s="286" t="s">
        <v>684</v>
      </c>
      <c r="B11" s="236" t="s">
        <v>687</v>
      </c>
      <c r="C11" s="236">
        <v>2017</v>
      </c>
      <c r="D11" s="287">
        <v>42917</v>
      </c>
      <c r="E11" s="287">
        <v>43100</v>
      </c>
      <c r="F11" s="236" t="s">
        <v>660</v>
      </c>
      <c r="G11" s="236">
        <v>15</v>
      </c>
      <c r="H11" s="236">
        <f>Table11[[#This Row],[Leave Earned / Cash Payment or Deductable PL2]]+H10</f>
        <v>63</v>
      </c>
      <c r="I11" s="288"/>
      <c r="J11" s="236" t="s">
        <v>930</v>
      </c>
      <c r="O11" s="231"/>
      <c r="P11" s="231"/>
      <c r="Q11" s="231"/>
      <c r="V11" s="353" t="s">
        <v>698</v>
      </c>
      <c r="W11" s="353"/>
      <c r="X11" s="236">
        <f>IFERROR(GETPIVOTDATA("Present Status",'[1]Summary (New)'!$O$3,"Present Status","PL")+GETPIVOTDATA("Leave Earned / Cash Payment or Deductable PL2",$R$4,"Leave Type","PL","Leave Earned / Cash Payment or Deductable PL","Dedutable"),0)</f>
        <v>0</v>
      </c>
      <c r="Z11" s="277">
        <f>IF(X11&lt;&gt;0,1,0)</f>
        <v>0</v>
      </c>
    </row>
    <row r="12" spans="1:26" x14ac:dyDescent="0.2">
      <c r="A12" s="286" t="s">
        <v>684</v>
      </c>
      <c r="B12" s="236" t="s">
        <v>749</v>
      </c>
      <c r="C12" s="236">
        <v>2017</v>
      </c>
      <c r="D12" s="287">
        <v>42955</v>
      </c>
      <c r="E12" s="287">
        <v>42956</v>
      </c>
      <c r="F12" s="236" t="s">
        <v>662</v>
      </c>
      <c r="G12" s="236">
        <v>-2</v>
      </c>
      <c r="H12" s="236">
        <f>Table11[[#This Row],[Leave Earned / Cash Payment or Deductable PL2]]+H11</f>
        <v>61</v>
      </c>
      <c r="I12" s="288" t="s">
        <v>747</v>
      </c>
      <c r="J12" s="236" t="s">
        <v>930</v>
      </c>
      <c r="O12" s="231"/>
      <c r="P12" s="231"/>
      <c r="Q12" s="231"/>
    </row>
    <row r="13" spans="1:26" x14ac:dyDescent="0.2">
      <c r="A13" s="286" t="s">
        <v>684</v>
      </c>
      <c r="B13" s="236" t="s">
        <v>687</v>
      </c>
      <c r="C13" s="236">
        <v>2018</v>
      </c>
      <c r="D13" s="287">
        <v>43101</v>
      </c>
      <c r="E13" s="287">
        <v>43281</v>
      </c>
      <c r="F13" s="236" t="s">
        <v>660</v>
      </c>
      <c r="G13" s="236">
        <v>15</v>
      </c>
      <c r="H13" s="236">
        <f>Table11[[#This Row],[Leave Earned / Cash Payment or Deductable PL2]]+H12</f>
        <v>76</v>
      </c>
      <c r="I13" s="288"/>
      <c r="J13" s="236" t="s">
        <v>930</v>
      </c>
      <c r="O13" s="231"/>
      <c r="P13" s="231"/>
      <c r="Q13" s="231"/>
    </row>
    <row r="14" spans="1:26" x14ac:dyDescent="0.2">
      <c r="A14" s="286" t="s">
        <v>684</v>
      </c>
      <c r="B14" s="236" t="s">
        <v>686</v>
      </c>
      <c r="C14" s="236">
        <v>2018</v>
      </c>
      <c r="D14" s="293">
        <v>43132</v>
      </c>
      <c r="E14" s="236"/>
      <c r="F14" s="236"/>
      <c r="G14" s="236">
        <v>-15</v>
      </c>
      <c r="H14" s="236">
        <f>Table11[[#This Row],[Leave Earned / Cash Payment or Deductable PL2]]+H13</f>
        <v>61</v>
      </c>
      <c r="I14" s="288"/>
      <c r="J14" s="236" t="s">
        <v>930</v>
      </c>
      <c r="O14" s="231"/>
      <c r="P14" s="231"/>
      <c r="Q14" s="231"/>
    </row>
    <row r="15" spans="1:26" x14ac:dyDescent="0.2">
      <c r="A15" s="286" t="s">
        <v>684</v>
      </c>
      <c r="B15" s="236" t="s">
        <v>687</v>
      </c>
      <c r="C15" s="236">
        <v>2018</v>
      </c>
      <c r="D15" s="287">
        <v>43282</v>
      </c>
      <c r="E15" s="287">
        <v>43465</v>
      </c>
      <c r="F15" s="236" t="s">
        <v>660</v>
      </c>
      <c r="G15" s="236">
        <v>15</v>
      </c>
      <c r="H15" s="236">
        <f>Table11[[#This Row],[Leave Earned / Cash Payment or Deductable PL2]]+H14</f>
        <v>76</v>
      </c>
      <c r="I15" s="288"/>
      <c r="J15" s="236" t="s">
        <v>930</v>
      </c>
      <c r="O15" s="294" t="s">
        <v>431</v>
      </c>
      <c r="P15" s="285" t="s">
        <v>688</v>
      </c>
      <c r="Q15" s="285" t="s">
        <v>689</v>
      </c>
      <c r="R15" s="231"/>
      <c r="S15" s="231"/>
      <c r="T15" s="231"/>
    </row>
    <row r="16" spans="1:26" x14ac:dyDescent="0.2">
      <c r="A16" s="286" t="s">
        <v>684</v>
      </c>
      <c r="B16" s="236" t="s">
        <v>749</v>
      </c>
      <c r="C16" s="236">
        <v>2018</v>
      </c>
      <c r="D16" s="287">
        <v>43368</v>
      </c>
      <c r="E16" s="287">
        <v>43378</v>
      </c>
      <c r="F16" s="236" t="s">
        <v>664</v>
      </c>
      <c r="G16" s="236">
        <v>-11</v>
      </c>
      <c r="H16" s="236">
        <f>Table11[[#This Row],[Leave Earned / Cash Payment or Deductable PL2]]+H15</f>
        <v>65</v>
      </c>
      <c r="I16" s="288" t="s">
        <v>663</v>
      </c>
      <c r="J16" s="236" t="s">
        <v>930</v>
      </c>
      <c r="O16" s="290" t="s">
        <v>692</v>
      </c>
      <c r="P16" s="291">
        <v>7</v>
      </c>
      <c r="Q16" s="291">
        <v>140</v>
      </c>
      <c r="R16" s="231"/>
      <c r="S16" s="231"/>
      <c r="T16" s="231"/>
    </row>
    <row r="17" spans="1:20" x14ac:dyDescent="0.2">
      <c r="A17" s="286" t="s">
        <v>684</v>
      </c>
      <c r="B17" s="236" t="s">
        <v>687</v>
      </c>
      <c r="C17" s="236">
        <v>2019</v>
      </c>
      <c r="D17" s="287">
        <v>43466</v>
      </c>
      <c r="E17" s="287">
        <v>43646</v>
      </c>
      <c r="F17" s="236" t="s">
        <v>660</v>
      </c>
      <c r="G17" s="236">
        <v>15</v>
      </c>
      <c r="H17" s="236">
        <f>Table11[[#This Row],[Leave Earned / Cash Payment or Deductable PL2]]+H16</f>
        <v>80</v>
      </c>
      <c r="I17" s="288"/>
      <c r="J17" s="236" t="s">
        <v>930</v>
      </c>
      <c r="O17" s="292" t="s">
        <v>687</v>
      </c>
      <c r="P17" s="291">
        <v>7</v>
      </c>
      <c r="Q17" s="291">
        <v>140</v>
      </c>
      <c r="R17" s="231"/>
      <c r="S17" s="231"/>
      <c r="T17" s="231"/>
    </row>
    <row r="18" spans="1:20" x14ac:dyDescent="0.2">
      <c r="A18" s="286" t="s">
        <v>684</v>
      </c>
      <c r="B18" s="236" t="s">
        <v>686</v>
      </c>
      <c r="C18" s="236">
        <v>2019</v>
      </c>
      <c r="D18" s="293">
        <v>43466</v>
      </c>
      <c r="E18" s="287"/>
      <c r="F18" s="236"/>
      <c r="G18" s="236">
        <v>-15</v>
      </c>
      <c r="H18" s="236">
        <f>Table11[[#This Row],[Leave Earned / Cash Payment or Deductable PL2]]+H17</f>
        <v>65</v>
      </c>
      <c r="I18" s="288"/>
      <c r="J18" s="236" t="s">
        <v>930</v>
      </c>
      <c r="O18" s="290" t="s">
        <v>432</v>
      </c>
      <c r="P18" s="291">
        <v>7</v>
      </c>
      <c r="Q18" s="291">
        <v>140</v>
      </c>
      <c r="R18" s="231"/>
      <c r="S18" s="231"/>
      <c r="T18" s="231"/>
    </row>
    <row r="19" spans="1:20" x14ac:dyDescent="0.2">
      <c r="A19" s="286" t="s">
        <v>684</v>
      </c>
      <c r="B19" s="236" t="s">
        <v>687</v>
      </c>
      <c r="C19" s="236">
        <v>2019</v>
      </c>
      <c r="D19" s="287">
        <v>43647</v>
      </c>
      <c r="E19" s="287">
        <v>43830</v>
      </c>
      <c r="F19" s="236" t="s">
        <v>660</v>
      </c>
      <c r="G19" s="236">
        <v>15</v>
      </c>
      <c r="H19" s="236">
        <f>Table11[[#This Row],[Leave Earned / Cash Payment or Deductable PL2]]+H18</f>
        <v>80</v>
      </c>
      <c r="I19" s="288"/>
      <c r="J19" s="236" t="s">
        <v>930</v>
      </c>
      <c r="O19" s="231"/>
      <c r="P19" s="231"/>
      <c r="Q19" s="231"/>
    </row>
    <row r="20" spans="1:20" x14ac:dyDescent="0.2">
      <c r="A20" s="286" t="s">
        <v>684</v>
      </c>
      <c r="B20" s="236" t="s">
        <v>687</v>
      </c>
      <c r="C20" s="236">
        <v>2020</v>
      </c>
      <c r="D20" s="287">
        <v>43831</v>
      </c>
      <c r="E20" s="287">
        <v>44012</v>
      </c>
      <c r="F20" s="236" t="s">
        <v>660</v>
      </c>
      <c r="G20" s="236">
        <v>15</v>
      </c>
      <c r="H20" s="236">
        <f>Table11[[#This Row],[Leave Earned / Cash Payment or Deductable PL2]]+H19</f>
        <v>95</v>
      </c>
      <c r="I20" s="288"/>
      <c r="J20" s="236" t="s">
        <v>930</v>
      </c>
      <c r="O20" s="231"/>
      <c r="P20" s="231"/>
      <c r="Q20" s="231"/>
    </row>
    <row r="21" spans="1:20" x14ac:dyDescent="0.2">
      <c r="A21" s="286" t="s">
        <v>684</v>
      </c>
      <c r="B21" s="236" t="s">
        <v>686</v>
      </c>
      <c r="C21" s="236">
        <v>2020</v>
      </c>
      <c r="D21" s="293">
        <v>43862</v>
      </c>
      <c r="E21" s="287"/>
      <c r="F21" s="236"/>
      <c r="G21" s="236">
        <v>-15</v>
      </c>
      <c r="H21" s="236">
        <f>Table11[[#This Row],[Leave Earned / Cash Payment or Deductable PL2]]+H20</f>
        <v>80</v>
      </c>
      <c r="I21" s="288"/>
      <c r="J21" s="236" t="s">
        <v>930</v>
      </c>
      <c r="O21" s="231"/>
      <c r="P21" s="231"/>
      <c r="Q21" s="231"/>
    </row>
    <row r="22" spans="1:20" x14ac:dyDescent="0.2">
      <c r="A22" s="286" t="s">
        <v>684</v>
      </c>
      <c r="B22" s="236" t="s">
        <v>687</v>
      </c>
      <c r="C22" s="236">
        <v>2020</v>
      </c>
      <c r="D22" s="287">
        <v>44013</v>
      </c>
      <c r="E22" s="287">
        <v>44196</v>
      </c>
      <c r="F22" s="236" t="s">
        <v>660</v>
      </c>
      <c r="G22" s="236">
        <v>15</v>
      </c>
      <c r="H22" s="236">
        <f>Table11[[#This Row],[Leave Earned / Cash Payment or Deductable PL2]]+H21</f>
        <v>95</v>
      </c>
      <c r="I22" s="288"/>
      <c r="J22" s="236" t="s">
        <v>930</v>
      </c>
      <c r="O22" s="231"/>
      <c r="P22" s="231"/>
      <c r="Q22" s="231"/>
    </row>
    <row r="23" spans="1:20" x14ac:dyDescent="0.2">
      <c r="A23" s="286" t="s">
        <v>684</v>
      </c>
      <c r="B23" s="236" t="s">
        <v>686</v>
      </c>
      <c r="C23" s="236">
        <v>2020</v>
      </c>
      <c r="D23" s="293">
        <v>44044</v>
      </c>
      <c r="E23" s="287"/>
      <c r="F23" s="236"/>
      <c r="G23" s="236">
        <v>-15</v>
      </c>
      <c r="H23" s="236">
        <f>Table11[[#This Row],[Leave Earned / Cash Payment or Deductable PL2]]+H22</f>
        <v>80</v>
      </c>
      <c r="I23" s="288"/>
      <c r="J23" s="236" t="s">
        <v>930</v>
      </c>
      <c r="O23" s="231"/>
      <c r="P23" s="231"/>
      <c r="Q23" s="231"/>
    </row>
    <row r="24" spans="1:20" x14ac:dyDescent="0.2">
      <c r="A24" s="286" t="s">
        <v>684</v>
      </c>
      <c r="B24" s="236" t="s">
        <v>687</v>
      </c>
      <c r="C24" s="236">
        <v>2021</v>
      </c>
      <c r="D24" s="287">
        <v>44197</v>
      </c>
      <c r="E24" s="287">
        <v>44377</v>
      </c>
      <c r="F24" s="236" t="s">
        <v>660</v>
      </c>
      <c r="G24" s="236">
        <v>15</v>
      </c>
      <c r="H24" s="236">
        <f>Table11[[#This Row],[Leave Earned / Cash Payment or Deductable PL2]]+H23</f>
        <v>95</v>
      </c>
      <c r="I24" s="288"/>
      <c r="J24" s="236" t="s">
        <v>930</v>
      </c>
      <c r="O24" s="231"/>
      <c r="P24" s="231"/>
      <c r="Q24" s="231"/>
    </row>
    <row r="25" spans="1:20" x14ac:dyDescent="0.2">
      <c r="A25" s="286" t="s">
        <v>684</v>
      </c>
      <c r="B25" s="236" t="s">
        <v>686</v>
      </c>
      <c r="C25" s="236">
        <v>2021</v>
      </c>
      <c r="D25" s="293">
        <v>44348</v>
      </c>
      <c r="E25" s="287"/>
      <c r="F25" s="236"/>
      <c r="G25" s="236">
        <v>-15</v>
      </c>
      <c r="H25" s="236">
        <f>Table11[[#This Row],[Leave Earned / Cash Payment or Deductable PL2]]+H24</f>
        <v>80</v>
      </c>
      <c r="I25" s="288"/>
      <c r="J25" s="236" t="s">
        <v>930</v>
      </c>
      <c r="O25" s="231"/>
      <c r="P25" s="231"/>
      <c r="Q25" s="231"/>
    </row>
    <row r="26" spans="1:20" x14ac:dyDescent="0.2">
      <c r="A26" s="286" t="s">
        <v>684</v>
      </c>
      <c r="B26" s="236" t="s">
        <v>687</v>
      </c>
      <c r="C26" s="236">
        <v>2021</v>
      </c>
      <c r="D26" s="287">
        <v>44378</v>
      </c>
      <c r="E26" s="287">
        <v>44561</v>
      </c>
      <c r="F26" s="236" t="s">
        <v>660</v>
      </c>
      <c r="G26" s="236">
        <v>15</v>
      </c>
      <c r="H26" s="236">
        <f>Table11[[#This Row],[Leave Earned / Cash Payment or Deductable PL2]]+H25</f>
        <v>95</v>
      </c>
      <c r="I26" s="288"/>
      <c r="J26" s="236" t="s">
        <v>930</v>
      </c>
      <c r="O26" s="231"/>
      <c r="P26" s="231"/>
      <c r="Q26" s="231"/>
    </row>
    <row r="27" spans="1:20" x14ac:dyDescent="0.2">
      <c r="A27" s="286" t="s">
        <v>684</v>
      </c>
      <c r="B27" s="236" t="s">
        <v>687</v>
      </c>
      <c r="C27" s="236">
        <v>2022</v>
      </c>
      <c r="D27" s="287">
        <v>44562</v>
      </c>
      <c r="E27" s="287">
        <v>44742</v>
      </c>
      <c r="F27" s="236" t="s">
        <v>660</v>
      </c>
      <c r="G27" s="236">
        <v>15</v>
      </c>
      <c r="H27" s="236">
        <f>Table11[[#This Row],[Leave Earned / Cash Payment or Deductable PL2]]+H26</f>
        <v>110</v>
      </c>
      <c r="I27" s="288"/>
      <c r="J27" s="236" t="s">
        <v>930</v>
      </c>
      <c r="O27" s="231"/>
      <c r="P27" s="231"/>
      <c r="Q27" s="231"/>
    </row>
    <row r="28" spans="1:20" x14ac:dyDescent="0.2">
      <c r="A28" s="286" t="s">
        <v>684</v>
      </c>
      <c r="B28" s="236" t="s">
        <v>686</v>
      </c>
      <c r="C28" s="236">
        <v>2022</v>
      </c>
      <c r="D28" s="293">
        <v>44682</v>
      </c>
      <c r="E28" s="287"/>
      <c r="F28" s="236"/>
      <c r="G28" s="236">
        <v>-15</v>
      </c>
      <c r="H28" s="236">
        <f>Table11[[#This Row],[Leave Earned / Cash Payment or Deductable PL2]]+H27</f>
        <v>95</v>
      </c>
      <c r="I28" s="288"/>
      <c r="J28" s="236" t="s">
        <v>930</v>
      </c>
      <c r="O28" s="231"/>
      <c r="P28" s="231"/>
      <c r="Q28" s="231"/>
    </row>
    <row r="29" spans="1:20" x14ac:dyDescent="0.2">
      <c r="A29" s="295" t="s">
        <v>684</v>
      </c>
      <c r="B29" s="296" t="s">
        <v>687</v>
      </c>
      <c r="C29" s="296">
        <v>2022</v>
      </c>
      <c r="D29" s="297">
        <v>44743</v>
      </c>
      <c r="E29" s="297">
        <v>44926</v>
      </c>
      <c r="F29" s="296" t="s">
        <v>660</v>
      </c>
      <c r="G29" s="296">
        <v>15</v>
      </c>
      <c r="H29" s="296">
        <f>Table11[[#This Row],[Leave Earned / Cash Payment or Deductable PL2]]+H28</f>
        <v>110</v>
      </c>
      <c r="I29" s="298"/>
      <c r="J29" s="236" t="s">
        <v>930</v>
      </c>
      <c r="O29" s="231"/>
      <c r="P29" s="231"/>
      <c r="Q29" s="231"/>
    </row>
    <row r="30" spans="1:20" x14ac:dyDescent="0.2">
      <c r="A30" s="295" t="s">
        <v>684</v>
      </c>
      <c r="B30" s="296" t="s">
        <v>687</v>
      </c>
      <c r="C30" s="296">
        <v>2023</v>
      </c>
      <c r="D30" s="299">
        <v>44927</v>
      </c>
      <c r="E30" s="297">
        <v>45107</v>
      </c>
      <c r="F30" s="296" t="s">
        <v>660</v>
      </c>
      <c r="G30" s="296">
        <v>15</v>
      </c>
      <c r="H30" s="296">
        <f>Table11[[#This Row],[Leave Earned / Cash Payment or Deductable PL2]]+H29</f>
        <v>125</v>
      </c>
      <c r="I30" s="298"/>
      <c r="J30" s="236" t="s">
        <v>930</v>
      </c>
      <c r="O30" s="231"/>
      <c r="P30" s="231"/>
      <c r="Q30" s="231"/>
    </row>
    <row r="31" spans="1:20" x14ac:dyDescent="0.2">
      <c r="A31" s="286" t="s">
        <v>684</v>
      </c>
      <c r="B31" s="236" t="s">
        <v>749</v>
      </c>
      <c r="C31" s="296">
        <v>2023</v>
      </c>
      <c r="D31" s="287">
        <v>45040</v>
      </c>
      <c r="E31" s="287">
        <v>45048</v>
      </c>
      <c r="F31" s="296" t="s">
        <v>745</v>
      </c>
      <c r="G31" s="296">
        <v>-9</v>
      </c>
      <c r="H31" s="296">
        <f>Table11[[#This Row],[Leave Earned / Cash Payment or Deductable PL2]]+H30</f>
        <v>116</v>
      </c>
      <c r="I31" s="288" t="s">
        <v>746</v>
      </c>
      <c r="J31" s="236" t="s">
        <v>930</v>
      </c>
      <c r="O31" s="231"/>
      <c r="P31" s="231"/>
      <c r="Q31" s="231"/>
    </row>
    <row r="32" spans="1:20" x14ac:dyDescent="0.2">
      <c r="A32" s="295" t="s">
        <v>684</v>
      </c>
      <c r="B32" s="296" t="s">
        <v>687</v>
      </c>
      <c r="C32" s="296">
        <v>2023</v>
      </c>
      <c r="D32" s="287">
        <v>45108</v>
      </c>
      <c r="E32" s="297">
        <v>45291</v>
      </c>
      <c r="F32" s="296" t="s">
        <v>660</v>
      </c>
      <c r="G32" s="296">
        <v>15</v>
      </c>
      <c r="H32" s="296">
        <f>Table11[[#This Row],[Leave Earned / Cash Payment or Deductable PL2]]+H31</f>
        <v>131</v>
      </c>
      <c r="I32" s="298"/>
      <c r="J32" s="236" t="s">
        <v>930</v>
      </c>
      <c r="O32" s="231"/>
      <c r="P32" s="231"/>
      <c r="Q32" s="231"/>
    </row>
    <row r="33" spans="1:10" x14ac:dyDescent="0.25">
      <c r="A33" s="295" t="s">
        <v>684</v>
      </c>
      <c r="B33" s="296" t="s">
        <v>687</v>
      </c>
      <c r="C33" s="296">
        <v>2024</v>
      </c>
      <c r="D33" s="287">
        <v>45292</v>
      </c>
      <c r="E33" s="287">
        <v>45473</v>
      </c>
      <c r="F33" s="296" t="s">
        <v>660</v>
      </c>
      <c r="G33" s="296">
        <v>15</v>
      </c>
      <c r="H33" s="296">
        <f>Table11[[#This Row],[Leave Earned / Cash Payment or Deductable PL2]]+H32</f>
        <v>146</v>
      </c>
      <c r="I33" s="298"/>
      <c r="J33" s="236" t="s">
        <v>930</v>
      </c>
    </row>
    <row r="34" spans="1:10" x14ac:dyDescent="0.25">
      <c r="A34" s="286" t="s">
        <v>684</v>
      </c>
      <c r="B34" s="296" t="s">
        <v>687</v>
      </c>
      <c r="C34" s="296">
        <v>2024</v>
      </c>
      <c r="D34" s="287">
        <v>45474</v>
      </c>
      <c r="E34" s="287">
        <v>45657</v>
      </c>
      <c r="F34" s="296" t="s">
        <v>660</v>
      </c>
      <c r="G34" s="296">
        <v>15</v>
      </c>
      <c r="H34" s="296">
        <f>Table11[[#This Row],[Leave Earned / Cash Payment or Deductable PL2]]+H33</f>
        <v>161</v>
      </c>
      <c r="I34" s="288"/>
      <c r="J34" s="236" t="s">
        <v>930</v>
      </c>
    </row>
    <row r="35" spans="1:10" x14ac:dyDescent="0.25">
      <c r="A35" s="286" t="s">
        <v>684</v>
      </c>
      <c r="B35" s="296" t="s">
        <v>687</v>
      </c>
      <c r="C35" s="236">
        <v>2025</v>
      </c>
      <c r="D35" s="287">
        <v>45658</v>
      </c>
      <c r="E35" s="287">
        <v>45838</v>
      </c>
      <c r="F35" s="296" t="s">
        <v>660</v>
      </c>
      <c r="G35" s="296">
        <v>15</v>
      </c>
      <c r="H35" s="296">
        <f>Table11[[#This Row],[Leave Earned / Cash Payment or Deductable PL2]]+H34</f>
        <v>176</v>
      </c>
      <c r="I35" s="288"/>
      <c r="J35" s="236" t="s">
        <v>930</v>
      </c>
    </row>
    <row r="36" spans="1:10" x14ac:dyDescent="0.25">
      <c r="A36" s="286" t="s">
        <v>684</v>
      </c>
      <c r="B36" s="236" t="s">
        <v>686</v>
      </c>
      <c r="C36" s="236">
        <v>2025</v>
      </c>
      <c r="D36" s="293">
        <v>45778</v>
      </c>
      <c r="E36" s="300"/>
      <c r="F36" s="236"/>
      <c r="G36" s="236">
        <v>-15</v>
      </c>
      <c r="H36" s="296">
        <f>Table11[[#This Row],[Leave Earned / Cash Payment or Deductable PL2]]+H35</f>
        <v>161</v>
      </c>
      <c r="I36" s="288"/>
      <c r="J36" s="236" t="s">
        <v>930</v>
      </c>
    </row>
    <row r="37" spans="1:10" x14ac:dyDescent="0.25">
      <c r="A37" s="286" t="s">
        <v>684</v>
      </c>
      <c r="B37" s="296" t="s">
        <v>687</v>
      </c>
      <c r="C37" s="236">
        <v>2025</v>
      </c>
      <c r="D37" s="287">
        <v>45839</v>
      </c>
      <c r="E37" s="287">
        <v>46022</v>
      </c>
      <c r="F37" s="296" t="s">
        <v>660</v>
      </c>
      <c r="G37" s="236">
        <v>15</v>
      </c>
      <c r="H37" s="296">
        <f>Table11[[#This Row],[Leave Earned / Cash Payment or Deductable PL2]]+H36</f>
        <v>176</v>
      </c>
      <c r="I37" s="288"/>
      <c r="J37" s="236" t="s">
        <v>930</v>
      </c>
    </row>
    <row r="38" spans="1:10" ht="33.75" x14ac:dyDescent="0.25">
      <c r="A38" s="286" t="s">
        <v>684</v>
      </c>
      <c r="B38" s="236" t="s">
        <v>687</v>
      </c>
      <c r="C38" s="236">
        <v>2025</v>
      </c>
      <c r="D38" s="300"/>
      <c r="E38" s="300"/>
      <c r="F38" s="236"/>
      <c r="G38" s="236">
        <v>10</v>
      </c>
      <c r="H38" s="296">
        <f>Table11[[#This Row],[Leave Earned / Cash Payment or Deductable PL2]]+H37</f>
        <v>186</v>
      </c>
      <c r="I38" s="288" t="s">
        <v>926</v>
      </c>
      <c r="J38" s="296" t="s">
        <v>744</v>
      </c>
    </row>
    <row r="39" spans="1:10" ht="33.75" x14ac:dyDescent="0.25">
      <c r="A39" s="286" t="s">
        <v>684</v>
      </c>
      <c r="B39" s="236" t="s">
        <v>749</v>
      </c>
      <c r="C39" s="236">
        <v>2025</v>
      </c>
      <c r="D39" s="300">
        <v>45985</v>
      </c>
      <c r="E39" s="300">
        <v>45996</v>
      </c>
      <c r="F39" s="236"/>
      <c r="G39" s="236">
        <v>-12</v>
      </c>
      <c r="H39" s="296">
        <f>Table11[[#This Row],[Leave Earned / Cash Payment or Deductable PL2]]+H38</f>
        <v>174</v>
      </c>
      <c r="I39" s="288" t="s">
        <v>931</v>
      </c>
      <c r="J39" s="296" t="s">
        <v>744</v>
      </c>
    </row>
    <row r="40" spans="1:10" x14ac:dyDescent="0.25">
      <c r="D40" s="301"/>
      <c r="E40" s="301"/>
    </row>
    <row r="41" spans="1:10" x14ac:dyDescent="0.25">
      <c r="D41" s="301"/>
      <c r="E41" s="301"/>
    </row>
    <row r="42" spans="1:10" x14ac:dyDescent="0.25">
      <c r="D42" s="301"/>
      <c r="E42" s="301"/>
    </row>
    <row r="43" spans="1:10" x14ac:dyDescent="0.25">
      <c r="D43" s="301"/>
      <c r="E43" s="301"/>
    </row>
    <row r="44" spans="1:10" x14ac:dyDescent="0.25">
      <c r="D44" s="301"/>
      <c r="E44" s="301"/>
    </row>
    <row r="45" spans="1:10" x14ac:dyDescent="0.25">
      <c r="D45" s="301"/>
      <c r="E45" s="301"/>
    </row>
    <row r="46" spans="1:10" x14ac:dyDescent="0.25">
      <c r="D46" s="301"/>
      <c r="E46" s="301"/>
    </row>
    <row r="47" spans="1:10" x14ac:dyDescent="0.25">
      <c r="D47" s="301"/>
      <c r="E47" s="301"/>
    </row>
    <row r="48" spans="1:10" x14ac:dyDescent="0.25">
      <c r="D48" s="301"/>
      <c r="E48" s="301"/>
    </row>
    <row r="49" spans="1:10" x14ac:dyDescent="0.25">
      <c r="D49" s="301"/>
      <c r="E49" s="301"/>
    </row>
    <row r="50" spans="1:10" x14ac:dyDescent="0.25">
      <c r="D50" s="301"/>
      <c r="E50" s="301"/>
    </row>
    <row r="51" spans="1:10" x14ac:dyDescent="0.25">
      <c r="D51" s="301"/>
      <c r="E51" s="301"/>
    </row>
    <row r="52" spans="1:10" x14ac:dyDescent="0.25">
      <c r="D52" s="301"/>
      <c r="E52" s="301"/>
    </row>
    <row r="53" spans="1:10" x14ac:dyDescent="0.25">
      <c r="D53" s="301"/>
      <c r="E53" s="301"/>
    </row>
    <row r="54" spans="1:10" ht="110.25" x14ac:dyDescent="0.25">
      <c r="A54" s="302" t="s">
        <v>683</v>
      </c>
      <c r="B54" s="302" t="s">
        <v>665</v>
      </c>
      <c r="C54" s="302" t="s">
        <v>14</v>
      </c>
      <c r="D54" s="302" t="s">
        <v>652</v>
      </c>
      <c r="E54" s="302" t="s">
        <v>653</v>
      </c>
      <c r="F54" s="302" t="s">
        <v>658</v>
      </c>
      <c r="G54" s="302" t="s">
        <v>685</v>
      </c>
      <c r="H54" s="302" t="s">
        <v>666</v>
      </c>
      <c r="I54" s="302" t="s">
        <v>585</v>
      </c>
      <c r="J54" s="302" t="s">
        <v>929</v>
      </c>
    </row>
    <row r="55" spans="1:10" x14ac:dyDescent="0.25">
      <c r="A55" s="303" t="s">
        <v>692</v>
      </c>
      <c r="B55" s="303" t="s">
        <v>687</v>
      </c>
      <c r="C55" s="303"/>
      <c r="D55" s="304">
        <v>42271</v>
      </c>
      <c r="E55" s="304">
        <v>42636</v>
      </c>
      <c r="F55" s="303" t="s">
        <v>693</v>
      </c>
      <c r="G55" s="303">
        <v>20</v>
      </c>
      <c r="H55" s="303">
        <v>20</v>
      </c>
      <c r="I55" s="303"/>
      <c r="J55" s="303" t="s">
        <v>930</v>
      </c>
    </row>
    <row r="56" spans="1:10" x14ac:dyDescent="0.25">
      <c r="A56" s="303" t="s">
        <v>692</v>
      </c>
      <c r="B56" s="303" t="s">
        <v>687</v>
      </c>
      <c r="C56" s="303"/>
      <c r="D56" s="304">
        <v>42637</v>
      </c>
      <c r="E56" s="304">
        <v>43001</v>
      </c>
      <c r="F56" s="303" t="s">
        <v>693</v>
      </c>
      <c r="G56" s="303">
        <v>20</v>
      </c>
      <c r="H56" s="303">
        <f>G56+H55</f>
        <v>40</v>
      </c>
      <c r="I56" s="303"/>
      <c r="J56" s="303" t="s">
        <v>930</v>
      </c>
    </row>
    <row r="57" spans="1:10" x14ac:dyDescent="0.25">
      <c r="A57" s="303" t="s">
        <v>692</v>
      </c>
      <c r="B57" s="303" t="s">
        <v>687</v>
      </c>
      <c r="C57" s="303"/>
      <c r="D57" s="304">
        <v>43002</v>
      </c>
      <c r="E57" s="304">
        <v>43366</v>
      </c>
      <c r="F57" s="303" t="s">
        <v>693</v>
      </c>
      <c r="G57" s="303">
        <v>20</v>
      </c>
      <c r="H57" s="303">
        <f t="shared" ref="H57:H61" si="0">G57+H56</f>
        <v>60</v>
      </c>
      <c r="I57" s="303"/>
      <c r="J57" s="303" t="s">
        <v>930</v>
      </c>
    </row>
    <row r="58" spans="1:10" x14ac:dyDescent="0.25">
      <c r="A58" s="303" t="s">
        <v>692</v>
      </c>
      <c r="B58" s="303" t="s">
        <v>687</v>
      </c>
      <c r="C58" s="303"/>
      <c r="D58" s="304">
        <v>43367</v>
      </c>
      <c r="E58" s="304">
        <v>43731</v>
      </c>
      <c r="F58" s="303" t="s">
        <v>693</v>
      </c>
      <c r="G58" s="303">
        <v>20</v>
      </c>
      <c r="H58" s="303">
        <f t="shared" si="0"/>
        <v>80</v>
      </c>
      <c r="I58" s="303"/>
      <c r="J58" s="303" t="s">
        <v>930</v>
      </c>
    </row>
    <row r="59" spans="1:10" x14ac:dyDescent="0.25">
      <c r="A59" s="303" t="s">
        <v>692</v>
      </c>
      <c r="B59" s="303" t="s">
        <v>687</v>
      </c>
      <c r="C59" s="303"/>
      <c r="D59" s="304">
        <v>43732</v>
      </c>
      <c r="E59" s="304">
        <v>44097</v>
      </c>
      <c r="F59" s="303" t="s">
        <v>693</v>
      </c>
      <c r="G59" s="303">
        <v>20</v>
      </c>
      <c r="H59" s="303">
        <f t="shared" si="0"/>
        <v>100</v>
      </c>
      <c r="I59" s="303"/>
      <c r="J59" s="303" t="s">
        <v>930</v>
      </c>
    </row>
    <row r="60" spans="1:10" x14ac:dyDescent="0.25">
      <c r="A60" s="303" t="s">
        <v>692</v>
      </c>
      <c r="B60" s="303" t="s">
        <v>687</v>
      </c>
      <c r="C60" s="303"/>
      <c r="D60" s="304">
        <v>44098</v>
      </c>
      <c r="E60" s="304">
        <v>44462</v>
      </c>
      <c r="F60" s="303" t="s">
        <v>693</v>
      </c>
      <c r="G60" s="303">
        <v>20</v>
      </c>
      <c r="H60" s="303">
        <f t="shared" si="0"/>
        <v>120</v>
      </c>
      <c r="I60" s="303"/>
      <c r="J60" s="303" t="s">
        <v>930</v>
      </c>
    </row>
    <row r="61" spans="1:10" x14ac:dyDescent="0.25">
      <c r="A61" s="303" t="s">
        <v>692</v>
      </c>
      <c r="B61" s="303" t="s">
        <v>687</v>
      </c>
      <c r="C61" s="303"/>
      <c r="D61" s="304">
        <v>44463</v>
      </c>
      <c r="E61" s="304">
        <v>44827</v>
      </c>
      <c r="F61" s="303" t="s">
        <v>693</v>
      </c>
      <c r="G61" s="303">
        <v>20</v>
      </c>
      <c r="H61" s="303">
        <f t="shared" si="0"/>
        <v>140</v>
      </c>
      <c r="I61" s="303"/>
      <c r="J61" s="303" t="s">
        <v>930</v>
      </c>
    </row>
    <row r="62" spans="1:10" x14ac:dyDescent="0.25">
      <c r="A62" s="303" t="s">
        <v>692</v>
      </c>
      <c r="B62" s="303" t="s">
        <v>687</v>
      </c>
      <c r="C62" s="303"/>
      <c r="D62" s="304">
        <v>44828</v>
      </c>
      <c r="E62" s="304">
        <v>45192</v>
      </c>
      <c r="F62" s="303" t="s">
        <v>693</v>
      </c>
      <c r="G62" s="303">
        <v>20</v>
      </c>
      <c r="H62" s="303">
        <f t="shared" ref="H62" si="1">G62+H61</f>
        <v>160</v>
      </c>
      <c r="I62" s="303"/>
      <c r="J62" s="303" t="s">
        <v>930</v>
      </c>
    </row>
    <row r="63" spans="1:10" x14ac:dyDescent="0.25">
      <c r="A63" s="303" t="s">
        <v>692</v>
      </c>
      <c r="B63" s="303" t="s">
        <v>687</v>
      </c>
      <c r="C63" s="303"/>
      <c r="D63" s="304">
        <v>45193</v>
      </c>
      <c r="E63" s="304">
        <v>45558</v>
      </c>
      <c r="F63" s="303" t="s">
        <v>693</v>
      </c>
      <c r="G63" s="303">
        <v>20</v>
      </c>
      <c r="H63" s="303">
        <f t="shared" ref="H63" si="2">G63+H62</f>
        <v>180</v>
      </c>
      <c r="I63" s="303"/>
      <c r="J63" s="303" t="s">
        <v>930</v>
      </c>
    </row>
    <row r="64" spans="1:10" x14ac:dyDescent="0.25">
      <c r="A64" s="303" t="s">
        <v>692</v>
      </c>
      <c r="B64" s="303" t="s">
        <v>687</v>
      </c>
      <c r="C64" s="303"/>
      <c r="D64" s="304">
        <v>45559</v>
      </c>
      <c r="E64" s="304">
        <v>45923</v>
      </c>
      <c r="F64" s="303" t="s">
        <v>693</v>
      </c>
      <c r="G64" s="303">
        <v>20</v>
      </c>
      <c r="H64" s="303">
        <f t="shared" ref="H64:H65" si="3">G64+H63</f>
        <v>200</v>
      </c>
      <c r="I64" s="303"/>
      <c r="J64" s="303"/>
    </row>
    <row r="65" spans="1:10" x14ac:dyDescent="0.25">
      <c r="A65" s="303" t="s">
        <v>692</v>
      </c>
      <c r="B65" s="303" t="s">
        <v>687</v>
      </c>
      <c r="C65" s="303"/>
      <c r="D65" s="304">
        <v>45924</v>
      </c>
      <c r="E65" s="304">
        <v>46288</v>
      </c>
      <c r="F65" s="303" t="s">
        <v>693</v>
      </c>
      <c r="G65" s="303">
        <v>20</v>
      </c>
      <c r="H65" s="303">
        <f t="shared" si="3"/>
        <v>220</v>
      </c>
      <c r="I65" s="303"/>
      <c r="J65" s="303"/>
    </row>
  </sheetData>
  <mergeCells count="6">
    <mergeCell ref="V11:W11"/>
    <mergeCell ref="V10:W10"/>
    <mergeCell ref="L3:M3"/>
    <mergeCell ref="O3:P3"/>
    <mergeCell ref="V3:W3"/>
    <mergeCell ref="V4:W4"/>
  </mergeCells>
  <conditionalFormatting sqref="G5:G39">
    <cfRule type="cellIs" dxfId="36" priority="1" operator="lessThan">
      <formula>0</formula>
    </cfRule>
  </conditionalFormatting>
  <pageMargins left="0.7" right="0.7" top="0.75" bottom="0.75" header="0.3" footer="0.3"/>
  <pageSetup orientation="portrait" r:id="rId4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83E11-4C18-420A-8567-E585832F159E}">
  <dimension ref="A1:AS237"/>
  <sheetViews>
    <sheetView topLeftCell="D1" zoomScaleNormal="100" workbookViewId="0">
      <pane ySplit="3" topLeftCell="A173" activePane="bottomLeft" state="frozen"/>
      <selection pane="bottomLeft" activeCell="R187" sqref="R187"/>
    </sheetView>
  </sheetViews>
  <sheetFormatPr defaultRowHeight="12" x14ac:dyDescent="0.25"/>
  <cols>
    <col min="1" max="1" width="5.7109375" style="151" bestFit="1" customWidth="1"/>
    <col min="2" max="2" width="10" style="151" bestFit="1" customWidth="1"/>
    <col min="3" max="3" width="12.28515625" style="151" bestFit="1" customWidth="1"/>
    <col min="4" max="4" width="7" style="151" bestFit="1" customWidth="1"/>
    <col min="5" max="5" width="12.28515625" style="151" bestFit="1" customWidth="1"/>
    <col min="6" max="6" width="4.28515625" style="151" bestFit="1" customWidth="1"/>
    <col min="7" max="7" width="9.5703125" style="151" bestFit="1" customWidth="1"/>
    <col min="8" max="8" width="6.85546875" style="151" bestFit="1" customWidth="1"/>
    <col min="9" max="9" width="9" style="151" bestFit="1" customWidth="1"/>
    <col min="10" max="10" width="7.5703125" style="151" bestFit="1" customWidth="1"/>
    <col min="11" max="11" width="10.5703125" style="151" customWidth="1"/>
    <col min="12" max="12" width="9.7109375" style="151" bestFit="1" customWidth="1"/>
    <col min="13" max="13" width="8.5703125" style="151" bestFit="1" customWidth="1"/>
    <col min="14" max="14" width="8" style="151" bestFit="1" customWidth="1"/>
    <col min="15" max="15" width="10" style="151" bestFit="1" customWidth="1"/>
    <col min="16" max="16" width="7.28515625" style="174" bestFit="1" customWidth="1"/>
    <col min="17" max="17" width="7.85546875" style="151" bestFit="1" customWidth="1"/>
    <col min="18" max="18" width="31" style="151" bestFit="1" customWidth="1"/>
    <col min="19" max="19" width="10.85546875" style="151" customWidth="1"/>
    <col min="20" max="22" width="9.28515625" style="151" bestFit="1" customWidth="1"/>
    <col min="23" max="27" width="9.140625" style="151"/>
    <col min="28" max="28" width="14" style="151" bestFit="1" customWidth="1"/>
    <col min="29" max="29" width="6" style="151" bestFit="1" customWidth="1"/>
    <col min="30" max="33" width="4.42578125" style="151" bestFit="1" customWidth="1"/>
    <col min="34" max="34" width="5.28515625" style="151" bestFit="1" customWidth="1"/>
    <col min="35" max="35" width="4.42578125" style="151" bestFit="1" customWidth="1"/>
    <col min="36" max="36" width="5.28515625" style="151" bestFit="1" customWidth="1"/>
    <col min="37" max="37" width="4.42578125" style="151" bestFit="1" customWidth="1"/>
    <col min="38" max="40" width="5.28515625" style="151" bestFit="1" customWidth="1"/>
    <col min="41" max="41" width="10.140625" style="151" bestFit="1" customWidth="1"/>
    <col min="42" max="42" width="14" style="151" bestFit="1" customWidth="1"/>
    <col min="43" max="43" width="7.42578125" style="151" hidden="1" customWidth="1"/>
    <col min="44" max="44" width="10.140625" style="151" bestFit="1" customWidth="1"/>
    <col min="45" max="45" width="12.5703125" style="151" bestFit="1" customWidth="1"/>
    <col min="46" max="16384" width="9.140625" style="151"/>
  </cols>
  <sheetData>
    <row r="1" spans="1:45" x14ac:dyDescent="0.25">
      <c r="A1" s="161">
        <f>COUNTA(A4:A1048576)</f>
        <v>49</v>
      </c>
      <c r="B1" s="161">
        <f>COUNTA(B4:B1048576)</f>
        <v>49</v>
      </c>
      <c r="C1" s="161">
        <f>COUNTA(C4:C1048576)</f>
        <v>49</v>
      </c>
      <c r="D1" s="161">
        <f>COUNTA(D4:D1048576)</f>
        <v>49</v>
      </c>
      <c r="E1" s="161">
        <f>COUNTA(E4:E1048576)</f>
        <v>49</v>
      </c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>
        <f>MAX(O:O)</f>
        <v>225562.72075499425</v>
      </c>
      <c r="Q1" s="161"/>
      <c r="R1" s="161">
        <f>COUNTA(R4:R1048576)</f>
        <v>107</v>
      </c>
      <c r="S1" s="150"/>
      <c r="T1" s="150"/>
      <c r="U1" s="150"/>
      <c r="V1" s="150"/>
    </row>
    <row r="2" spans="1:45" ht="18.75" customHeight="1" x14ac:dyDescent="0.2">
      <c r="A2" s="356" t="s">
        <v>582</v>
      </c>
      <c r="B2" s="356"/>
      <c r="C2" s="356"/>
      <c r="D2" s="356"/>
      <c r="E2" s="356"/>
      <c r="F2" s="356" t="s">
        <v>583</v>
      </c>
      <c r="G2" s="356"/>
      <c r="H2" s="356"/>
      <c r="I2" s="356"/>
      <c r="J2" s="356"/>
      <c r="K2" s="356"/>
      <c r="L2" s="356"/>
      <c r="M2" s="356"/>
      <c r="N2" s="356"/>
      <c r="O2" s="356" t="s">
        <v>584</v>
      </c>
      <c r="P2" s="356"/>
      <c r="Q2" s="356"/>
      <c r="R2" s="356"/>
      <c r="S2" s="150">
        <f>SUM(S4:S1048576)</f>
        <v>57</v>
      </c>
      <c r="T2" s="150"/>
      <c r="U2" s="209" t="s">
        <v>628</v>
      </c>
      <c r="V2" s="134">
        <v>46110</v>
      </c>
    </row>
    <row r="3" spans="1:45" ht="24" x14ac:dyDescent="0.25">
      <c r="A3" s="159" t="s">
        <v>0</v>
      </c>
      <c r="B3" s="159" t="s">
        <v>426</v>
      </c>
      <c r="C3" s="159" t="s">
        <v>427</v>
      </c>
      <c r="D3" s="159" t="s">
        <v>428</v>
      </c>
      <c r="E3" s="159" t="s">
        <v>429</v>
      </c>
      <c r="F3" s="159" t="s">
        <v>574</v>
      </c>
      <c r="G3" s="159" t="s">
        <v>430</v>
      </c>
      <c r="H3" s="159" t="s">
        <v>57</v>
      </c>
      <c r="I3" s="160" t="s">
        <v>575</v>
      </c>
      <c r="J3" s="160" t="s">
        <v>576</v>
      </c>
      <c r="K3" s="160" t="s">
        <v>577</v>
      </c>
      <c r="L3" s="160" t="s">
        <v>578</v>
      </c>
      <c r="M3" s="160" t="s">
        <v>579</v>
      </c>
      <c r="N3" s="159" t="s">
        <v>2</v>
      </c>
      <c r="O3" s="160" t="s">
        <v>580</v>
      </c>
      <c r="P3" s="160" t="s">
        <v>581</v>
      </c>
      <c r="Q3" s="159" t="s">
        <v>567</v>
      </c>
      <c r="R3" s="160" t="s">
        <v>585</v>
      </c>
      <c r="S3" s="160" t="s">
        <v>588</v>
      </c>
      <c r="T3" s="160" t="s">
        <v>734</v>
      </c>
      <c r="U3" s="150"/>
      <c r="V3" s="150"/>
    </row>
    <row r="4" spans="1:45" x14ac:dyDescent="0.25">
      <c r="A4" s="150"/>
      <c r="B4" s="150"/>
      <c r="C4" s="150"/>
      <c r="D4" s="150"/>
      <c r="E4" s="150"/>
      <c r="F4" s="161" t="s">
        <v>534</v>
      </c>
      <c r="G4" s="161" t="s">
        <v>566</v>
      </c>
      <c r="H4" s="161" t="str">
        <f>CONCATENATE(F4,"-",RIGHT(LEFT(G4,4),2))</f>
        <v>Apr-12</v>
      </c>
      <c r="I4" s="162"/>
      <c r="J4" s="163"/>
      <c r="K4" s="163"/>
      <c r="L4" s="163"/>
      <c r="M4" s="163"/>
      <c r="N4" s="163">
        <f>I4+J4+L4+M4-K4</f>
        <v>0</v>
      </c>
      <c r="O4" s="163">
        <f>N4</f>
        <v>0</v>
      </c>
      <c r="P4" s="164">
        <v>8.7999999999999995E-2</v>
      </c>
      <c r="Q4" s="163">
        <f>O4*P4/12</f>
        <v>0</v>
      </c>
      <c r="R4" s="150"/>
      <c r="S4" s="150">
        <f>IF(OR(R4="",R4="ok"),0,1)</f>
        <v>0</v>
      </c>
      <c r="T4" s="150"/>
      <c r="U4" s="150"/>
      <c r="V4" s="150"/>
      <c r="AB4" s="165" t="s">
        <v>433</v>
      </c>
      <c r="AC4" s="165" t="s">
        <v>65</v>
      </c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0"/>
      <c r="AO4" s="150"/>
      <c r="AP4" s="165" t="s">
        <v>586</v>
      </c>
      <c r="AQ4" s="165" t="s">
        <v>65</v>
      </c>
      <c r="AR4" s="150"/>
    </row>
    <row r="5" spans="1:45" x14ac:dyDescent="0.25">
      <c r="A5" s="150"/>
      <c r="B5" s="150"/>
      <c r="C5" s="150"/>
      <c r="D5" s="150"/>
      <c r="E5" s="150"/>
      <c r="F5" s="161" t="s">
        <v>520</v>
      </c>
      <c r="G5" s="161" t="str">
        <f t="shared" ref="G5:G14" si="0">G4</f>
        <v>2012-2013</v>
      </c>
      <c r="H5" s="161" t="str">
        <f t="shared" ref="H5:H12" si="1">CONCATENATE(F5,"-",RIGHT(LEFT(G5,4),2))</f>
        <v>May-12</v>
      </c>
      <c r="I5" s="162"/>
      <c r="J5" s="163"/>
      <c r="K5" s="163"/>
      <c r="L5" s="163"/>
      <c r="M5" s="163"/>
      <c r="N5" s="163">
        <f t="shared" ref="N5:N15" si="2">I5+J5+L5+M5-K5</f>
        <v>0</v>
      </c>
      <c r="O5" s="163">
        <f t="shared" ref="O5:O15" si="3">O4+N5</f>
        <v>0</v>
      </c>
      <c r="P5" s="164">
        <v>8.7999999999999995E-2</v>
      </c>
      <c r="Q5" s="163">
        <f t="shared" ref="Q5:Q15" si="4">O5*P5/12</f>
        <v>0</v>
      </c>
      <c r="R5" s="150"/>
      <c r="S5" s="150">
        <f t="shared" ref="S5:S68" si="5">IF(OR(R5="",R5="ok"),0,1)</f>
        <v>0</v>
      </c>
      <c r="T5" s="150"/>
      <c r="U5" s="150"/>
      <c r="V5" s="150"/>
      <c r="AB5" s="165" t="s">
        <v>431</v>
      </c>
      <c r="AC5" s="150" t="s">
        <v>528</v>
      </c>
      <c r="AD5" s="150" t="s">
        <v>529</v>
      </c>
      <c r="AE5" s="150" t="s">
        <v>533</v>
      </c>
      <c r="AF5" s="150" t="s">
        <v>534</v>
      </c>
      <c r="AG5" s="150" t="s">
        <v>520</v>
      </c>
      <c r="AH5" s="150" t="s">
        <v>535</v>
      </c>
      <c r="AI5" s="150" t="s">
        <v>536</v>
      </c>
      <c r="AJ5" s="150" t="s">
        <v>523</v>
      </c>
      <c r="AK5" s="150" t="s">
        <v>537</v>
      </c>
      <c r="AL5" s="150" t="s">
        <v>525</v>
      </c>
      <c r="AM5" s="150" t="s">
        <v>526</v>
      </c>
      <c r="AN5" s="150" t="s">
        <v>527</v>
      </c>
      <c r="AO5" s="150" t="s">
        <v>432</v>
      </c>
      <c r="AP5" s="165" t="s">
        <v>431</v>
      </c>
      <c r="AQ5" s="150" t="s">
        <v>500</v>
      </c>
      <c r="AR5" s="150" t="s">
        <v>432</v>
      </c>
      <c r="AS5" s="166" t="s">
        <v>587</v>
      </c>
    </row>
    <row r="6" spans="1:45" x14ac:dyDescent="0.25">
      <c r="A6" s="150"/>
      <c r="B6" s="150"/>
      <c r="C6" s="150"/>
      <c r="D6" s="150"/>
      <c r="E6" s="150"/>
      <c r="F6" s="161" t="s">
        <v>535</v>
      </c>
      <c r="G6" s="161" t="str">
        <f t="shared" si="0"/>
        <v>2012-2013</v>
      </c>
      <c r="H6" s="161" t="str">
        <f t="shared" si="1"/>
        <v>Jun-12</v>
      </c>
      <c r="I6" s="162"/>
      <c r="J6" s="163"/>
      <c r="K6" s="163"/>
      <c r="L6" s="163"/>
      <c r="M6" s="163"/>
      <c r="N6" s="163">
        <f t="shared" si="2"/>
        <v>0</v>
      </c>
      <c r="O6" s="163">
        <f t="shared" si="3"/>
        <v>0</v>
      </c>
      <c r="P6" s="164">
        <v>8.7999999999999995E-2</v>
      </c>
      <c r="Q6" s="163">
        <f t="shared" si="4"/>
        <v>0</v>
      </c>
      <c r="R6" s="150"/>
      <c r="S6" s="150">
        <f t="shared" si="5"/>
        <v>0</v>
      </c>
      <c r="T6" s="150"/>
      <c r="U6" s="150"/>
      <c r="V6" s="150"/>
      <c r="AB6" s="150" t="s">
        <v>566</v>
      </c>
      <c r="AC6" s="180">
        <v>0</v>
      </c>
      <c r="AD6" s="180">
        <v>0</v>
      </c>
      <c r="AE6" s="180">
        <v>0</v>
      </c>
      <c r="AF6" s="180">
        <v>0</v>
      </c>
      <c r="AG6" s="180">
        <v>0</v>
      </c>
      <c r="AH6" s="180">
        <v>0</v>
      </c>
      <c r="AI6" s="180">
        <v>0</v>
      </c>
      <c r="AJ6" s="180">
        <v>0</v>
      </c>
      <c r="AK6" s="180">
        <v>0</v>
      </c>
      <c r="AL6" s="180">
        <v>0</v>
      </c>
      <c r="AM6" s="180">
        <v>0</v>
      </c>
      <c r="AN6" s="180">
        <v>0</v>
      </c>
      <c r="AO6" s="180">
        <v>0</v>
      </c>
      <c r="AP6" s="150" t="s">
        <v>566</v>
      </c>
      <c r="AQ6" s="167">
        <v>0</v>
      </c>
      <c r="AR6" s="167">
        <v>0</v>
      </c>
      <c r="AS6" s="168">
        <f>AO6+AR6</f>
        <v>0</v>
      </c>
    </row>
    <row r="7" spans="1:45" x14ac:dyDescent="0.25">
      <c r="A7" s="150"/>
      <c r="B7" s="150"/>
      <c r="C7" s="150"/>
      <c r="D7" s="150"/>
      <c r="E7" s="150"/>
      <c r="F7" s="161" t="s">
        <v>536</v>
      </c>
      <c r="G7" s="161" t="str">
        <f t="shared" si="0"/>
        <v>2012-2013</v>
      </c>
      <c r="H7" s="161" t="str">
        <f t="shared" si="1"/>
        <v>Jul-12</v>
      </c>
      <c r="I7" s="162"/>
      <c r="J7" s="163"/>
      <c r="K7" s="163"/>
      <c r="L7" s="163"/>
      <c r="M7" s="163"/>
      <c r="N7" s="163">
        <f t="shared" si="2"/>
        <v>0</v>
      </c>
      <c r="O7" s="163">
        <f t="shared" si="3"/>
        <v>0</v>
      </c>
      <c r="P7" s="164">
        <v>8.7999999999999995E-2</v>
      </c>
      <c r="Q7" s="163">
        <f t="shared" si="4"/>
        <v>0</v>
      </c>
      <c r="R7" s="150"/>
      <c r="S7" s="150">
        <f t="shared" si="5"/>
        <v>0</v>
      </c>
      <c r="T7" s="150"/>
      <c r="U7" s="150"/>
      <c r="V7" s="150"/>
      <c r="AB7" s="150" t="s">
        <v>21</v>
      </c>
      <c r="AC7" s="180">
        <v>0</v>
      </c>
      <c r="AD7" s="180">
        <v>0</v>
      </c>
      <c r="AE7" s="180">
        <v>0</v>
      </c>
      <c r="AF7" s="180">
        <v>0</v>
      </c>
      <c r="AG7" s="180">
        <v>0</v>
      </c>
      <c r="AH7" s="180">
        <v>0</v>
      </c>
      <c r="AI7" s="180">
        <v>0</v>
      </c>
      <c r="AJ7" s="180">
        <v>0</v>
      </c>
      <c r="AK7" s="180">
        <v>0</v>
      </c>
      <c r="AL7" s="180">
        <v>0</v>
      </c>
      <c r="AM7" s="180">
        <v>0</v>
      </c>
      <c r="AN7" s="180">
        <v>0</v>
      </c>
      <c r="AO7" s="180">
        <v>0</v>
      </c>
      <c r="AP7" s="150" t="s">
        <v>21</v>
      </c>
      <c r="AQ7" s="167">
        <v>0</v>
      </c>
      <c r="AR7" s="167">
        <v>0</v>
      </c>
      <c r="AS7" s="168">
        <f t="shared" ref="AS7:AS19" si="6">AO7+AR7</f>
        <v>0</v>
      </c>
    </row>
    <row r="8" spans="1:45" x14ac:dyDescent="0.25">
      <c r="A8" s="150"/>
      <c r="B8" s="150"/>
      <c r="C8" s="150"/>
      <c r="D8" s="150"/>
      <c r="E8" s="150"/>
      <c r="F8" s="161" t="s">
        <v>523</v>
      </c>
      <c r="G8" s="161" t="str">
        <f t="shared" si="0"/>
        <v>2012-2013</v>
      </c>
      <c r="H8" s="161" t="str">
        <f t="shared" si="1"/>
        <v>Aug-12</v>
      </c>
      <c r="I8" s="162"/>
      <c r="J8" s="163"/>
      <c r="K8" s="163"/>
      <c r="L8" s="163"/>
      <c r="M8" s="163"/>
      <c r="N8" s="163">
        <f t="shared" si="2"/>
        <v>0</v>
      </c>
      <c r="O8" s="163">
        <f t="shared" si="3"/>
        <v>0</v>
      </c>
      <c r="P8" s="164">
        <v>8.7999999999999995E-2</v>
      </c>
      <c r="Q8" s="163">
        <f t="shared" si="4"/>
        <v>0</v>
      </c>
      <c r="R8" s="150"/>
      <c r="S8" s="150">
        <f t="shared" si="5"/>
        <v>0</v>
      </c>
      <c r="T8" s="150"/>
      <c r="U8" s="150"/>
      <c r="V8" s="150"/>
      <c r="AB8" s="150" t="s">
        <v>20</v>
      </c>
      <c r="AC8" s="180">
        <v>0</v>
      </c>
      <c r="AD8" s="180">
        <v>0</v>
      </c>
      <c r="AE8" s="180">
        <v>0</v>
      </c>
      <c r="AF8" s="180">
        <v>0</v>
      </c>
      <c r="AG8" s="180">
        <v>0</v>
      </c>
      <c r="AH8" s="180">
        <v>0</v>
      </c>
      <c r="AI8" s="180">
        <v>0</v>
      </c>
      <c r="AJ8" s="180">
        <v>0</v>
      </c>
      <c r="AK8" s="180">
        <v>0</v>
      </c>
      <c r="AL8" s="180">
        <v>0</v>
      </c>
      <c r="AM8" s="180">
        <v>0</v>
      </c>
      <c r="AN8" s="180">
        <v>0</v>
      </c>
      <c r="AO8" s="180">
        <v>0</v>
      </c>
      <c r="AP8" s="150" t="s">
        <v>20</v>
      </c>
      <c r="AQ8" s="167">
        <v>0</v>
      </c>
      <c r="AR8" s="167">
        <v>0</v>
      </c>
      <c r="AS8" s="168">
        <f t="shared" si="6"/>
        <v>0</v>
      </c>
    </row>
    <row r="9" spans="1:45" x14ac:dyDescent="0.25">
      <c r="A9" s="150"/>
      <c r="B9" s="150"/>
      <c r="C9" s="150"/>
      <c r="D9" s="150"/>
      <c r="E9" s="150"/>
      <c r="F9" s="161" t="s">
        <v>537</v>
      </c>
      <c r="G9" s="161" t="str">
        <f t="shared" si="0"/>
        <v>2012-2013</v>
      </c>
      <c r="H9" s="161" t="str">
        <f t="shared" si="1"/>
        <v>Sep-12</v>
      </c>
      <c r="I9" s="162"/>
      <c r="J9" s="163"/>
      <c r="K9" s="163"/>
      <c r="L9" s="163"/>
      <c r="M9" s="163"/>
      <c r="N9" s="163">
        <f t="shared" si="2"/>
        <v>0</v>
      </c>
      <c r="O9" s="163">
        <f t="shared" si="3"/>
        <v>0</v>
      </c>
      <c r="P9" s="164">
        <v>8.7999999999999995E-2</v>
      </c>
      <c r="Q9" s="163">
        <f t="shared" si="4"/>
        <v>0</v>
      </c>
      <c r="R9" s="150"/>
      <c r="S9" s="150">
        <f t="shared" si="5"/>
        <v>0</v>
      </c>
      <c r="T9" s="150"/>
      <c r="U9" s="150"/>
      <c r="V9" s="150"/>
      <c r="AB9" s="150" t="s">
        <v>22</v>
      </c>
      <c r="AC9" s="180">
        <v>0</v>
      </c>
      <c r="AD9" s="180">
        <v>0</v>
      </c>
      <c r="AE9" s="180">
        <v>0</v>
      </c>
      <c r="AF9" s="180">
        <v>0</v>
      </c>
      <c r="AG9" s="180">
        <v>0</v>
      </c>
      <c r="AH9" s="180">
        <v>0</v>
      </c>
      <c r="AI9" s="180">
        <v>0</v>
      </c>
      <c r="AJ9" s="180">
        <v>0</v>
      </c>
      <c r="AK9" s="180">
        <v>0</v>
      </c>
      <c r="AL9" s="180">
        <v>0</v>
      </c>
      <c r="AM9" s="180">
        <v>0</v>
      </c>
      <c r="AN9" s="180">
        <v>0</v>
      </c>
      <c r="AO9" s="180">
        <v>0</v>
      </c>
      <c r="AP9" s="150" t="s">
        <v>22</v>
      </c>
      <c r="AQ9" s="167">
        <v>0</v>
      </c>
      <c r="AR9" s="167">
        <v>0</v>
      </c>
      <c r="AS9" s="168">
        <f t="shared" si="6"/>
        <v>0</v>
      </c>
    </row>
    <row r="10" spans="1:45" x14ac:dyDescent="0.25">
      <c r="A10" s="150"/>
      <c r="B10" s="150"/>
      <c r="C10" s="150"/>
      <c r="D10" s="150"/>
      <c r="E10" s="150"/>
      <c r="F10" s="161" t="s">
        <v>525</v>
      </c>
      <c r="G10" s="161" t="str">
        <f t="shared" si="0"/>
        <v>2012-2013</v>
      </c>
      <c r="H10" s="161" t="str">
        <f t="shared" si="1"/>
        <v>Oct-12</v>
      </c>
      <c r="I10" s="162"/>
      <c r="J10" s="163"/>
      <c r="K10" s="163"/>
      <c r="L10" s="163"/>
      <c r="M10" s="163"/>
      <c r="N10" s="163">
        <f t="shared" si="2"/>
        <v>0</v>
      </c>
      <c r="O10" s="163">
        <f t="shared" si="3"/>
        <v>0</v>
      </c>
      <c r="P10" s="164">
        <v>8.7999999999999995E-2</v>
      </c>
      <c r="Q10" s="163">
        <f t="shared" si="4"/>
        <v>0</v>
      </c>
      <c r="R10" s="150"/>
      <c r="S10" s="150">
        <f t="shared" si="5"/>
        <v>0</v>
      </c>
      <c r="T10" s="150"/>
      <c r="U10" s="150"/>
      <c r="V10" s="150"/>
      <c r="AB10" s="150" t="s">
        <v>23</v>
      </c>
      <c r="AC10" s="180">
        <v>0</v>
      </c>
      <c r="AD10" s="180">
        <v>0</v>
      </c>
      <c r="AE10" s="180">
        <v>0</v>
      </c>
      <c r="AF10" s="180">
        <v>0</v>
      </c>
      <c r="AG10" s="180">
        <v>0</v>
      </c>
      <c r="AH10" s="180">
        <v>0</v>
      </c>
      <c r="AI10" s="180">
        <v>0</v>
      </c>
      <c r="AJ10" s="180">
        <v>0</v>
      </c>
      <c r="AK10" s="180">
        <v>0</v>
      </c>
      <c r="AL10" s="180">
        <v>0</v>
      </c>
      <c r="AM10" s="180">
        <v>0</v>
      </c>
      <c r="AN10" s="180">
        <v>0</v>
      </c>
      <c r="AO10" s="180">
        <v>0</v>
      </c>
      <c r="AP10" s="150" t="s">
        <v>23</v>
      </c>
      <c r="AQ10" s="167">
        <v>0</v>
      </c>
      <c r="AR10" s="167">
        <v>0</v>
      </c>
      <c r="AS10" s="168">
        <f t="shared" si="6"/>
        <v>0</v>
      </c>
    </row>
    <row r="11" spans="1:45" x14ac:dyDescent="0.25">
      <c r="A11" s="150"/>
      <c r="B11" s="150"/>
      <c r="C11" s="150"/>
      <c r="D11" s="150"/>
      <c r="E11" s="150"/>
      <c r="F11" s="161" t="s">
        <v>526</v>
      </c>
      <c r="G11" s="161" t="str">
        <f t="shared" si="0"/>
        <v>2012-2013</v>
      </c>
      <c r="H11" s="161" t="str">
        <f t="shared" si="1"/>
        <v>Nov-12</v>
      </c>
      <c r="I11" s="162"/>
      <c r="J11" s="163"/>
      <c r="K11" s="163"/>
      <c r="L11" s="163"/>
      <c r="M11" s="163"/>
      <c r="N11" s="163">
        <f t="shared" si="2"/>
        <v>0</v>
      </c>
      <c r="O11" s="163">
        <f t="shared" si="3"/>
        <v>0</v>
      </c>
      <c r="P11" s="164">
        <v>8.7999999999999995E-2</v>
      </c>
      <c r="Q11" s="163">
        <f t="shared" si="4"/>
        <v>0</v>
      </c>
      <c r="R11" s="150"/>
      <c r="S11" s="150">
        <f t="shared" si="5"/>
        <v>0</v>
      </c>
      <c r="T11" s="150"/>
      <c r="U11" s="150"/>
      <c r="V11" s="150"/>
      <c r="AB11" s="150" t="s">
        <v>24</v>
      </c>
      <c r="AC11" s="180">
        <v>0</v>
      </c>
      <c r="AD11" s="180">
        <v>0</v>
      </c>
      <c r="AE11" s="180">
        <v>0</v>
      </c>
      <c r="AF11" s="180">
        <v>0</v>
      </c>
      <c r="AG11" s="180">
        <v>0</v>
      </c>
      <c r="AH11" s="180">
        <v>0</v>
      </c>
      <c r="AI11" s="180">
        <v>0</v>
      </c>
      <c r="AJ11" s="180">
        <v>0</v>
      </c>
      <c r="AK11" s="180">
        <v>0</v>
      </c>
      <c r="AL11" s="180">
        <v>0</v>
      </c>
      <c r="AM11" s="180">
        <v>0</v>
      </c>
      <c r="AN11" s="180">
        <v>0</v>
      </c>
      <c r="AO11" s="180">
        <v>0</v>
      </c>
      <c r="AP11" s="150" t="s">
        <v>24</v>
      </c>
      <c r="AQ11" s="167">
        <v>0</v>
      </c>
      <c r="AR11" s="167">
        <v>0</v>
      </c>
      <c r="AS11" s="168">
        <f t="shared" si="6"/>
        <v>0</v>
      </c>
    </row>
    <row r="12" spans="1:45" x14ac:dyDescent="0.25">
      <c r="A12" s="150"/>
      <c r="B12" s="150"/>
      <c r="C12" s="150"/>
      <c r="D12" s="150"/>
      <c r="E12" s="150"/>
      <c r="F12" s="161" t="s">
        <v>527</v>
      </c>
      <c r="G12" s="161" t="str">
        <f t="shared" si="0"/>
        <v>2012-2013</v>
      </c>
      <c r="H12" s="161" t="str">
        <f t="shared" si="1"/>
        <v>Dec-12</v>
      </c>
      <c r="I12" s="162"/>
      <c r="J12" s="163"/>
      <c r="K12" s="163"/>
      <c r="L12" s="163"/>
      <c r="M12" s="163"/>
      <c r="N12" s="163">
        <f t="shared" si="2"/>
        <v>0</v>
      </c>
      <c r="O12" s="163">
        <f t="shared" si="3"/>
        <v>0</v>
      </c>
      <c r="P12" s="164">
        <v>8.7999999999999995E-2</v>
      </c>
      <c r="Q12" s="163">
        <f t="shared" si="4"/>
        <v>0</v>
      </c>
      <c r="R12" s="150"/>
      <c r="S12" s="150">
        <f t="shared" si="5"/>
        <v>0</v>
      </c>
      <c r="T12" s="150"/>
      <c r="U12" s="150"/>
      <c r="V12" s="150"/>
      <c r="AB12" s="150" t="s">
        <v>192</v>
      </c>
      <c r="AC12" s="180">
        <v>0</v>
      </c>
      <c r="AD12" s="180">
        <v>0</v>
      </c>
      <c r="AE12" s="180">
        <v>0</v>
      </c>
      <c r="AF12" s="180">
        <v>0</v>
      </c>
      <c r="AG12" s="180">
        <v>0</v>
      </c>
      <c r="AH12" s="180">
        <v>0</v>
      </c>
      <c r="AI12" s="180">
        <v>0</v>
      </c>
      <c r="AJ12" s="180">
        <v>0</v>
      </c>
      <c r="AK12" s="180">
        <v>0</v>
      </c>
      <c r="AL12" s="180">
        <v>0</v>
      </c>
      <c r="AM12" s="180">
        <v>0</v>
      </c>
      <c r="AN12" s="180">
        <v>0</v>
      </c>
      <c r="AO12" s="180">
        <v>0</v>
      </c>
      <c r="AP12" s="150" t="s">
        <v>192</v>
      </c>
      <c r="AQ12" s="167">
        <v>0</v>
      </c>
      <c r="AR12" s="167">
        <v>0</v>
      </c>
      <c r="AS12" s="168">
        <f t="shared" si="6"/>
        <v>0</v>
      </c>
    </row>
    <row r="13" spans="1:45" x14ac:dyDescent="0.25">
      <c r="A13" s="150"/>
      <c r="B13" s="150"/>
      <c r="C13" s="150"/>
      <c r="D13" s="150"/>
      <c r="E13" s="150"/>
      <c r="F13" s="161" t="s">
        <v>528</v>
      </c>
      <c r="G13" s="161" t="str">
        <f t="shared" si="0"/>
        <v>2012-2013</v>
      </c>
      <c r="H13" s="161" t="str">
        <f>CONCATENATE(F13,"-",RIGHT(RIGHT(G13,4),2))</f>
        <v>Jan-13</v>
      </c>
      <c r="I13" s="162"/>
      <c r="J13" s="163"/>
      <c r="K13" s="163"/>
      <c r="L13" s="163"/>
      <c r="M13" s="163"/>
      <c r="N13" s="163">
        <f t="shared" si="2"/>
        <v>0</v>
      </c>
      <c r="O13" s="163">
        <f t="shared" si="3"/>
        <v>0</v>
      </c>
      <c r="P13" s="164">
        <v>8.7999999999999995E-2</v>
      </c>
      <c r="Q13" s="163">
        <f t="shared" si="4"/>
        <v>0</v>
      </c>
      <c r="R13" s="150"/>
      <c r="S13" s="150">
        <f t="shared" si="5"/>
        <v>0</v>
      </c>
      <c r="T13" s="150"/>
      <c r="U13" s="150"/>
      <c r="V13" s="150"/>
      <c r="AB13" s="150" t="s">
        <v>246</v>
      </c>
      <c r="AC13" s="180">
        <v>0</v>
      </c>
      <c r="AD13" s="180">
        <v>0</v>
      </c>
      <c r="AE13" s="180">
        <v>0</v>
      </c>
      <c r="AF13" s="180">
        <v>0</v>
      </c>
      <c r="AG13" s="180">
        <v>0</v>
      </c>
      <c r="AH13" s="180">
        <v>0</v>
      </c>
      <c r="AI13" s="180">
        <v>0</v>
      </c>
      <c r="AJ13" s="180">
        <v>0</v>
      </c>
      <c r="AK13" s="180">
        <v>0</v>
      </c>
      <c r="AL13" s="180">
        <v>0</v>
      </c>
      <c r="AM13" s="180">
        <v>0</v>
      </c>
      <c r="AN13" s="180">
        <v>0</v>
      </c>
      <c r="AO13" s="180">
        <v>0</v>
      </c>
      <c r="AP13" s="150" t="s">
        <v>246</v>
      </c>
      <c r="AQ13" s="167">
        <v>0</v>
      </c>
      <c r="AR13" s="167">
        <v>0</v>
      </c>
      <c r="AS13" s="168">
        <f t="shared" si="6"/>
        <v>0</v>
      </c>
    </row>
    <row r="14" spans="1:45" x14ac:dyDescent="0.25">
      <c r="A14" s="150"/>
      <c r="B14" s="150"/>
      <c r="C14" s="150"/>
      <c r="D14" s="150"/>
      <c r="E14" s="150"/>
      <c r="F14" s="161" t="s">
        <v>529</v>
      </c>
      <c r="G14" s="161" t="str">
        <f t="shared" si="0"/>
        <v>2012-2013</v>
      </c>
      <c r="H14" s="161" t="str">
        <f>CONCATENATE(F14,"-",RIGHT(RIGHT(G14,4),2))</f>
        <v>Feb-13</v>
      </c>
      <c r="I14" s="162"/>
      <c r="J14" s="163"/>
      <c r="K14" s="163"/>
      <c r="L14" s="163"/>
      <c r="M14" s="163"/>
      <c r="N14" s="163">
        <f t="shared" si="2"/>
        <v>0</v>
      </c>
      <c r="O14" s="163">
        <f t="shared" si="3"/>
        <v>0</v>
      </c>
      <c r="P14" s="164">
        <v>8.7999999999999995E-2</v>
      </c>
      <c r="Q14" s="163">
        <f t="shared" si="4"/>
        <v>0</v>
      </c>
      <c r="R14" s="150"/>
      <c r="S14" s="150">
        <f t="shared" si="5"/>
        <v>0</v>
      </c>
      <c r="T14" s="150"/>
      <c r="U14" s="150"/>
      <c r="V14" s="150"/>
      <c r="AB14" s="150" t="s">
        <v>342</v>
      </c>
      <c r="AC14" s="180">
        <v>0</v>
      </c>
      <c r="AD14" s="180">
        <v>0</v>
      </c>
      <c r="AE14" s="180">
        <v>0</v>
      </c>
      <c r="AF14" s="180">
        <v>0</v>
      </c>
      <c r="AG14" s="180">
        <v>0</v>
      </c>
      <c r="AH14" s="180">
        <v>0</v>
      </c>
      <c r="AI14" s="180">
        <v>0</v>
      </c>
      <c r="AJ14" s="180">
        <v>0</v>
      </c>
      <c r="AK14" s="180">
        <v>0</v>
      </c>
      <c r="AL14" s="180">
        <v>0</v>
      </c>
      <c r="AM14" s="180">
        <v>5081</v>
      </c>
      <c r="AN14" s="180">
        <v>0</v>
      </c>
      <c r="AO14" s="180">
        <v>5081</v>
      </c>
      <c r="AP14" s="150" t="s">
        <v>342</v>
      </c>
      <c r="AQ14" s="167">
        <v>150.31291666666667</v>
      </c>
      <c r="AR14" s="167">
        <v>150.31291666666667</v>
      </c>
      <c r="AS14" s="168">
        <f t="shared" si="6"/>
        <v>5231.3129166666668</v>
      </c>
    </row>
    <row r="15" spans="1:45" x14ac:dyDescent="0.25">
      <c r="A15" s="150"/>
      <c r="B15" s="150"/>
      <c r="C15" s="150"/>
      <c r="D15" s="150"/>
      <c r="E15" s="150"/>
      <c r="F15" s="161" t="s">
        <v>533</v>
      </c>
      <c r="G15" s="161" t="str">
        <f>G14</f>
        <v>2012-2013</v>
      </c>
      <c r="H15" s="161" t="str">
        <f>CONCATENATE(F15,"-",RIGHT(RIGHT(G15,4),2))</f>
        <v>Mar-13</v>
      </c>
      <c r="I15" s="162"/>
      <c r="J15" s="163"/>
      <c r="K15" s="163"/>
      <c r="L15" s="163"/>
      <c r="M15" s="163"/>
      <c r="N15" s="163">
        <f t="shared" si="2"/>
        <v>0</v>
      </c>
      <c r="O15" s="163">
        <f t="shared" si="3"/>
        <v>0</v>
      </c>
      <c r="P15" s="164">
        <v>8.7999999999999995E-2</v>
      </c>
      <c r="Q15" s="163">
        <f t="shared" si="4"/>
        <v>0</v>
      </c>
      <c r="R15" s="150"/>
      <c r="S15" s="150">
        <f t="shared" si="5"/>
        <v>0</v>
      </c>
      <c r="T15" s="150"/>
      <c r="U15" s="150"/>
      <c r="V15" s="150"/>
      <c r="AB15" s="150" t="s">
        <v>416</v>
      </c>
      <c r="AC15" s="180">
        <v>0</v>
      </c>
      <c r="AD15" s="180">
        <v>0</v>
      </c>
      <c r="AE15" s="180">
        <v>0</v>
      </c>
      <c r="AF15" s="180">
        <v>0</v>
      </c>
      <c r="AG15" s="180">
        <v>0</v>
      </c>
      <c r="AH15" s="180">
        <v>0</v>
      </c>
      <c r="AI15" s="180">
        <v>0</v>
      </c>
      <c r="AJ15" s="180">
        <v>0</v>
      </c>
      <c r="AK15" s="180">
        <v>0</v>
      </c>
      <c r="AL15" s="180">
        <v>0</v>
      </c>
      <c r="AM15" s="180">
        <v>3387</v>
      </c>
      <c r="AN15" s="180">
        <v>2616</v>
      </c>
      <c r="AO15" s="180">
        <v>6003</v>
      </c>
      <c r="AP15" s="150" t="s">
        <v>416</v>
      </c>
      <c r="AQ15" s="167">
        <v>533.53396708333332</v>
      </c>
      <c r="AR15" s="167">
        <v>533.53396708333332</v>
      </c>
      <c r="AS15" s="168">
        <f t="shared" si="6"/>
        <v>6536.5339670833337</v>
      </c>
    </row>
    <row r="16" spans="1:45" x14ac:dyDescent="0.25">
      <c r="A16" s="175"/>
      <c r="B16" s="175"/>
      <c r="C16" s="175"/>
      <c r="D16" s="175"/>
      <c r="E16" s="175"/>
      <c r="F16" s="169"/>
      <c r="G16" s="169" t="str">
        <f>G15</f>
        <v>2012-2013</v>
      </c>
      <c r="H16" s="169"/>
      <c r="I16" s="170">
        <f>SUM(I4:I15)</f>
        <v>0</v>
      </c>
      <c r="J16" s="170">
        <f t="shared" ref="J16:M16" si="7">SUM(J4:J15)</f>
        <v>0</v>
      </c>
      <c r="K16" s="170">
        <f t="shared" si="7"/>
        <v>0</v>
      </c>
      <c r="L16" s="170">
        <f t="shared" si="7"/>
        <v>0</v>
      </c>
      <c r="M16" s="170">
        <f t="shared" si="7"/>
        <v>0</v>
      </c>
      <c r="N16" s="170">
        <f>SUM(N4:N15)</f>
        <v>0</v>
      </c>
      <c r="O16" s="170">
        <f>O15+Q16</f>
        <v>0</v>
      </c>
      <c r="P16" s="171"/>
      <c r="Q16" s="170">
        <f>SUM(Q4:Q15)</f>
        <v>0</v>
      </c>
      <c r="R16" s="169"/>
      <c r="S16" s="150">
        <f t="shared" si="5"/>
        <v>0</v>
      </c>
      <c r="T16" s="150"/>
      <c r="U16" s="150"/>
      <c r="V16" s="150"/>
      <c r="AB16" s="150" t="s">
        <v>516</v>
      </c>
      <c r="AC16" s="180">
        <v>2114</v>
      </c>
      <c r="AD16" s="180">
        <v>2100</v>
      </c>
      <c r="AE16" s="180">
        <v>2100</v>
      </c>
      <c r="AF16" s="180">
        <v>0</v>
      </c>
      <c r="AG16" s="180">
        <v>0</v>
      </c>
      <c r="AH16" s="180">
        <v>7107</v>
      </c>
      <c r="AI16" s="180">
        <v>2100</v>
      </c>
      <c r="AJ16" s="180">
        <v>2100</v>
      </c>
      <c r="AK16" s="180">
        <v>2100</v>
      </c>
      <c r="AL16" s="180">
        <v>3794</v>
      </c>
      <c r="AM16" s="180">
        <v>2100</v>
      </c>
      <c r="AN16" s="180">
        <v>6096</v>
      </c>
      <c r="AO16" s="180">
        <v>31711</v>
      </c>
      <c r="AP16" s="150" t="s">
        <v>516</v>
      </c>
      <c r="AQ16" s="167">
        <v>1970.0971287462494</v>
      </c>
      <c r="AR16" s="167">
        <v>1970.0971287462494</v>
      </c>
      <c r="AS16" s="168">
        <f t="shared" si="6"/>
        <v>33681.097128746253</v>
      </c>
    </row>
    <row r="17" spans="1:45" x14ac:dyDescent="0.25">
      <c r="A17" s="150"/>
      <c r="B17" s="150"/>
      <c r="C17" s="150"/>
      <c r="D17" s="150"/>
      <c r="E17" s="150"/>
      <c r="F17" s="161" t="s">
        <v>534</v>
      </c>
      <c r="G17" s="161" t="str">
        <f>CONCATENATE(RIGHT(G4,4),"-",RIGHT(G4,4)+1)</f>
        <v>2013-2014</v>
      </c>
      <c r="H17" s="161" t="str">
        <f>CONCATENATE(F17,"-",RIGHT(LEFT(G17,4),2))</f>
        <v>Apr-13</v>
      </c>
      <c r="I17" s="162"/>
      <c r="J17" s="163"/>
      <c r="K17" s="163"/>
      <c r="L17" s="163"/>
      <c r="M17" s="163"/>
      <c r="N17" s="163">
        <f>I17+J17+L17+M17-K17</f>
        <v>0</v>
      </c>
      <c r="O17" s="163">
        <f t="shared" ref="O17:O28" si="8">O16+N17</f>
        <v>0</v>
      </c>
      <c r="P17" s="164">
        <v>8.6999999999999994E-2</v>
      </c>
      <c r="Q17" s="163">
        <f>O17*P17/12</f>
        <v>0</v>
      </c>
      <c r="R17" s="150"/>
      <c r="S17" s="150">
        <f t="shared" si="5"/>
        <v>0</v>
      </c>
      <c r="T17" s="150"/>
      <c r="U17" s="150"/>
      <c r="V17" s="150"/>
      <c r="AB17" s="150" t="s">
        <v>654</v>
      </c>
      <c r="AC17" s="180">
        <v>7828</v>
      </c>
      <c r="AD17" s="180">
        <v>2100</v>
      </c>
      <c r="AE17" s="180">
        <v>2100</v>
      </c>
      <c r="AF17" s="180">
        <v>2100</v>
      </c>
      <c r="AG17" s="180">
        <v>2100</v>
      </c>
      <c r="AH17" s="180">
        <v>2100</v>
      </c>
      <c r="AI17" s="180">
        <v>2100</v>
      </c>
      <c r="AJ17" s="180">
        <v>6276</v>
      </c>
      <c r="AK17" s="180">
        <v>2100</v>
      </c>
      <c r="AL17" s="180">
        <v>2100</v>
      </c>
      <c r="AM17" s="180">
        <v>3794</v>
      </c>
      <c r="AN17" s="180">
        <v>2100</v>
      </c>
      <c r="AO17" s="180">
        <v>36798</v>
      </c>
      <c r="AP17" s="150" t="s">
        <v>654</v>
      </c>
      <c r="AQ17" s="167">
        <v>4545.4751915539</v>
      </c>
      <c r="AR17" s="167">
        <v>4545.4751915539</v>
      </c>
      <c r="AS17" s="168">
        <f t="shared" si="6"/>
        <v>41343.475191553902</v>
      </c>
    </row>
    <row r="18" spans="1:45" x14ac:dyDescent="0.25">
      <c r="A18" s="150"/>
      <c r="B18" s="150"/>
      <c r="C18" s="150"/>
      <c r="D18" s="150"/>
      <c r="E18" s="150"/>
      <c r="F18" s="161" t="s">
        <v>520</v>
      </c>
      <c r="G18" s="161" t="str">
        <f t="shared" ref="G18:G27" si="9">G17</f>
        <v>2013-2014</v>
      </c>
      <c r="H18" s="161" t="str">
        <f t="shared" ref="H18:H25" si="10">CONCATENATE(F18,"-",RIGHT(LEFT(G18,4),2))</f>
        <v>May-13</v>
      </c>
      <c r="I18" s="162"/>
      <c r="J18" s="163"/>
      <c r="K18" s="163"/>
      <c r="L18" s="163"/>
      <c r="M18" s="163"/>
      <c r="N18" s="163">
        <f t="shared" ref="N18:N28" si="11">I18+J18+L18+M18-K18</f>
        <v>0</v>
      </c>
      <c r="O18" s="163">
        <f t="shared" si="8"/>
        <v>0</v>
      </c>
      <c r="P18" s="164">
        <v>8.6999999999999994E-2</v>
      </c>
      <c r="Q18" s="163">
        <f t="shared" ref="Q18:Q28" si="12">O18*P18/12</f>
        <v>0</v>
      </c>
      <c r="R18" s="150"/>
      <c r="S18" s="150">
        <f t="shared" si="5"/>
        <v>0</v>
      </c>
      <c r="T18" s="150"/>
      <c r="U18" s="150"/>
      <c r="V18" s="150"/>
      <c r="AB18" s="150" t="s">
        <v>568</v>
      </c>
      <c r="AC18" s="180">
        <v>2100</v>
      </c>
      <c r="AD18" s="180">
        <v>2100</v>
      </c>
      <c r="AE18" s="180">
        <v>2100</v>
      </c>
      <c r="AF18" s="180">
        <v>2100</v>
      </c>
      <c r="AG18" s="180">
        <v>4964</v>
      </c>
      <c r="AH18" s="180">
        <v>2100</v>
      </c>
      <c r="AI18" s="180">
        <v>2100</v>
      </c>
      <c r="AJ18" s="180">
        <v>2100</v>
      </c>
      <c r="AK18" s="180">
        <v>2100</v>
      </c>
      <c r="AL18" s="180">
        <v>5894</v>
      </c>
      <c r="AM18" s="180">
        <v>4428</v>
      </c>
      <c r="AN18" s="180">
        <v>2100</v>
      </c>
      <c r="AO18" s="180">
        <v>34186</v>
      </c>
      <c r="AP18" s="150" t="s">
        <v>568</v>
      </c>
      <c r="AQ18" s="167">
        <v>7521.367430154226</v>
      </c>
      <c r="AR18" s="167">
        <v>7521.367430154226</v>
      </c>
      <c r="AS18" s="168">
        <f t="shared" si="6"/>
        <v>41707.367430154227</v>
      </c>
    </row>
    <row r="19" spans="1:45" x14ac:dyDescent="0.25">
      <c r="A19" s="150"/>
      <c r="B19" s="150"/>
      <c r="C19" s="150"/>
      <c r="D19" s="150"/>
      <c r="E19" s="150"/>
      <c r="F19" s="161" t="s">
        <v>535</v>
      </c>
      <c r="G19" s="161" t="str">
        <f t="shared" si="9"/>
        <v>2013-2014</v>
      </c>
      <c r="H19" s="161" t="str">
        <f t="shared" si="10"/>
        <v>Jun-13</v>
      </c>
      <c r="I19" s="162"/>
      <c r="J19" s="163"/>
      <c r="K19" s="163"/>
      <c r="L19" s="163"/>
      <c r="M19" s="163"/>
      <c r="N19" s="163">
        <f t="shared" si="11"/>
        <v>0</v>
      </c>
      <c r="O19" s="163">
        <f t="shared" si="8"/>
        <v>0</v>
      </c>
      <c r="P19" s="164">
        <v>8.6999999999999994E-2</v>
      </c>
      <c r="Q19" s="163">
        <f t="shared" si="12"/>
        <v>0</v>
      </c>
      <c r="R19" s="150"/>
      <c r="S19" s="150">
        <f t="shared" si="5"/>
        <v>0</v>
      </c>
      <c r="T19" s="150"/>
      <c r="U19" s="150"/>
      <c r="V19" s="150"/>
      <c r="AB19" s="150" t="s">
        <v>569</v>
      </c>
      <c r="AC19" s="180">
        <v>2100</v>
      </c>
      <c r="AD19" s="180">
        <v>2100</v>
      </c>
      <c r="AE19" s="180">
        <v>2100</v>
      </c>
      <c r="AF19" s="180">
        <v>4314</v>
      </c>
      <c r="AG19" s="180">
        <v>2100</v>
      </c>
      <c r="AH19" s="180">
        <v>2100</v>
      </c>
      <c r="AI19" s="180">
        <v>2100</v>
      </c>
      <c r="AJ19" s="180">
        <v>2100</v>
      </c>
      <c r="AK19" s="180">
        <v>2100</v>
      </c>
      <c r="AL19" s="180">
        <v>3794</v>
      </c>
      <c r="AM19" s="180">
        <v>5520</v>
      </c>
      <c r="AN19" s="180">
        <v>2100</v>
      </c>
      <c r="AO19" s="180">
        <v>32528</v>
      </c>
      <c r="AP19" s="150" t="s">
        <v>432</v>
      </c>
      <c r="AQ19" s="167">
        <v>14720.786634204374</v>
      </c>
      <c r="AR19" s="167">
        <v>14720.786634204374</v>
      </c>
      <c r="AS19" s="168">
        <f t="shared" si="6"/>
        <v>47248.786634204371</v>
      </c>
    </row>
    <row r="20" spans="1:45" ht="15" x14ac:dyDescent="0.25">
      <c r="A20" s="150"/>
      <c r="B20" s="150"/>
      <c r="C20" s="150"/>
      <c r="D20" s="150"/>
      <c r="E20" s="150"/>
      <c r="F20" s="161" t="s">
        <v>536</v>
      </c>
      <c r="G20" s="161" t="str">
        <f t="shared" si="9"/>
        <v>2013-2014</v>
      </c>
      <c r="H20" s="161" t="str">
        <f t="shared" si="10"/>
        <v>Jul-13</v>
      </c>
      <c r="I20" s="162"/>
      <c r="J20" s="163"/>
      <c r="K20" s="163"/>
      <c r="L20" s="163"/>
      <c r="M20" s="163"/>
      <c r="N20" s="163">
        <f t="shared" si="11"/>
        <v>0</v>
      </c>
      <c r="O20" s="163">
        <f t="shared" si="8"/>
        <v>0</v>
      </c>
      <c r="P20" s="164">
        <v>8.6999999999999994E-2</v>
      </c>
      <c r="Q20" s="163">
        <f t="shared" si="12"/>
        <v>0</v>
      </c>
      <c r="R20" s="150"/>
      <c r="S20" s="150">
        <f t="shared" si="5"/>
        <v>0</v>
      </c>
      <c r="T20" s="150"/>
      <c r="U20" s="150"/>
      <c r="V20" s="150"/>
      <c r="AB20" s="150" t="s">
        <v>570</v>
      </c>
      <c r="AC20" s="180">
        <v>0</v>
      </c>
      <c r="AD20" s="180">
        <v>0</v>
      </c>
      <c r="AE20" s="180">
        <v>0</v>
      </c>
      <c r="AF20" s="180">
        <v>0</v>
      </c>
      <c r="AG20" s="180">
        <v>0</v>
      </c>
      <c r="AH20" s="180">
        <v>0</v>
      </c>
      <c r="AI20" s="180">
        <v>0</v>
      </c>
      <c r="AJ20" s="180">
        <v>0</v>
      </c>
      <c r="AK20" s="180">
        <v>0</v>
      </c>
      <c r="AL20" s="180">
        <v>0</v>
      </c>
      <c r="AM20" s="180">
        <v>0</v>
      </c>
      <c r="AN20" s="180">
        <v>0</v>
      </c>
      <c r="AO20" s="180">
        <v>0</v>
      </c>
      <c r="AP20"/>
      <c r="AQ20"/>
      <c r="AR20"/>
    </row>
    <row r="21" spans="1:45" x14ac:dyDescent="0.25">
      <c r="A21" s="150"/>
      <c r="B21" s="150"/>
      <c r="C21" s="150"/>
      <c r="D21" s="150"/>
      <c r="E21" s="150"/>
      <c r="F21" s="161" t="s">
        <v>523</v>
      </c>
      <c r="G21" s="161" t="str">
        <f t="shared" si="9"/>
        <v>2013-2014</v>
      </c>
      <c r="H21" s="161" t="str">
        <f t="shared" si="10"/>
        <v>Aug-13</v>
      </c>
      <c r="I21" s="162"/>
      <c r="J21" s="163"/>
      <c r="K21" s="163"/>
      <c r="L21" s="163"/>
      <c r="M21" s="163"/>
      <c r="N21" s="163">
        <f t="shared" si="11"/>
        <v>0</v>
      </c>
      <c r="O21" s="163">
        <f t="shared" si="8"/>
        <v>0</v>
      </c>
      <c r="P21" s="164">
        <v>8.6999999999999994E-2</v>
      </c>
      <c r="Q21" s="163">
        <f t="shared" si="12"/>
        <v>0</v>
      </c>
      <c r="R21" s="150"/>
      <c r="S21" s="150">
        <f t="shared" si="5"/>
        <v>0</v>
      </c>
      <c r="T21" s="150"/>
      <c r="U21" s="150"/>
      <c r="V21" s="150"/>
      <c r="AB21" s="150" t="s">
        <v>571</v>
      </c>
      <c r="AC21" s="180">
        <v>0</v>
      </c>
      <c r="AD21" s="180">
        <v>0</v>
      </c>
      <c r="AE21" s="180">
        <v>0</v>
      </c>
      <c r="AF21" s="180">
        <v>0</v>
      </c>
      <c r="AG21" s="180">
        <v>0</v>
      </c>
      <c r="AH21" s="180">
        <v>0</v>
      </c>
      <c r="AI21" s="180">
        <v>0</v>
      </c>
      <c r="AJ21" s="180">
        <v>0</v>
      </c>
      <c r="AK21" s="180">
        <v>0</v>
      </c>
      <c r="AL21" s="180">
        <v>0</v>
      </c>
      <c r="AM21" s="180">
        <v>0</v>
      </c>
      <c r="AN21" s="180">
        <v>0</v>
      </c>
      <c r="AO21" s="180">
        <v>0</v>
      </c>
    </row>
    <row r="22" spans="1:45" x14ac:dyDescent="0.25">
      <c r="A22" s="150"/>
      <c r="B22" s="150"/>
      <c r="C22" s="150"/>
      <c r="D22" s="150"/>
      <c r="E22" s="150"/>
      <c r="F22" s="161" t="s">
        <v>537</v>
      </c>
      <c r="G22" s="161" t="str">
        <f t="shared" si="9"/>
        <v>2013-2014</v>
      </c>
      <c r="H22" s="161" t="str">
        <f t="shared" si="10"/>
        <v>Sep-13</v>
      </c>
      <c r="I22" s="162"/>
      <c r="J22" s="163"/>
      <c r="K22" s="163"/>
      <c r="L22" s="163"/>
      <c r="M22" s="163"/>
      <c r="N22" s="163">
        <f t="shared" si="11"/>
        <v>0</v>
      </c>
      <c r="O22" s="163">
        <f t="shared" si="8"/>
        <v>0</v>
      </c>
      <c r="P22" s="164">
        <v>8.6999999999999994E-2</v>
      </c>
      <c r="Q22" s="163">
        <f t="shared" si="12"/>
        <v>0</v>
      </c>
      <c r="R22" s="150"/>
      <c r="S22" s="150">
        <f t="shared" si="5"/>
        <v>0</v>
      </c>
      <c r="T22" s="150"/>
      <c r="U22" s="150"/>
      <c r="V22" s="150"/>
      <c r="AB22" s="150" t="s">
        <v>572</v>
      </c>
      <c r="AC22" s="180">
        <v>0</v>
      </c>
      <c r="AD22" s="180">
        <v>0</v>
      </c>
      <c r="AE22" s="180">
        <v>0</v>
      </c>
      <c r="AF22" s="180">
        <v>0</v>
      </c>
      <c r="AG22" s="180">
        <v>0</v>
      </c>
      <c r="AH22" s="180">
        <v>0</v>
      </c>
      <c r="AI22" s="180">
        <v>0</v>
      </c>
      <c r="AJ22" s="180">
        <v>0</v>
      </c>
      <c r="AK22" s="180">
        <v>0</v>
      </c>
      <c r="AL22" s="180">
        <v>0</v>
      </c>
      <c r="AM22" s="180">
        <v>0</v>
      </c>
      <c r="AN22" s="180">
        <v>0</v>
      </c>
      <c r="AO22" s="180">
        <v>0</v>
      </c>
    </row>
    <row r="23" spans="1:45" x14ac:dyDescent="0.25">
      <c r="A23" s="150"/>
      <c r="B23" s="150"/>
      <c r="C23" s="150"/>
      <c r="D23" s="150"/>
      <c r="E23" s="150"/>
      <c r="F23" s="161" t="s">
        <v>525</v>
      </c>
      <c r="G23" s="161" t="str">
        <f t="shared" si="9"/>
        <v>2013-2014</v>
      </c>
      <c r="H23" s="161" t="str">
        <f t="shared" si="10"/>
        <v>Oct-13</v>
      </c>
      <c r="I23" s="162"/>
      <c r="J23" s="163"/>
      <c r="K23" s="163"/>
      <c r="L23" s="163"/>
      <c r="M23" s="163"/>
      <c r="N23" s="163">
        <f t="shared" si="11"/>
        <v>0</v>
      </c>
      <c r="O23" s="163">
        <f t="shared" si="8"/>
        <v>0</v>
      </c>
      <c r="P23" s="164">
        <v>8.6999999999999994E-2</v>
      </c>
      <c r="Q23" s="163">
        <f t="shared" si="12"/>
        <v>0</v>
      </c>
      <c r="R23" s="150"/>
      <c r="S23" s="150">
        <f t="shared" si="5"/>
        <v>0</v>
      </c>
      <c r="T23" s="150"/>
      <c r="U23" s="150"/>
      <c r="V23" s="150"/>
      <c r="AB23" s="150" t="s">
        <v>573</v>
      </c>
      <c r="AC23" s="180">
        <v>0</v>
      </c>
      <c r="AD23" s="180">
        <v>0</v>
      </c>
      <c r="AE23" s="180">
        <v>0</v>
      </c>
      <c r="AF23" s="180">
        <v>0</v>
      </c>
      <c r="AG23" s="180">
        <v>0</v>
      </c>
      <c r="AH23" s="180">
        <v>0</v>
      </c>
      <c r="AI23" s="180">
        <v>0</v>
      </c>
      <c r="AJ23" s="180">
        <v>0</v>
      </c>
      <c r="AK23" s="180">
        <v>0</v>
      </c>
      <c r="AL23" s="180">
        <v>0</v>
      </c>
      <c r="AM23" s="180">
        <v>0</v>
      </c>
      <c r="AN23" s="180">
        <v>0</v>
      </c>
      <c r="AO23" s="180">
        <v>0</v>
      </c>
    </row>
    <row r="24" spans="1:45" x14ac:dyDescent="0.25">
      <c r="A24" s="150"/>
      <c r="B24" s="150"/>
      <c r="C24" s="150"/>
      <c r="D24" s="150"/>
      <c r="E24" s="150"/>
      <c r="F24" s="161" t="s">
        <v>526</v>
      </c>
      <c r="G24" s="161" t="str">
        <f t="shared" si="9"/>
        <v>2013-2014</v>
      </c>
      <c r="H24" s="161" t="str">
        <f t="shared" si="10"/>
        <v>Nov-13</v>
      </c>
      <c r="I24" s="162"/>
      <c r="J24" s="163"/>
      <c r="K24" s="163"/>
      <c r="L24" s="163"/>
      <c r="M24" s="163"/>
      <c r="N24" s="163">
        <f t="shared" si="11"/>
        <v>0</v>
      </c>
      <c r="O24" s="163">
        <f t="shared" si="8"/>
        <v>0</v>
      </c>
      <c r="P24" s="164">
        <v>8.6999999999999994E-2</v>
      </c>
      <c r="Q24" s="163">
        <f t="shared" si="12"/>
        <v>0</v>
      </c>
      <c r="R24" s="150"/>
      <c r="S24" s="150">
        <f t="shared" si="5"/>
        <v>0</v>
      </c>
      <c r="T24" s="150"/>
      <c r="U24" s="150"/>
      <c r="V24" s="150"/>
      <c r="AB24" s="150" t="s">
        <v>432</v>
      </c>
      <c r="AC24" s="180">
        <v>14142</v>
      </c>
      <c r="AD24" s="180">
        <v>8400</v>
      </c>
      <c r="AE24" s="180">
        <v>8400</v>
      </c>
      <c r="AF24" s="180">
        <v>8514</v>
      </c>
      <c r="AG24" s="180">
        <v>9164</v>
      </c>
      <c r="AH24" s="180">
        <v>13407</v>
      </c>
      <c r="AI24" s="180">
        <v>8400</v>
      </c>
      <c r="AJ24" s="180">
        <v>12576</v>
      </c>
      <c r="AK24" s="180">
        <v>8400</v>
      </c>
      <c r="AL24" s="180">
        <v>15582</v>
      </c>
      <c r="AM24" s="180">
        <v>24310</v>
      </c>
      <c r="AN24" s="180">
        <v>15012</v>
      </c>
      <c r="AO24" s="180">
        <v>146307</v>
      </c>
    </row>
    <row r="25" spans="1:45" x14ac:dyDescent="0.25">
      <c r="A25" s="150"/>
      <c r="B25" s="150"/>
      <c r="C25" s="150"/>
      <c r="D25" s="150"/>
      <c r="E25" s="150"/>
      <c r="F25" s="161" t="s">
        <v>527</v>
      </c>
      <c r="G25" s="161" t="str">
        <f t="shared" si="9"/>
        <v>2013-2014</v>
      </c>
      <c r="H25" s="161" t="str">
        <f t="shared" si="10"/>
        <v>Dec-13</v>
      </c>
      <c r="I25" s="162"/>
      <c r="J25" s="163"/>
      <c r="K25" s="163"/>
      <c r="L25" s="163"/>
      <c r="M25" s="163"/>
      <c r="N25" s="163">
        <f t="shared" si="11"/>
        <v>0</v>
      </c>
      <c r="O25" s="163">
        <f t="shared" si="8"/>
        <v>0</v>
      </c>
      <c r="P25" s="164">
        <v>8.6999999999999994E-2</v>
      </c>
      <c r="Q25" s="163">
        <f t="shared" si="12"/>
        <v>0</v>
      </c>
      <c r="R25" s="150"/>
      <c r="S25" s="150">
        <f t="shared" si="5"/>
        <v>0</v>
      </c>
      <c r="T25" s="150"/>
      <c r="U25" s="150"/>
      <c r="V25" s="150"/>
    </row>
    <row r="26" spans="1:45" x14ac:dyDescent="0.25">
      <c r="A26" s="150"/>
      <c r="B26" s="150"/>
      <c r="C26" s="150"/>
      <c r="D26" s="150"/>
      <c r="E26" s="150"/>
      <c r="F26" s="161" t="s">
        <v>528</v>
      </c>
      <c r="G26" s="161" t="str">
        <f t="shared" si="9"/>
        <v>2013-2014</v>
      </c>
      <c r="H26" s="161" t="str">
        <f>CONCATENATE(F26,"-",RIGHT(RIGHT(G26,4),2))</f>
        <v>Jan-14</v>
      </c>
      <c r="I26" s="162"/>
      <c r="J26" s="163"/>
      <c r="K26" s="163"/>
      <c r="L26" s="163"/>
      <c r="M26" s="163"/>
      <c r="N26" s="163">
        <f t="shared" si="11"/>
        <v>0</v>
      </c>
      <c r="O26" s="163">
        <f t="shared" si="8"/>
        <v>0</v>
      </c>
      <c r="P26" s="164">
        <v>8.6999999999999994E-2</v>
      </c>
      <c r="Q26" s="163">
        <f t="shared" si="12"/>
        <v>0</v>
      </c>
      <c r="R26" s="150"/>
      <c r="S26" s="150">
        <f t="shared" si="5"/>
        <v>0</v>
      </c>
      <c r="T26" s="150"/>
      <c r="U26" s="150"/>
      <c r="V26" s="150"/>
    </row>
    <row r="27" spans="1:45" x14ac:dyDescent="0.25">
      <c r="A27" s="150"/>
      <c r="B27" s="150"/>
      <c r="C27" s="150"/>
      <c r="D27" s="150"/>
      <c r="E27" s="150"/>
      <c r="F27" s="161" t="s">
        <v>529</v>
      </c>
      <c r="G27" s="161" t="str">
        <f t="shared" si="9"/>
        <v>2013-2014</v>
      </c>
      <c r="H27" s="161" t="str">
        <f>CONCATENATE(F27,"-",RIGHT(RIGHT(G27,4),2))</f>
        <v>Feb-14</v>
      </c>
      <c r="I27" s="162"/>
      <c r="J27" s="163"/>
      <c r="K27" s="163"/>
      <c r="L27" s="163"/>
      <c r="M27" s="163"/>
      <c r="N27" s="163">
        <f t="shared" si="11"/>
        <v>0</v>
      </c>
      <c r="O27" s="163">
        <f t="shared" si="8"/>
        <v>0</v>
      </c>
      <c r="P27" s="164">
        <v>8.6999999999999994E-2</v>
      </c>
      <c r="Q27" s="163">
        <f t="shared" si="12"/>
        <v>0</v>
      </c>
      <c r="R27" s="150"/>
      <c r="S27" s="150">
        <f t="shared" si="5"/>
        <v>0</v>
      </c>
      <c r="T27" s="150"/>
      <c r="U27" s="150"/>
      <c r="V27" s="150"/>
    </row>
    <row r="28" spans="1:45" x14ac:dyDescent="0.25">
      <c r="A28" s="150"/>
      <c r="B28" s="150"/>
      <c r="C28" s="150"/>
      <c r="D28" s="150"/>
      <c r="E28" s="150"/>
      <c r="F28" s="161" t="s">
        <v>533</v>
      </c>
      <c r="G28" s="161" t="str">
        <f>G27</f>
        <v>2013-2014</v>
      </c>
      <c r="H28" s="161" t="str">
        <f>CONCATENATE(F28,"-",RIGHT(RIGHT(G28,4),2))</f>
        <v>Mar-14</v>
      </c>
      <c r="I28" s="162"/>
      <c r="J28" s="163"/>
      <c r="K28" s="163"/>
      <c r="L28" s="163"/>
      <c r="M28" s="163"/>
      <c r="N28" s="163">
        <f t="shared" si="11"/>
        <v>0</v>
      </c>
      <c r="O28" s="163">
        <f t="shared" si="8"/>
        <v>0</v>
      </c>
      <c r="P28" s="164">
        <v>8.6999999999999994E-2</v>
      </c>
      <c r="Q28" s="163">
        <f t="shared" si="12"/>
        <v>0</v>
      </c>
      <c r="R28" s="150"/>
      <c r="S28" s="150">
        <f t="shared" si="5"/>
        <v>0</v>
      </c>
      <c r="T28" s="150"/>
      <c r="U28" s="150"/>
      <c r="V28" s="150"/>
    </row>
    <row r="29" spans="1:45" x14ac:dyDescent="0.25">
      <c r="A29" s="175"/>
      <c r="B29" s="175"/>
      <c r="C29" s="175"/>
      <c r="D29" s="175"/>
      <c r="E29" s="175"/>
      <c r="F29" s="169"/>
      <c r="G29" s="169" t="str">
        <f>G28</f>
        <v>2013-2014</v>
      </c>
      <c r="H29" s="169"/>
      <c r="I29" s="170">
        <f>SUM(I17:I28)</f>
        <v>0</v>
      </c>
      <c r="J29" s="170">
        <f t="shared" ref="J29:M29" si="13">SUM(J17:J28)</f>
        <v>0</v>
      </c>
      <c r="K29" s="170">
        <f t="shared" si="13"/>
        <v>0</v>
      </c>
      <c r="L29" s="170">
        <f t="shared" si="13"/>
        <v>0</v>
      </c>
      <c r="M29" s="170">
        <f t="shared" si="13"/>
        <v>0</v>
      </c>
      <c r="N29" s="170">
        <f>SUM(N17:N28)</f>
        <v>0</v>
      </c>
      <c r="O29" s="170">
        <f>O28+Q29</f>
        <v>0</v>
      </c>
      <c r="P29" s="171"/>
      <c r="Q29" s="170">
        <f>SUM(Q17:Q28)</f>
        <v>0</v>
      </c>
      <c r="R29" s="169"/>
      <c r="S29" s="150">
        <f t="shared" si="5"/>
        <v>0</v>
      </c>
      <c r="T29" s="150"/>
      <c r="U29" s="150"/>
      <c r="V29" s="150"/>
    </row>
    <row r="30" spans="1:45" x14ac:dyDescent="0.25">
      <c r="A30" s="150"/>
      <c r="B30" s="150"/>
      <c r="C30" s="150"/>
      <c r="D30" s="150"/>
      <c r="E30" s="150"/>
      <c r="F30" s="161" t="s">
        <v>534</v>
      </c>
      <c r="G30" s="161" t="str">
        <f>CONCATENATE(RIGHT(G17,4),"-",RIGHT(G17,4)+1)</f>
        <v>2014-2015</v>
      </c>
      <c r="H30" s="161" t="str">
        <f>CONCATENATE(F30,"-",RIGHT(LEFT(G30,4),2))</f>
        <v>Apr-14</v>
      </c>
      <c r="I30" s="162"/>
      <c r="J30" s="163"/>
      <c r="K30" s="163"/>
      <c r="L30" s="163"/>
      <c r="M30" s="163"/>
      <c r="N30" s="163">
        <f>I30+J30+L30+M30-K30</f>
        <v>0</v>
      </c>
      <c r="O30" s="163">
        <f t="shared" ref="O30:O41" si="14">O29+N30</f>
        <v>0</v>
      </c>
      <c r="P30" s="164">
        <v>8.6999999999999994E-2</v>
      </c>
      <c r="Q30" s="163">
        <f>O30*P30/12</f>
        <v>0</v>
      </c>
      <c r="R30" s="150"/>
      <c r="S30" s="150">
        <f t="shared" si="5"/>
        <v>0</v>
      </c>
      <c r="T30" s="150"/>
      <c r="U30" s="150"/>
      <c r="V30" s="150"/>
    </row>
    <row r="31" spans="1:45" x14ac:dyDescent="0.25">
      <c r="A31" s="150"/>
      <c r="B31" s="150"/>
      <c r="C31" s="150"/>
      <c r="D31" s="150"/>
      <c r="E31" s="150"/>
      <c r="F31" s="161" t="s">
        <v>520</v>
      </c>
      <c r="G31" s="161" t="str">
        <f t="shared" ref="G31:G40" si="15">G30</f>
        <v>2014-2015</v>
      </c>
      <c r="H31" s="161" t="str">
        <f t="shared" ref="H31:H38" si="16">CONCATENATE(F31,"-",RIGHT(LEFT(G31,4),2))</f>
        <v>May-14</v>
      </c>
      <c r="I31" s="162"/>
      <c r="J31" s="163"/>
      <c r="K31" s="163"/>
      <c r="L31" s="163"/>
      <c r="M31" s="163"/>
      <c r="N31" s="163">
        <f t="shared" ref="N31:N41" si="17">I31+J31+L31+M31-K31</f>
        <v>0</v>
      </c>
      <c r="O31" s="163">
        <f t="shared" si="14"/>
        <v>0</v>
      </c>
      <c r="P31" s="164">
        <v>8.6999999999999994E-2</v>
      </c>
      <c r="Q31" s="163">
        <f t="shared" ref="Q31:Q41" si="18">O31*P31/12</f>
        <v>0</v>
      </c>
      <c r="R31" s="150"/>
      <c r="S31" s="150">
        <f t="shared" si="5"/>
        <v>0</v>
      </c>
      <c r="T31" s="150"/>
      <c r="U31" s="150"/>
      <c r="V31" s="150"/>
    </row>
    <row r="32" spans="1:45" x14ac:dyDescent="0.25">
      <c r="A32" s="150"/>
      <c r="B32" s="150"/>
      <c r="C32" s="150"/>
      <c r="D32" s="150"/>
      <c r="E32" s="150"/>
      <c r="F32" s="161" t="s">
        <v>535</v>
      </c>
      <c r="G32" s="161" t="str">
        <f t="shared" si="15"/>
        <v>2014-2015</v>
      </c>
      <c r="H32" s="161" t="str">
        <f t="shared" si="16"/>
        <v>Jun-14</v>
      </c>
      <c r="I32" s="162"/>
      <c r="J32" s="163"/>
      <c r="K32" s="163"/>
      <c r="L32" s="163"/>
      <c r="M32" s="163"/>
      <c r="N32" s="163">
        <f t="shared" si="17"/>
        <v>0</v>
      </c>
      <c r="O32" s="163">
        <f t="shared" si="14"/>
        <v>0</v>
      </c>
      <c r="P32" s="164">
        <v>8.6999999999999994E-2</v>
      </c>
      <c r="Q32" s="163">
        <f t="shared" si="18"/>
        <v>0</v>
      </c>
      <c r="R32" s="150"/>
      <c r="S32" s="150">
        <f t="shared" si="5"/>
        <v>0</v>
      </c>
      <c r="T32" s="150"/>
      <c r="U32" s="150"/>
      <c r="V32" s="150"/>
    </row>
    <row r="33" spans="1:22" x14ac:dyDescent="0.25">
      <c r="A33" s="150"/>
      <c r="B33" s="150"/>
      <c r="C33" s="150"/>
      <c r="D33" s="150"/>
      <c r="E33" s="150"/>
      <c r="F33" s="161" t="s">
        <v>536</v>
      </c>
      <c r="G33" s="161" t="str">
        <f t="shared" si="15"/>
        <v>2014-2015</v>
      </c>
      <c r="H33" s="161" t="str">
        <f t="shared" si="16"/>
        <v>Jul-14</v>
      </c>
      <c r="I33" s="162"/>
      <c r="J33" s="163"/>
      <c r="K33" s="163"/>
      <c r="L33" s="163"/>
      <c r="M33" s="163"/>
      <c r="N33" s="163">
        <f t="shared" si="17"/>
        <v>0</v>
      </c>
      <c r="O33" s="163">
        <f t="shared" si="14"/>
        <v>0</v>
      </c>
      <c r="P33" s="164">
        <v>8.6999999999999994E-2</v>
      </c>
      <c r="Q33" s="163">
        <f t="shared" si="18"/>
        <v>0</v>
      </c>
      <c r="R33" s="150"/>
      <c r="S33" s="150">
        <f t="shared" si="5"/>
        <v>0</v>
      </c>
      <c r="T33" s="150"/>
      <c r="U33" s="150"/>
      <c r="V33" s="150"/>
    </row>
    <row r="34" spans="1:22" x14ac:dyDescent="0.25">
      <c r="A34" s="150"/>
      <c r="B34" s="150"/>
      <c r="C34" s="150"/>
      <c r="D34" s="150"/>
      <c r="E34" s="150"/>
      <c r="F34" s="161" t="s">
        <v>523</v>
      </c>
      <c r="G34" s="161" t="str">
        <f t="shared" si="15"/>
        <v>2014-2015</v>
      </c>
      <c r="H34" s="161" t="str">
        <f t="shared" si="16"/>
        <v>Aug-14</v>
      </c>
      <c r="I34" s="162"/>
      <c r="J34" s="163"/>
      <c r="K34" s="163"/>
      <c r="L34" s="163"/>
      <c r="M34" s="163"/>
      <c r="N34" s="163">
        <f t="shared" si="17"/>
        <v>0</v>
      </c>
      <c r="O34" s="163">
        <f t="shared" si="14"/>
        <v>0</v>
      </c>
      <c r="P34" s="164">
        <v>8.6999999999999994E-2</v>
      </c>
      <c r="Q34" s="163">
        <f t="shared" si="18"/>
        <v>0</v>
      </c>
      <c r="R34" s="150"/>
      <c r="S34" s="150">
        <f t="shared" si="5"/>
        <v>0</v>
      </c>
      <c r="T34" s="150"/>
      <c r="U34" s="150"/>
      <c r="V34" s="150"/>
    </row>
    <row r="35" spans="1:22" x14ac:dyDescent="0.25">
      <c r="A35" s="150"/>
      <c r="B35" s="150"/>
      <c r="C35" s="150"/>
      <c r="D35" s="150"/>
      <c r="E35" s="150"/>
      <c r="F35" s="161" t="s">
        <v>537</v>
      </c>
      <c r="G35" s="161" t="str">
        <f t="shared" si="15"/>
        <v>2014-2015</v>
      </c>
      <c r="H35" s="161" t="str">
        <f t="shared" si="16"/>
        <v>Sep-14</v>
      </c>
      <c r="I35" s="162"/>
      <c r="J35" s="163"/>
      <c r="K35" s="163"/>
      <c r="L35" s="163"/>
      <c r="M35" s="163"/>
      <c r="N35" s="163">
        <f t="shared" si="17"/>
        <v>0</v>
      </c>
      <c r="O35" s="163">
        <f t="shared" si="14"/>
        <v>0</v>
      </c>
      <c r="P35" s="164">
        <v>8.6999999999999994E-2</v>
      </c>
      <c r="Q35" s="163">
        <f t="shared" si="18"/>
        <v>0</v>
      </c>
      <c r="R35" s="150"/>
      <c r="S35" s="150">
        <f t="shared" si="5"/>
        <v>0</v>
      </c>
      <c r="T35" s="150"/>
      <c r="U35" s="150"/>
      <c r="V35" s="150"/>
    </row>
    <row r="36" spans="1:22" x14ac:dyDescent="0.25">
      <c r="A36" s="150"/>
      <c r="B36" s="150"/>
      <c r="C36" s="150"/>
      <c r="D36" s="150"/>
      <c r="E36" s="150"/>
      <c r="F36" s="161" t="s">
        <v>525</v>
      </c>
      <c r="G36" s="161" t="str">
        <f t="shared" si="15"/>
        <v>2014-2015</v>
      </c>
      <c r="H36" s="161" t="str">
        <f t="shared" si="16"/>
        <v>Oct-14</v>
      </c>
      <c r="I36" s="162"/>
      <c r="J36" s="163"/>
      <c r="K36" s="163"/>
      <c r="L36" s="163"/>
      <c r="M36" s="163"/>
      <c r="N36" s="163">
        <f t="shared" si="17"/>
        <v>0</v>
      </c>
      <c r="O36" s="163">
        <f t="shared" si="14"/>
        <v>0</v>
      </c>
      <c r="P36" s="164">
        <v>8.6999999999999994E-2</v>
      </c>
      <c r="Q36" s="163">
        <f t="shared" si="18"/>
        <v>0</v>
      </c>
      <c r="R36" s="150"/>
      <c r="S36" s="150">
        <f t="shared" si="5"/>
        <v>0</v>
      </c>
      <c r="T36" s="150"/>
      <c r="U36" s="150"/>
      <c r="V36" s="150"/>
    </row>
    <row r="37" spans="1:22" x14ac:dyDescent="0.25">
      <c r="A37" s="150"/>
      <c r="B37" s="150"/>
      <c r="C37" s="150"/>
      <c r="D37" s="150"/>
      <c r="E37" s="150"/>
      <c r="F37" s="161" t="s">
        <v>526</v>
      </c>
      <c r="G37" s="161" t="str">
        <f t="shared" si="15"/>
        <v>2014-2015</v>
      </c>
      <c r="H37" s="161" t="str">
        <f t="shared" si="16"/>
        <v>Nov-14</v>
      </c>
      <c r="I37" s="162"/>
      <c r="J37" s="163"/>
      <c r="K37" s="163"/>
      <c r="L37" s="163"/>
      <c r="M37" s="163"/>
      <c r="N37" s="163">
        <f t="shared" si="17"/>
        <v>0</v>
      </c>
      <c r="O37" s="163">
        <f t="shared" si="14"/>
        <v>0</v>
      </c>
      <c r="P37" s="164">
        <v>8.6999999999999994E-2</v>
      </c>
      <c r="Q37" s="163">
        <f t="shared" si="18"/>
        <v>0</v>
      </c>
      <c r="R37" s="150"/>
      <c r="S37" s="150">
        <f t="shared" si="5"/>
        <v>0</v>
      </c>
      <c r="T37" s="150"/>
      <c r="U37" s="150"/>
      <c r="V37" s="150"/>
    </row>
    <row r="38" spans="1:22" x14ac:dyDescent="0.25">
      <c r="A38" s="150"/>
      <c r="B38" s="150"/>
      <c r="C38" s="150"/>
      <c r="D38" s="150"/>
      <c r="E38" s="150"/>
      <c r="F38" s="161" t="s">
        <v>527</v>
      </c>
      <c r="G38" s="161" t="str">
        <f t="shared" si="15"/>
        <v>2014-2015</v>
      </c>
      <c r="H38" s="161" t="str">
        <f t="shared" si="16"/>
        <v>Dec-14</v>
      </c>
      <c r="I38" s="162"/>
      <c r="J38" s="163"/>
      <c r="K38" s="163"/>
      <c r="L38" s="163"/>
      <c r="M38" s="163"/>
      <c r="N38" s="163">
        <f t="shared" si="17"/>
        <v>0</v>
      </c>
      <c r="O38" s="163">
        <f t="shared" si="14"/>
        <v>0</v>
      </c>
      <c r="P38" s="164">
        <v>8.6999999999999994E-2</v>
      </c>
      <c r="Q38" s="163">
        <f t="shared" si="18"/>
        <v>0</v>
      </c>
      <c r="R38" s="150"/>
      <c r="S38" s="150">
        <f t="shared" si="5"/>
        <v>0</v>
      </c>
      <c r="T38" s="150"/>
      <c r="U38" s="150"/>
      <c r="V38" s="150"/>
    </row>
    <row r="39" spans="1:22" x14ac:dyDescent="0.25">
      <c r="A39" s="150"/>
      <c r="B39" s="150"/>
      <c r="C39" s="150"/>
      <c r="D39" s="150"/>
      <c r="E39" s="150"/>
      <c r="F39" s="161" t="s">
        <v>528</v>
      </c>
      <c r="G39" s="161" t="str">
        <f t="shared" si="15"/>
        <v>2014-2015</v>
      </c>
      <c r="H39" s="161" t="str">
        <f>CONCATENATE(F39,"-",RIGHT(RIGHT(G39,4),2))</f>
        <v>Jan-15</v>
      </c>
      <c r="I39" s="162"/>
      <c r="J39" s="163"/>
      <c r="K39" s="163"/>
      <c r="L39" s="163"/>
      <c r="M39" s="163"/>
      <c r="N39" s="163">
        <f t="shared" si="17"/>
        <v>0</v>
      </c>
      <c r="O39" s="163">
        <f t="shared" si="14"/>
        <v>0</v>
      </c>
      <c r="P39" s="164">
        <v>8.6999999999999994E-2</v>
      </c>
      <c r="Q39" s="163">
        <f t="shared" si="18"/>
        <v>0</v>
      </c>
      <c r="R39" s="150"/>
      <c r="S39" s="150">
        <f t="shared" si="5"/>
        <v>0</v>
      </c>
      <c r="T39" s="150"/>
      <c r="U39" s="150"/>
      <c r="V39" s="150"/>
    </row>
    <row r="40" spans="1:22" x14ac:dyDescent="0.25">
      <c r="A40" s="150"/>
      <c r="B40" s="150"/>
      <c r="C40" s="150"/>
      <c r="D40" s="150"/>
      <c r="E40" s="150"/>
      <c r="F40" s="161" t="s">
        <v>529</v>
      </c>
      <c r="G40" s="161" t="str">
        <f t="shared" si="15"/>
        <v>2014-2015</v>
      </c>
      <c r="H40" s="161" t="str">
        <f>CONCATENATE(F40,"-",RIGHT(RIGHT(G40,4),2))</f>
        <v>Feb-15</v>
      </c>
      <c r="I40" s="162"/>
      <c r="J40" s="163"/>
      <c r="K40" s="163"/>
      <c r="L40" s="163"/>
      <c r="M40" s="163"/>
      <c r="N40" s="163">
        <f t="shared" si="17"/>
        <v>0</v>
      </c>
      <c r="O40" s="163">
        <f t="shared" si="14"/>
        <v>0</v>
      </c>
      <c r="P40" s="164">
        <v>8.6999999999999994E-2</v>
      </c>
      <c r="Q40" s="163">
        <f t="shared" si="18"/>
        <v>0</v>
      </c>
      <c r="R40" s="150"/>
      <c r="S40" s="150">
        <f t="shared" si="5"/>
        <v>0</v>
      </c>
      <c r="T40" s="150"/>
      <c r="U40" s="150"/>
      <c r="V40" s="150"/>
    </row>
    <row r="41" spans="1:22" x14ac:dyDescent="0.25">
      <c r="A41" s="150"/>
      <c r="B41" s="150"/>
      <c r="C41" s="150"/>
      <c r="D41" s="150"/>
      <c r="E41" s="150"/>
      <c r="F41" s="161" t="s">
        <v>533</v>
      </c>
      <c r="G41" s="161" t="str">
        <f>G40</f>
        <v>2014-2015</v>
      </c>
      <c r="H41" s="161" t="str">
        <f>CONCATENATE(F41,"-",RIGHT(RIGHT(G41,4),2))</f>
        <v>Mar-15</v>
      </c>
      <c r="I41" s="162"/>
      <c r="J41" s="163"/>
      <c r="K41" s="163"/>
      <c r="L41" s="163"/>
      <c r="M41" s="163"/>
      <c r="N41" s="163">
        <f t="shared" si="17"/>
        <v>0</v>
      </c>
      <c r="O41" s="163">
        <f t="shared" si="14"/>
        <v>0</v>
      </c>
      <c r="P41" s="164">
        <v>8.6999999999999994E-2</v>
      </c>
      <c r="Q41" s="163">
        <f t="shared" si="18"/>
        <v>0</v>
      </c>
      <c r="R41" s="150"/>
      <c r="S41" s="150">
        <f t="shared" si="5"/>
        <v>0</v>
      </c>
      <c r="T41" s="150"/>
      <c r="U41" s="150"/>
      <c r="V41" s="150"/>
    </row>
    <row r="42" spans="1:22" x14ac:dyDescent="0.25">
      <c r="A42" s="175"/>
      <c r="B42" s="175"/>
      <c r="C42" s="175"/>
      <c r="D42" s="175"/>
      <c r="E42" s="175"/>
      <c r="F42" s="169"/>
      <c r="G42" s="169" t="str">
        <f>G41</f>
        <v>2014-2015</v>
      </c>
      <c r="H42" s="169"/>
      <c r="I42" s="170">
        <f>SUM(I30:I41)</f>
        <v>0</v>
      </c>
      <c r="J42" s="170">
        <f t="shared" ref="J42:M42" si="19">SUM(J30:J41)</f>
        <v>0</v>
      </c>
      <c r="K42" s="170">
        <f t="shared" si="19"/>
        <v>0</v>
      </c>
      <c r="L42" s="170">
        <f t="shared" si="19"/>
        <v>0</v>
      </c>
      <c r="M42" s="170">
        <f t="shared" si="19"/>
        <v>0</v>
      </c>
      <c r="N42" s="170">
        <f>SUM(N30:N41)</f>
        <v>0</v>
      </c>
      <c r="O42" s="170">
        <f>O41+Q42</f>
        <v>0</v>
      </c>
      <c r="P42" s="171"/>
      <c r="Q42" s="170">
        <f>SUM(Q30:Q41)</f>
        <v>0</v>
      </c>
      <c r="R42" s="169"/>
      <c r="S42" s="150">
        <f t="shared" si="5"/>
        <v>0</v>
      </c>
      <c r="T42" s="150"/>
      <c r="U42" s="150"/>
      <c r="V42" s="150"/>
    </row>
    <row r="43" spans="1:22" x14ac:dyDescent="0.25">
      <c r="A43" s="150"/>
      <c r="B43" s="150"/>
      <c r="C43" s="150"/>
      <c r="D43" s="150"/>
      <c r="E43" s="150"/>
      <c r="F43" s="161" t="s">
        <v>534</v>
      </c>
      <c r="G43" s="161" t="str">
        <f>CONCATENATE(RIGHT(G30,4),"-",RIGHT(G30,4)+1)</f>
        <v>2015-2016</v>
      </c>
      <c r="H43" s="161" t="str">
        <f>CONCATENATE(F43,"-",RIGHT(LEFT(G43,4),2))</f>
        <v>Apr-15</v>
      </c>
      <c r="I43" s="162"/>
      <c r="J43" s="163"/>
      <c r="K43" s="163"/>
      <c r="L43" s="163"/>
      <c r="M43" s="163"/>
      <c r="N43" s="163">
        <f>I43+J43+L43+M43-K43</f>
        <v>0</v>
      </c>
      <c r="O43" s="163">
        <f t="shared" ref="O43:O54" si="20">O42+N43</f>
        <v>0</v>
      </c>
      <c r="P43" s="164">
        <v>8.6999999999999994E-2</v>
      </c>
      <c r="Q43" s="163">
        <f>O43*P43/12</f>
        <v>0</v>
      </c>
      <c r="R43" s="150"/>
      <c r="S43" s="150">
        <f t="shared" si="5"/>
        <v>0</v>
      </c>
      <c r="T43" s="150"/>
      <c r="U43" s="150"/>
      <c r="V43" s="150"/>
    </row>
    <row r="44" spans="1:22" x14ac:dyDescent="0.25">
      <c r="A44" s="150"/>
      <c r="B44" s="150"/>
      <c r="C44" s="150"/>
      <c r="D44" s="150"/>
      <c r="E44" s="150"/>
      <c r="F44" s="161" t="s">
        <v>520</v>
      </c>
      <c r="G44" s="161" t="str">
        <f t="shared" ref="G44:G53" si="21">G43</f>
        <v>2015-2016</v>
      </c>
      <c r="H44" s="161" t="str">
        <f t="shared" ref="H44:H51" si="22">CONCATENATE(F44,"-",RIGHT(LEFT(G44,4),2))</f>
        <v>May-15</v>
      </c>
      <c r="I44" s="162"/>
      <c r="J44" s="163"/>
      <c r="K44" s="163"/>
      <c r="L44" s="163"/>
      <c r="M44" s="163"/>
      <c r="N44" s="163">
        <f t="shared" ref="N44:N54" si="23">I44+J44+L44+M44-K44</f>
        <v>0</v>
      </c>
      <c r="O44" s="163">
        <f t="shared" si="20"/>
        <v>0</v>
      </c>
      <c r="P44" s="164">
        <v>8.6999999999999994E-2</v>
      </c>
      <c r="Q44" s="163">
        <f t="shared" ref="Q44:Q54" si="24">O44*P44/12</f>
        <v>0</v>
      </c>
      <c r="R44" s="150"/>
      <c r="S44" s="150">
        <f t="shared" si="5"/>
        <v>0</v>
      </c>
      <c r="T44" s="150"/>
      <c r="U44" s="150"/>
      <c r="V44" s="150"/>
    </row>
    <row r="45" spans="1:22" x14ac:dyDescent="0.25">
      <c r="A45" s="150"/>
      <c r="B45" s="150"/>
      <c r="C45" s="150"/>
      <c r="D45" s="150"/>
      <c r="E45" s="150"/>
      <c r="F45" s="161" t="s">
        <v>535</v>
      </c>
      <c r="G45" s="161" t="str">
        <f t="shared" si="21"/>
        <v>2015-2016</v>
      </c>
      <c r="H45" s="161" t="str">
        <f t="shared" si="22"/>
        <v>Jun-15</v>
      </c>
      <c r="I45" s="162"/>
      <c r="J45" s="163"/>
      <c r="K45" s="163"/>
      <c r="L45" s="163"/>
      <c r="M45" s="163"/>
      <c r="N45" s="163">
        <f t="shared" si="23"/>
        <v>0</v>
      </c>
      <c r="O45" s="163">
        <f t="shared" si="20"/>
        <v>0</v>
      </c>
      <c r="P45" s="164">
        <v>8.6999999999999994E-2</v>
      </c>
      <c r="Q45" s="163">
        <f t="shared" si="24"/>
        <v>0</v>
      </c>
      <c r="R45" s="150"/>
      <c r="S45" s="150">
        <f t="shared" si="5"/>
        <v>0</v>
      </c>
      <c r="T45" s="150"/>
      <c r="U45" s="150"/>
      <c r="V45" s="150"/>
    </row>
    <row r="46" spans="1:22" x14ac:dyDescent="0.25">
      <c r="A46" s="150"/>
      <c r="B46" s="150"/>
      <c r="C46" s="150"/>
      <c r="D46" s="150"/>
      <c r="E46" s="150"/>
      <c r="F46" s="161" t="s">
        <v>536</v>
      </c>
      <c r="G46" s="161" t="str">
        <f t="shared" si="21"/>
        <v>2015-2016</v>
      </c>
      <c r="H46" s="161" t="str">
        <f t="shared" si="22"/>
        <v>Jul-15</v>
      </c>
      <c r="I46" s="162"/>
      <c r="J46" s="163"/>
      <c r="K46" s="163"/>
      <c r="L46" s="163"/>
      <c r="M46" s="163"/>
      <c r="N46" s="163">
        <f t="shared" si="23"/>
        <v>0</v>
      </c>
      <c r="O46" s="163">
        <f t="shared" si="20"/>
        <v>0</v>
      </c>
      <c r="P46" s="164">
        <v>8.6999999999999994E-2</v>
      </c>
      <c r="Q46" s="163">
        <f t="shared" si="24"/>
        <v>0</v>
      </c>
      <c r="R46" s="150"/>
      <c r="S46" s="150">
        <f t="shared" si="5"/>
        <v>0</v>
      </c>
      <c r="T46" s="150"/>
      <c r="U46" s="150"/>
      <c r="V46" s="150"/>
    </row>
    <row r="47" spans="1:22" x14ac:dyDescent="0.25">
      <c r="A47" s="150"/>
      <c r="B47" s="150"/>
      <c r="C47" s="150"/>
      <c r="D47" s="150"/>
      <c r="E47" s="150"/>
      <c r="F47" s="161" t="s">
        <v>523</v>
      </c>
      <c r="G47" s="161" t="str">
        <f t="shared" si="21"/>
        <v>2015-2016</v>
      </c>
      <c r="H47" s="161" t="str">
        <f t="shared" si="22"/>
        <v>Aug-15</v>
      </c>
      <c r="I47" s="162"/>
      <c r="J47" s="163"/>
      <c r="K47" s="163"/>
      <c r="L47" s="163"/>
      <c r="M47" s="163"/>
      <c r="N47" s="163">
        <f t="shared" si="23"/>
        <v>0</v>
      </c>
      <c r="O47" s="163">
        <f t="shared" si="20"/>
        <v>0</v>
      </c>
      <c r="P47" s="164">
        <v>8.6999999999999994E-2</v>
      </c>
      <c r="Q47" s="163">
        <f t="shared" si="24"/>
        <v>0</v>
      </c>
      <c r="R47" s="150"/>
      <c r="S47" s="150">
        <f t="shared" si="5"/>
        <v>0</v>
      </c>
      <c r="T47" s="150"/>
      <c r="U47" s="150"/>
      <c r="V47" s="150"/>
    </row>
    <row r="48" spans="1:22" x14ac:dyDescent="0.25">
      <c r="A48" s="150"/>
      <c r="B48" s="150"/>
      <c r="C48" s="150"/>
      <c r="D48" s="150"/>
      <c r="E48" s="150"/>
      <c r="F48" s="161" t="s">
        <v>537</v>
      </c>
      <c r="G48" s="161" t="str">
        <f t="shared" si="21"/>
        <v>2015-2016</v>
      </c>
      <c r="H48" s="161" t="str">
        <f t="shared" si="22"/>
        <v>Sep-15</v>
      </c>
      <c r="I48" s="162"/>
      <c r="J48" s="163"/>
      <c r="K48" s="163"/>
      <c r="L48" s="163"/>
      <c r="M48" s="163"/>
      <c r="N48" s="163">
        <f t="shared" si="23"/>
        <v>0</v>
      </c>
      <c r="O48" s="163">
        <f t="shared" si="20"/>
        <v>0</v>
      </c>
      <c r="P48" s="164">
        <v>8.6999999999999994E-2</v>
      </c>
      <c r="Q48" s="163">
        <f t="shared" si="24"/>
        <v>0</v>
      </c>
      <c r="R48" s="150"/>
      <c r="S48" s="150">
        <f t="shared" si="5"/>
        <v>0</v>
      </c>
      <c r="T48" s="150"/>
      <c r="U48" s="150"/>
      <c r="V48" s="150"/>
    </row>
    <row r="49" spans="1:22" x14ac:dyDescent="0.25">
      <c r="A49" s="150"/>
      <c r="B49" s="150"/>
      <c r="C49" s="150"/>
      <c r="D49" s="150"/>
      <c r="E49" s="150"/>
      <c r="F49" s="161" t="s">
        <v>525</v>
      </c>
      <c r="G49" s="161" t="str">
        <f t="shared" si="21"/>
        <v>2015-2016</v>
      </c>
      <c r="H49" s="161" t="str">
        <f t="shared" si="22"/>
        <v>Oct-15</v>
      </c>
      <c r="I49" s="162"/>
      <c r="J49" s="163"/>
      <c r="K49" s="163"/>
      <c r="L49" s="163"/>
      <c r="M49" s="163"/>
      <c r="N49" s="163">
        <f t="shared" si="23"/>
        <v>0</v>
      </c>
      <c r="O49" s="163">
        <f t="shared" si="20"/>
        <v>0</v>
      </c>
      <c r="P49" s="164">
        <v>8.6999999999999994E-2</v>
      </c>
      <c r="Q49" s="163">
        <f t="shared" si="24"/>
        <v>0</v>
      </c>
      <c r="R49" s="150"/>
      <c r="S49" s="150">
        <f t="shared" si="5"/>
        <v>0</v>
      </c>
      <c r="T49" s="150"/>
      <c r="U49" s="150"/>
      <c r="V49" s="150"/>
    </row>
    <row r="50" spans="1:22" x14ac:dyDescent="0.25">
      <c r="A50" s="150"/>
      <c r="B50" s="150"/>
      <c r="C50" s="150"/>
      <c r="D50" s="150"/>
      <c r="E50" s="150"/>
      <c r="F50" s="161" t="s">
        <v>526</v>
      </c>
      <c r="G50" s="161" t="str">
        <f t="shared" si="21"/>
        <v>2015-2016</v>
      </c>
      <c r="H50" s="161" t="str">
        <f t="shared" si="22"/>
        <v>Nov-15</v>
      </c>
      <c r="I50" s="162"/>
      <c r="J50" s="163"/>
      <c r="K50" s="163"/>
      <c r="L50" s="163"/>
      <c r="M50" s="163"/>
      <c r="N50" s="163">
        <f t="shared" si="23"/>
        <v>0</v>
      </c>
      <c r="O50" s="163">
        <f t="shared" si="20"/>
        <v>0</v>
      </c>
      <c r="P50" s="164">
        <v>8.6999999999999994E-2</v>
      </c>
      <c r="Q50" s="163">
        <f t="shared" si="24"/>
        <v>0</v>
      </c>
      <c r="R50" s="150"/>
      <c r="S50" s="150">
        <f t="shared" si="5"/>
        <v>0</v>
      </c>
      <c r="T50" s="150"/>
      <c r="U50" s="150"/>
      <c r="V50" s="150"/>
    </row>
    <row r="51" spans="1:22" x14ac:dyDescent="0.25">
      <c r="A51" s="150"/>
      <c r="B51" s="150"/>
      <c r="C51" s="150"/>
      <c r="D51" s="150"/>
      <c r="E51" s="150"/>
      <c r="F51" s="161" t="s">
        <v>527</v>
      </c>
      <c r="G51" s="161" t="str">
        <f t="shared" si="21"/>
        <v>2015-2016</v>
      </c>
      <c r="H51" s="161" t="str">
        <f t="shared" si="22"/>
        <v>Dec-15</v>
      </c>
      <c r="I51" s="162"/>
      <c r="J51" s="163"/>
      <c r="K51" s="163"/>
      <c r="L51" s="163"/>
      <c r="M51" s="163"/>
      <c r="N51" s="163">
        <f t="shared" si="23"/>
        <v>0</v>
      </c>
      <c r="O51" s="163">
        <f t="shared" si="20"/>
        <v>0</v>
      </c>
      <c r="P51" s="164">
        <v>8.6999999999999994E-2</v>
      </c>
      <c r="Q51" s="163">
        <f t="shared" si="24"/>
        <v>0</v>
      </c>
      <c r="R51" s="150"/>
      <c r="S51" s="150">
        <f t="shared" si="5"/>
        <v>0</v>
      </c>
      <c r="T51" s="150"/>
      <c r="U51" s="150"/>
      <c r="V51" s="150"/>
    </row>
    <row r="52" spans="1:22" x14ac:dyDescent="0.25">
      <c r="A52" s="150"/>
      <c r="B52" s="150"/>
      <c r="C52" s="150"/>
      <c r="D52" s="150"/>
      <c r="E52" s="150"/>
      <c r="F52" s="161" t="s">
        <v>528</v>
      </c>
      <c r="G52" s="161" t="str">
        <f t="shared" si="21"/>
        <v>2015-2016</v>
      </c>
      <c r="H52" s="161" t="str">
        <f>CONCATENATE(F52,"-",RIGHT(RIGHT(G52,4),2))</f>
        <v>Jan-16</v>
      </c>
      <c r="I52" s="162"/>
      <c r="J52" s="163"/>
      <c r="K52" s="163"/>
      <c r="L52" s="163"/>
      <c r="M52" s="163"/>
      <c r="N52" s="163">
        <f t="shared" si="23"/>
        <v>0</v>
      </c>
      <c r="O52" s="163">
        <f t="shared" si="20"/>
        <v>0</v>
      </c>
      <c r="P52" s="164">
        <v>8.6999999999999994E-2</v>
      </c>
      <c r="Q52" s="163">
        <f t="shared" si="24"/>
        <v>0</v>
      </c>
      <c r="R52" s="150"/>
      <c r="S52" s="150">
        <f t="shared" si="5"/>
        <v>0</v>
      </c>
      <c r="T52" s="150"/>
      <c r="U52" s="150"/>
      <c r="V52" s="150"/>
    </row>
    <row r="53" spans="1:22" x14ac:dyDescent="0.25">
      <c r="A53" s="150"/>
      <c r="B53" s="150"/>
      <c r="C53" s="150"/>
      <c r="D53" s="150"/>
      <c r="E53" s="150"/>
      <c r="F53" s="161" t="s">
        <v>529</v>
      </c>
      <c r="G53" s="161" t="str">
        <f t="shared" si="21"/>
        <v>2015-2016</v>
      </c>
      <c r="H53" s="161" t="str">
        <f>CONCATENATE(F53,"-",RIGHT(RIGHT(G53,4),2))</f>
        <v>Feb-16</v>
      </c>
      <c r="I53" s="162"/>
      <c r="J53" s="163"/>
      <c r="K53" s="163"/>
      <c r="L53" s="163"/>
      <c r="M53" s="163"/>
      <c r="N53" s="163">
        <f t="shared" si="23"/>
        <v>0</v>
      </c>
      <c r="O53" s="163">
        <f t="shared" si="20"/>
        <v>0</v>
      </c>
      <c r="P53" s="164">
        <v>8.6999999999999994E-2</v>
      </c>
      <c r="Q53" s="163">
        <f t="shared" si="24"/>
        <v>0</v>
      </c>
      <c r="R53" s="150"/>
      <c r="S53" s="150">
        <f t="shared" si="5"/>
        <v>0</v>
      </c>
      <c r="T53" s="150"/>
      <c r="U53" s="150"/>
      <c r="V53" s="150"/>
    </row>
    <row r="54" spans="1:22" x14ac:dyDescent="0.25">
      <c r="A54" s="150"/>
      <c r="B54" s="150"/>
      <c r="C54" s="150"/>
      <c r="D54" s="150"/>
      <c r="E54" s="150"/>
      <c r="F54" s="161" t="s">
        <v>533</v>
      </c>
      <c r="G54" s="161" t="str">
        <f>G53</f>
        <v>2015-2016</v>
      </c>
      <c r="H54" s="161" t="str">
        <f>CONCATENATE(F54,"-",RIGHT(RIGHT(G54,4),2))</f>
        <v>Mar-16</v>
      </c>
      <c r="I54" s="162"/>
      <c r="J54" s="163"/>
      <c r="K54" s="163"/>
      <c r="L54" s="163"/>
      <c r="M54" s="163"/>
      <c r="N54" s="163">
        <f t="shared" si="23"/>
        <v>0</v>
      </c>
      <c r="O54" s="163">
        <f t="shared" si="20"/>
        <v>0</v>
      </c>
      <c r="P54" s="164">
        <v>8.6999999999999994E-2</v>
      </c>
      <c r="Q54" s="163">
        <f t="shared" si="24"/>
        <v>0</v>
      </c>
      <c r="R54" s="150"/>
      <c r="S54" s="150">
        <f t="shared" si="5"/>
        <v>0</v>
      </c>
      <c r="T54" s="150"/>
      <c r="U54" s="150"/>
      <c r="V54" s="150"/>
    </row>
    <row r="55" spans="1:22" x14ac:dyDescent="0.25">
      <c r="A55" s="175"/>
      <c r="B55" s="175"/>
      <c r="C55" s="175"/>
      <c r="D55" s="175"/>
      <c r="E55" s="175"/>
      <c r="F55" s="169"/>
      <c r="G55" s="169" t="str">
        <f>G54</f>
        <v>2015-2016</v>
      </c>
      <c r="H55" s="169"/>
      <c r="I55" s="170">
        <f>SUM(I43:I54)</f>
        <v>0</v>
      </c>
      <c r="J55" s="170">
        <f t="shared" ref="J55:M55" si="25">SUM(J43:J54)</f>
        <v>0</v>
      </c>
      <c r="K55" s="170">
        <f t="shared" si="25"/>
        <v>0</v>
      </c>
      <c r="L55" s="170">
        <f t="shared" si="25"/>
        <v>0</v>
      </c>
      <c r="M55" s="170">
        <f t="shared" si="25"/>
        <v>0</v>
      </c>
      <c r="N55" s="170">
        <f>SUM(N43:N54)</f>
        <v>0</v>
      </c>
      <c r="O55" s="170">
        <f>O54+Q55</f>
        <v>0</v>
      </c>
      <c r="P55" s="171"/>
      <c r="Q55" s="170">
        <f>SUM(Q43:Q54)</f>
        <v>0</v>
      </c>
      <c r="R55" s="169"/>
      <c r="S55" s="150">
        <f t="shared" si="5"/>
        <v>0</v>
      </c>
      <c r="T55" s="150"/>
      <c r="U55" s="150"/>
      <c r="V55" s="150"/>
    </row>
    <row r="56" spans="1:22" x14ac:dyDescent="0.25">
      <c r="A56" s="150"/>
      <c r="B56" s="150"/>
      <c r="C56" s="150"/>
      <c r="D56" s="150"/>
      <c r="E56" s="150"/>
      <c r="F56" s="161" t="s">
        <v>534</v>
      </c>
      <c r="G56" s="161" t="str">
        <f>CONCATENATE(RIGHT(G43,4),"-",RIGHT(G43,4)+1)</f>
        <v>2016-2017</v>
      </c>
      <c r="H56" s="161" t="str">
        <f>CONCATENATE(F56,"-",RIGHT(LEFT(G56,4),2))</f>
        <v>Apr-16</v>
      </c>
      <c r="I56" s="162"/>
      <c r="J56" s="163"/>
      <c r="K56" s="163"/>
      <c r="L56" s="163"/>
      <c r="M56" s="163"/>
      <c r="N56" s="163">
        <f>I56+J56+L56+M56-K56</f>
        <v>0</v>
      </c>
      <c r="O56" s="163">
        <f t="shared" ref="O56:O67" si="26">O55+N56</f>
        <v>0</v>
      </c>
      <c r="P56" s="164">
        <v>8.1000000000000003E-2</v>
      </c>
      <c r="Q56" s="163">
        <f>O56*P56/12</f>
        <v>0</v>
      </c>
      <c r="R56" s="150"/>
      <c r="S56" s="150">
        <f t="shared" si="5"/>
        <v>0</v>
      </c>
      <c r="T56" s="150"/>
      <c r="U56" s="150"/>
      <c r="V56" s="150"/>
    </row>
    <row r="57" spans="1:22" x14ac:dyDescent="0.25">
      <c r="A57" s="150"/>
      <c r="B57" s="150"/>
      <c r="C57" s="150"/>
      <c r="D57" s="150"/>
      <c r="E57" s="150"/>
      <c r="F57" s="161" t="s">
        <v>520</v>
      </c>
      <c r="G57" s="161" t="str">
        <f t="shared" ref="G57:G66" si="27">G56</f>
        <v>2016-2017</v>
      </c>
      <c r="H57" s="161" t="str">
        <f t="shared" ref="H57:H64" si="28">CONCATENATE(F57,"-",RIGHT(LEFT(G57,4),2))</f>
        <v>May-16</v>
      </c>
      <c r="I57" s="162"/>
      <c r="J57" s="163"/>
      <c r="K57" s="163"/>
      <c r="L57" s="163"/>
      <c r="M57" s="163"/>
      <c r="N57" s="163">
        <f t="shared" ref="N57:N67" si="29">I57+J57+L57+M57-K57</f>
        <v>0</v>
      </c>
      <c r="O57" s="163">
        <f t="shared" si="26"/>
        <v>0</v>
      </c>
      <c r="P57" s="164">
        <v>8.1000000000000003E-2</v>
      </c>
      <c r="Q57" s="163">
        <f t="shared" ref="Q57:Q67" si="30">O57*P57/12</f>
        <v>0</v>
      </c>
      <c r="R57" s="150"/>
      <c r="S57" s="150">
        <f t="shared" si="5"/>
        <v>0</v>
      </c>
      <c r="T57" s="150"/>
      <c r="U57" s="150"/>
      <c r="V57" s="150"/>
    </row>
    <row r="58" spans="1:22" x14ac:dyDescent="0.25">
      <c r="A58" s="150"/>
      <c r="B58" s="150"/>
      <c r="C58" s="150"/>
      <c r="D58" s="150"/>
      <c r="E58" s="150"/>
      <c r="F58" s="161" t="s">
        <v>535</v>
      </c>
      <c r="G58" s="161" t="str">
        <f t="shared" si="27"/>
        <v>2016-2017</v>
      </c>
      <c r="H58" s="161" t="str">
        <f t="shared" si="28"/>
        <v>Jun-16</v>
      </c>
      <c r="I58" s="162"/>
      <c r="J58" s="163"/>
      <c r="K58" s="163"/>
      <c r="L58" s="163"/>
      <c r="M58" s="163"/>
      <c r="N58" s="163">
        <f t="shared" si="29"/>
        <v>0</v>
      </c>
      <c r="O58" s="163">
        <f t="shared" si="26"/>
        <v>0</v>
      </c>
      <c r="P58" s="164">
        <v>8.1000000000000003E-2</v>
      </c>
      <c r="Q58" s="163">
        <f t="shared" si="30"/>
        <v>0</v>
      </c>
      <c r="R58" s="150"/>
      <c r="S58" s="150">
        <f t="shared" si="5"/>
        <v>0</v>
      </c>
      <c r="T58" s="150"/>
      <c r="U58" s="150"/>
      <c r="V58" s="150"/>
    </row>
    <row r="59" spans="1:22" x14ac:dyDescent="0.25">
      <c r="A59" s="150"/>
      <c r="B59" s="150"/>
      <c r="C59" s="150"/>
      <c r="D59" s="150"/>
      <c r="E59" s="150"/>
      <c r="F59" s="161" t="s">
        <v>536</v>
      </c>
      <c r="G59" s="161" t="str">
        <f t="shared" si="27"/>
        <v>2016-2017</v>
      </c>
      <c r="H59" s="161" t="str">
        <f t="shared" si="28"/>
        <v>Jul-16</v>
      </c>
      <c r="I59" s="162"/>
      <c r="J59" s="163"/>
      <c r="K59" s="163"/>
      <c r="L59" s="163"/>
      <c r="M59" s="163"/>
      <c r="N59" s="163">
        <f t="shared" si="29"/>
        <v>0</v>
      </c>
      <c r="O59" s="163">
        <f t="shared" si="26"/>
        <v>0</v>
      </c>
      <c r="P59" s="164">
        <v>8.1000000000000003E-2</v>
      </c>
      <c r="Q59" s="163">
        <f t="shared" si="30"/>
        <v>0</v>
      </c>
      <c r="R59" s="150"/>
      <c r="S59" s="150">
        <f t="shared" si="5"/>
        <v>0</v>
      </c>
      <c r="T59" s="150"/>
      <c r="U59" s="150"/>
      <c r="V59" s="150"/>
    </row>
    <row r="60" spans="1:22" x14ac:dyDescent="0.25">
      <c r="A60" s="150"/>
      <c r="B60" s="150"/>
      <c r="C60" s="150"/>
      <c r="D60" s="150"/>
      <c r="E60" s="150"/>
      <c r="F60" s="161" t="s">
        <v>523</v>
      </c>
      <c r="G60" s="161" t="str">
        <f t="shared" si="27"/>
        <v>2016-2017</v>
      </c>
      <c r="H60" s="161" t="str">
        <f t="shared" si="28"/>
        <v>Aug-16</v>
      </c>
      <c r="I60" s="162"/>
      <c r="J60" s="163"/>
      <c r="K60" s="163"/>
      <c r="L60" s="163"/>
      <c r="M60" s="163"/>
      <c r="N60" s="163">
        <f t="shared" si="29"/>
        <v>0</v>
      </c>
      <c r="O60" s="163">
        <f t="shared" si="26"/>
        <v>0</v>
      </c>
      <c r="P60" s="164">
        <v>8.1000000000000003E-2</v>
      </c>
      <c r="Q60" s="163">
        <f t="shared" si="30"/>
        <v>0</v>
      </c>
      <c r="R60" s="150"/>
      <c r="S60" s="150">
        <f t="shared" si="5"/>
        <v>0</v>
      </c>
      <c r="T60" s="150"/>
      <c r="U60" s="150"/>
      <c r="V60" s="150"/>
    </row>
    <row r="61" spans="1:22" x14ac:dyDescent="0.25">
      <c r="A61" s="150"/>
      <c r="B61" s="150"/>
      <c r="C61" s="150"/>
      <c r="D61" s="150"/>
      <c r="E61" s="150"/>
      <c r="F61" s="161" t="s">
        <v>537</v>
      </c>
      <c r="G61" s="161" t="str">
        <f t="shared" si="27"/>
        <v>2016-2017</v>
      </c>
      <c r="H61" s="161" t="str">
        <f t="shared" si="28"/>
        <v>Sep-16</v>
      </c>
      <c r="I61" s="162"/>
      <c r="J61" s="163"/>
      <c r="K61" s="163"/>
      <c r="L61" s="163"/>
      <c r="M61" s="163"/>
      <c r="N61" s="163">
        <f t="shared" si="29"/>
        <v>0</v>
      </c>
      <c r="O61" s="163">
        <f t="shared" si="26"/>
        <v>0</v>
      </c>
      <c r="P61" s="164">
        <v>8.1000000000000003E-2</v>
      </c>
      <c r="Q61" s="163">
        <f t="shared" si="30"/>
        <v>0</v>
      </c>
      <c r="R61" s="150"/>
      <c r="S61" s="150">
        <f t="shared" si="5"/>
        <v>0</v>
      </c>
      <c r="T61" s="150"/>
      <c r="U61" s="150"/>
      <c r="V61" s="150"/>
    </row>
    <row r="62" spans="1:22" x14ac:dyDescent="0.25">
      <c r="A62" s="150"/>
      <c r="B62" s="150"/>
      <c r="C62" s="150"/>
      <c r="D62" s="150"/>
      <c r="E62" s="150"/>
      <c r="F62" s="161" t="s">
        <v>525</v>
      </c>
      <c r="G62" s="161" t="str">
        <f t="shared" si="27"/>
        <v>2016-2017</v>
      </c>
      <c r="H62" s="161" t="str">
        <f t="shared" si="28"/>
        <v>Oct-16</v>
      </c>
      <c r="I62" s="162"/>
      <c r="J62" s="163"/>
      <c r="K62" s="163"/>
      <c r="L62" s="163"/>
      <c r="M62" s="163"/>
      <c r="N62" s="163">
        <f t="shared" si="29"/>
        <v>0</v>
      </c>
      <c r="O62" s="163">
        <f t="shared" si="26"/>
        <v>0</v>
      </c>
      <c r="P62" s="164">
        <v>0.08</v>
      </c>
      <c r="Q62" s="163">
        <f t="shared" si="30"/>
        <v>0</v>
      </c>
      <c r="R62" s="150"/>
      <c r="S62" s="150">
        <f t="shared" si="5"/>
        <v>0</v>
      </c>
      <c r="T62" s="150"/>
      <c r="U62" s="150"/>
      <c r="V62" s="150"/>
    </row>
    <row r="63" spans="1:22" x14ac:dyDescent="0.25">
      <c r="A63" s="150"/>
      <c r="B63" s="150"/>
      <c r="C63" s="150"/>
      <c r="D63" s="150"/>
      <c r="E63" s="150"/>
      <c r="F63" s="161" t="s">
        <v>526</v>
      </c>
      <c r="G63" s="161" t="str">
        <f t="shared" si="27"/>
        <v>2016-2017</v>
      </c>
      <c r="H63" s="161" t="str">
        <f t="shared" si="28"/>
        <v>Nov-16</v>
      </c>
      <c r="I63" s="162"/>
      <c r="J63" s="163"/>
      <c r="K63" s="163"/>
      <c r="L63" s="163"/>
      <c r="M63" s="163"/>
      <c r="N63" s="163">
        <f t="shared" si="29"/>
        <v>0</v>
      </c>
      <c r="O63" s="163">
        <f t="shared" si="26"/>
        <v>0</v>
      </c>
      <c r="P63" s="164">
        <v>0.08</v>
      </c>
      <c r="Q63" s="163">
        <f t="shared" si="30"/>
        <v>0</v>
      </c>
      <c r="R63" s="150"/>
      <c r="S63" s="150">
        <f t="shared" si="5"/>
        <v>0</v>
      </c>
      <c r="T63" s="150"/>
      <c r="U63" s="150"/>
      <c r="V63" s="150"/>
    </row>
    <row r="64" spans="1:22" x14ac:dyDescent="0.25">
      <c r="A64" s="150"/>
      <c r="B64" s="150"/>
      <c r="C64" s="150"/>
      <c r="D64" s="150"/>
      <c r="E64" s="150"/>
      <c r="F64" s="161" t="s">
        <v>527</v>
      </c>
      <c r="G64" s="161" t="str">
        <f t="shared" si="27"/>
        <v>2016-2017</v>
      </c>
      <c r="H64" s="161" t="str">
        <f t="shared" si="28"/>
        <v>Dec-16</v>
      </c>
      <c r="I64" s="162"/>
      <c r="J64" s="163"/>
      <c r="K64" s="163"/>
      <c r="L64" s="163"/>
      <c r="M64" s="163"/>
      <c r="N64" s="163">
        <f t="shared" si="29"/>
        <v>0</v>
      </c>
      <c r="O64" s="163">
        <f t="shared" si="26"/>
        <v>0</v>
      </c>
      <c r="P64" s="164">
        <v>0.08</v>
      </c>
      <c r="Q64" s="163">
        <f t="shared" si="30"/>
        <v>0</v>
      </c>
      <c r="R64" s="150"/>
      <c r="S64" s="150">
        <f t="shared" si="5"/>
        <v>0</v>
      </c>
      <c r="T64" s="150"/>
      <c r="U64" s="150"/>
      <c r="V64" s="150"/>
    </row>
    <row r="65" spans="1:22" x14ac:dyDescent="0.25">
      <c r="A65" s="150"/>
      <c r="B65" s="150"/>
      <c r="C65" s="150"/>
      <c r="D65" s="150"/>
      <c r="E65" s="150"/>
      <c r="F65" s="161" t="s">
        <v>528</v>
      </c>
      <c r="G65" s="161" t="str">
        <f t="shared" si="27"/>
        <v>2016-2017</v>
      </c>
      <c r="H65" s="161" t="str">
        <f>CONCATENATE(F65,"-",RIGHT(RIGHT(G65,4),2))</f>
        <v>Jan-17</v>
      </c>
      <c r="I65" s="162"/>
      <c r="J65" s="163"/>
      <c r="K65" s="163"/>
      <c r="L65" s="163"/>
      <c r="M65" s="163"/>
      <c r="N65" s="163">
        <f t="shared" si="29"/>
        <v>0</v>
      </c>
      <c r="O65" s="163">
        <f t="shared" si="26"/>
        <v>0</v>
      </c>
      <c r="P65" s="164">
        <v>0.08</v>
      </c>
      <c r="Q65" s="163">
        <f t="shared" si="30"/>
        <v>0</v>
      </c>
      <c r="R65" s="150"/>
      <c r="S65" s="150">
        <f t="shared" si="5"/>
        <v>0</v>
      </c>
      <c r="T65" s="150"/>
      <c r="U65" s="150"/>
      <c r="V65" s="150"/>
    </row>
    <row r="66" spans="1:22" x14ac:dyDescent="0.25">
      <c r="A66" s="150"/>
      <c r="B66" s="150"/>
      <c r="C66" s="150"/>
      <c r="D66" s="150"/>
      <c r="E66" s="150"/>
      <c r="F66" s="161" t="s">
        <v>529</v>
      </c>
      <c r="G66" s="161" t="str">
        <f t="shared" si="27"/>
        <v>2016-2017</v>
      </c>
      <c r="H66" s="161" t="str">
        <f>CONCATENATE(F66,"-",RIGHT(RIGHT(G66,4),2))</f>
        <v>Feb-17</v>
      </c>
      <c r="I66" s="162"/>
      <c r="J66" s="163"/>
      <c r="K66" s="163"/>
      <c r="L66" s="163"/>
      <c r="M66" s="163"/>
      <c r="N66" s="163">
        <f t="shared" si="29"/>
        <v>0</v>
      </c>
      <c r="O66" s="163">
        <f t="shared" si="26"/>
        <v>0</v>
      </c>
      <c r="P66" s="164">
        <v>0.08</v>
      </c>
      <c r="Q66" s="163">
        <f t="shared" si="30"/>
        <v>0</v>
      </c>
      <c r="R66" s="150"/>
      <c r="S66" s="150">
        <f t="shared" si="5"/>
        <v>0</v>
      </c>
      <c r="T66" s="150"/>
      <c r="U66" s="150"/>
      <c r="V66" s="150"/>
    </row>
    <row r="67" spans="1:22" x14ac:dyDescent="0.25">
      <c r="A67" s="150"/>
      <c r="B67" s="150"/>
      <c r="C67" s="150"/>
      <c r="D67" s="150"/>
      <c r="E67" s="150"/>
      <c r="F67" s="161" t="s">
        <v>533</v>
      </c>
      <c r="G67" s="161" t="str">
        <f>G66</f>
        <v>2016-2017</v>
      </c>
      <c r="H67" s="161" t="str">
        <f>CONCATENATE(F67,"-",RIGHT(RIGHT(G67,4),2))</f>
        <v>Mar-17</v>
      </c>
      <c r="I67" s="162"/>
      <c r="J67" s="163"/>
      <c r="K67" s="163"/>
      <c r="L67" s="163"/>
      <c r="M67" s="163"/>
      <c r="N67" s="163">
        <f t="shared" si="29"/>
        <v>0</v>
      </c>
      <c r="O67" s="163">
        <f t="shared" si="26"/>
        <v>0</v>
      </c>
      <c r="P67" s="164">
        <v>0.08</v>
      </c>
      <c r="Q67" s="163">
        <f t="shared" si="30"/>
        <v>0</v>
      </c>
      <c r="R67" s="150"/>
      <c r="S67" s="150">
        <f t="shared" si="5"/>
        <v>0</v>
      </c>
      <c r="T67" s="150"/>
      <c r="U67" s="150"/>
      <c r="V67" s="150"/>
    </row>
    <row r="68" spans="1:22" x14ac:dyDescent="0.25">
      <c r="A68" s="175"/>
      <c r="B68" s="175"/>
      <c r="C68" s="175"/>
      <c r="D68" s="175"/>
      <c r="E68" s="175"/>
      <c r="F68" s="169"/>
      <c r="G68" s="169" t="str">
        <f>G67</f>
        <v>2016-2017</v>
      </c>
      <c r="H68" s="169"/>
      <c r="I68" s="170">
        <f>SUM(I56:I67)</f>
        <v>0</v>
      </c>
      <c r="J68" s="170">
        <f t="shared" ref="J68:M68" si="31">SUM(J56:J67)</f>
        <v>0</v>
      </c>
      <c r="K68" s="170">
        <f t="shared" si="31"/>
        <v>0</v>
      </c>
      <c r="L68" s="170">
        <f t="shared" si="31"/>
        <v>0</v>
      </c>
      <c r="M68" s="170">
        <f t="shared" si="31"/>
        <v>0</v>
      </c>
      <c r="N68" s="170">
        <f>SUM(N56:N67)</f>
        <v>0</v>
      </c>
      <c r="O68" s="170">
        <f>O67+Q68</f>
        <v>0</v>
      </c>
      <c r="P68" s="171"/>
      <c r="Q68" s="170">
        <f>SUM(Q56:Q67)</f>
        <v>0</v>
      </c>
      <c r="R68" s="169"/>
      <c r="S68" s="150">
        <f t="shared" si="5"/>
        <v>0</v>
      </c>
      <c r="T68" s="150"/>
      <c r="U68" s="150"/>
      <c r="V68" s="150"/>
    </row>
    <row r="69" spans="1:22" x14ac:dyDescent="0.25">
      <c r="A69" s="150"/>
      <c r="B69" s="150"/>
      <c r="C69" s="150"/>
      <c r="D69" s="150"/>
      <c r="E69" s="150"/>
      <c r="F69" s="161" t="s">
        <v>534</v>
      </c>
      <c r="G69" s="161" t="str">
        <f>CONCATENATE(RIGHT(G56,4),"-",RIGHT(G56,4)+1)</f>
        <v>2017-2018</v>
      </c>
      <c r="H69" s="161" t="str">
        <f>CONCATENATE(F69,"-",RIGHT(LEFT(G69,4),2))</f>
        <v>Apr-17</v>
      </c>
      <c r="I69" s="162"/>
      <c r="J69" s="163"/>
      <c r="K69" s="163"/>
      <c r="L69" s="163"/>
      <c r="M69" s="163"/>
      <c r="N69" s="163">
        <f>I69+J69+L69+M69-K69</f>
        <v>0</v>
      </c>
      <c r="O69" s="163">
        <f t="shared" ref="O69:O80" si="32">O68+N69</f>
        <v>0</v>
      </c>
      <c r="P69" s="164">
        <v>7.9000000000000001E-2</v>
      </c>
      <c r="Q69" s="163">
        <f>O69*P69/12</f>
        <v>0</v>
      </c>
      <c r="R69" s="150"/>
      <c r="S69" s="150">
        <f t="shared" ref="S69:S132" si="33">IF(OR(R69="",R69="ok"),0,1)</f>
        <v>0</v>
      </c>
      <c r="T69" s="150"/>
      <c r="U69" s="150"/>
      <c r="V69" s="150"/>
    </row>
    <row r="70" spans="1:22" x14ac:dyDescent="0.25">
      <c r="A70" s="150"/>
      <c r="B70" s="150"/>
      <c r="C70" s="150"/>
      <c r="D70" s="150"/>
      <c r="E70" s="150"/>
      <c r="F70" s="161" t="s">
        <v>520</v>
      </c>
      <c r="G70" s="161" t="str">
        <f t="shared" ref="G70:G79" si="34">G69</f>
        <v>2017-2018</v>
      </c>
      <c r="H70" s="161" t="str">
        <f t="shared" ref="H70:H77" si="35">CONCATENATE(F70,"-",RIGHT(LEFT(G70,4),2))</f>
        <v>May-17</v>
      </c>
      <c r="I70" s="162"/>
      <c r="J70" s="163"/>
      <c r="K70" s="163"/>
      <c r="L70" s="163"/>
      <c r="M70" s="163"/>
      <c r="N70" s="163">
        <f t="shared" ref="N70:N80" si="36">I70+J70+L70+M70-K70</f>
        <v>0</v>
      </c>
      <c r="O70" s="163">
        <f t="shared" si="32"/>
        <v>0</v>
      </c>
      <c r="P70" s="164">
        <v>7.9000000000000001E-2</v>
      </c>
      <c r="Q70" s="163">
        <f t="shared" ref="Q70:Q80" si="37">O70*P70/12</f>
        <v>0</v>
      </c>
      <c r="R70" s="150"/>
      <c r="S70" s="150">
        <f t="shared" si="33"/>
        <v>0</v>
      </c>
      <c r="T70" s="150"/>
      <c r="U70" s="150"/>
      <c r="V70" s="150"/>
    </row>
    <row r="71" spans="1:22" x14ac:dyDescent="0.25">
      <c r="A71" s="150"/>
      <c r="B71" s="150"/>
      <c r="C71" s="150"/>
      <c r="D71" s="150"/>
      <c r="E71" s="150"/>
      <c r="F71" s="161" t="s">
        <v>535</v>
      </c>
      <c r="G71" s="161" t="str">
        <f t="shared" si="34"/>
        <v>2017-2018</v>
      </c>
      <c r="H71" s="161" t="str">
        <f t="shared" si="35"/>
        <v>Jun-17</v>
      </c>
      <c r="I71" s="162"/>
      <c r="J71" s="163"/>
      <c r="K71" s="163"/>
      <c r="L71" s="163"/>
      <c r="M71" s="163"/>
      <c r="N71" s="163">
        <f t="shared" si="36"/>
        <v>0</v>
      </c>
      <c r="O71" s="163">
        <f t="shared" si="32"/>
        <v>0</v>
      </c>
      <c r="P71" s="164">
        <v>7.9000000000000001E-2</v>
      </c>
      <c r="Q71" s="163">
        <f t="shared" si="37"/>
        <v>0</v>
      </c>
      <c r="R71" s="150"/>
      <c r="S71" s="150">
        <f t="shared" si="33"/>
        <v>0</v>
      </c>
      <c r="T71" s="150"/>
      <c r="U71" s="150"/>
      <c r="V71" s="150"/>
    </row>
    <row r="72" spans="1:22" x14ac:dyDescent="0.25">
      <c r="A72" s="150"/>
      <c r="B72" s="150"/>
      <c r="C72" s="150"/>
      <c r="D72" s="150"/>
      <c r="E72" s="150"/>
      <c r="F72" s="161" t="s">
        <v>536</v>
      </c>
      <c r="G72" s="161" t="str">
        <f t="shared" si="34"/>
        <v>2017-2018</v>
      </c>
      <c r="H72" s="161" t="str">
        <f t="shared" si="35"/>
        <v>Jul-17</v>
      </c>
      <c r="I72" s="162"/>
      <c r="J72" s="163"/>
      <c r="K72" s="163"/>
      <c r="L72" s="163"/>
      <c r="M72" s="163"/>
      <c r="N72" s="163">
        <f t="shared" si="36"/>
        <v>0</v>
      </c>
      <c r="O72" s="163">
        <f t="shared" si="32"/>
        <v>0</v>
      </c>
      <c r="P72" s="164">
        <v>7.8E-2</v>
      </c>
      <c r="Q72" s="163">
        <f t="shared" si="37"/>
        <v>0</v>
      </c>
      <c r="R72" s="150"/>
      <c r="S72" s="150">
        <f t="shared" si="33"/>
        <v>0</v>
      </c>
      <c r="T72" s="150"/>
      <c r="U72" s="150"/>
      <c r="V72" s="150"/>
    </row>
    <row r="73" spans="1:22" x14ac:dyDescent="0.25">
      <c r="A73" s="150"/>
      <c r="B73" s="150"/>
      <c r="C73" s="150"/>
      <c r="D73" s="150"/>
      <c r="E73" s="150"/>
      <c r="F73" s="161" t="s">
        <v>523</v>
      </c>
      <c r="G73" s="161" t="str">
        <f t="shared" si="34"/>
        <v>2017-2018</v>
      </c>
      <c r="H73" s="161" t="str">
        <f t="shared" si="35"/>
        <v>Aug-17</v>
      </c>
      <c r="I73" s="162"/>
      <c r="J73" s="163"/>
      <c r="K73" s="163"/>
      <c r="L73" s="163"/>
      <c r="M73" s="163"/>
      <c r="N73" s="163">
        <f t="shared" si="36"/>
        <v>0</v>
      </c>
      <c r="O73" s="163">
        <f t="shared" si="32"/>
        <v>0</v>
      </c>
      <c r="P73" s="164">
        <v>7.8E-2</v>
      </c>
      <c r="Q73" s="163">
        <f t="shared" si="37"/>
        <v>0</v>
      </c>
      <c r="R73" s="150"/>
      <c r="S73" s="150">
        <f t="shared" si="33"/>
        <v>0</v>
      </c>
      <c r="T73" s="150"/>
      <c r="U73" s="150"/>
      <c r="V73" s="150"/>
    </row>
    <row r="74" spans="1:22" x14ac:dyDescent="0.25">
      <c r="A74" s="150"/>
      <c r="B74" s="150"/>
      <c r="C74" s="150"/>
      <c r="D74" s="150"/>
      <c r="E74" s="150"/>
      <c r="F74" s="161" t="s">
        <v>537</v>
      </c>
      <c r="G74" s="161" t="str">
        <f t="shared" si="34"/>
        <v>2017-2018</v>
      </c>
      <c r="H74" s="161" t="str">
        <f t="shared" si="35"/>
        <v>Sep-17</v>
      </c>
      <c r="I74" s="162"/>
      <c r="J74" s="163"/>
      <c r="K74" s="163"/>
      <c r="L74" s="163"/>
      <c r="M74" s="163"/>
      <c r="N74" s="163">
        <f t="shared" si="36"/>
        <v>0</v>
      </c>
      <c r="O74" s="163">
        <f t="shared" si="32"/>
        <v>0</v>
      </c>
      <c r="P74" s="164">
        <v>7.8E-2</v>
      </c>
      <c r="Q74" s="163">
        <f t="shared" si="37"/>
        <v>0</v>
      </c>
      <c r="R74" s="150"/>
      <c r="S74" s="150">
        <f t="shared" si="33"/>
        <v>0</v>
      </c>
      <c r="T74" s="150"/>
      <c r="U74" s="150"/>
      <c r="V74" s="150"/>
    </row>
    <row r="75" spans="1:22" x14ac:dyDescent="0.25">
      <c r="A75" s="150"/>
      <c r="B75" s="150"/>
      <c r="C75" s="150"/>
      <c r="D75" s="150"/>
      <c r="E75" s="150"/>
      <c r="F75" s="161" t="s">
        <v>525</v>
      </c>
      <c r="G75" s="161" t="str">
        <f t="shared" si="34"/>
        <v>2017-2018</v>
      </c>
      <c r="H75" s="161" t="str">
        <f t="shared" si="35"/>
        <v>Oct-17</v>
      </c>
      <c r="I75" s="162"/>
      <c r="J75" s="163"/>
      <c r="K75" s="163"/>
      <c r="L75" s="163"/>
      <c r="M75" s="163"/>
      <c r="N75" s="163">
        <f t="shared" si="36"/>
        <v>0</v>
      </c>
      <c r="O75" s="163">
        <f t="shared" si="32"/>
        <v>0</v>
      </c>
      <c r="P75" s="164">
        <v>7.8E-2</v>
      </c>
      <c r="Q75" s="163">
        <f t="shared" si="37"/>
        <v>0</v>
      </c>
      <c r="R75" s="150"/>
      <c r="S75" s="150">
        <f t="shared" si="33"/>
        <v>0</v>
      </c>
      <c r="T75" s="150"/>
      <c r="U75" s="150"/>
      <c r="V75" s="150"/>
    </row>
    <row r="76" spans="1:22" x14ac:dyDescent="0.25">
      <c r="A76" s="150"/>
      <c r="B76" s="150"/>
      <c r="C76" s="150"/>
      <c r="D76" s="150"/>
      <c r="E76" s="150"/>
      <c r="F76" s="161" t="s">
        <v>526</v>
      </c>
      <c r="G76" s="161" t="str">
        <f t="shared" si="34"/>
        <v>2017-2018</v>
      </c>
      <c r="H76" s="161" t="str">
        <f t="shared" si="35"/>
        <v>Nov-17</v>
      </c>
      <c r="I76" s="162"/>
      <c r="J76" s="163"/>
      <c r="K76" s="163"/>
      <c r="L76" s="163"/>
      <c r="M76" s="163"/>
      <c r="N76" s="163">
        <f t="shared" si="36"/>
        <v>0</v>
      </c>
      <c r="O76" s="163">
        <f t="shared" si="32"/>
        <v>0</v>
      </c>
      <c r="P76" s="164">
        <v>7.8E-2</v>
      </c>
      <c r="Q76" s="163">
        <f t="shared" si="37"/>
        <v>0</v>
      </c>
      <c r="R76" s="150"/>
      <c r="S76" s="150">
        <f t="shared" si="33"/>
        <v>0</v>
      </c>
      <c r="T76" s="150"/>
      <c r="U76" s="150"/>
      <c r="V76" s="150"/>
    </row>
    <row r="77" spans="1:22" x14ac:dyDescent="0.25">
      <c r="A77" s="150"/>
      <c r="B77" s="150"/>
      <c r="C77" s="150"/>
      <c r="D77" s="150"/>
      <c r="E77" s="150"/>
      <c r="F77" s="161" t="s">
        <v>527</v>
      </c>
      <c r="G77" s="161" t="str">
        <f t="shared" si="34"/>
        <v>2017-2018</v>
      </c>
      <c r="H77" s="161" t="str">
        <f t="shared" si="35"/>
        <v>Dec-17</v>
      </c>
      <c r="I77" s="162"/>
      <c r="J77" s="163"/>
      <c r="K77" s="163"/>
      <c r="L77" s="163"/>
      <c r="M77" s="163"/>
      <c r="N77" s="163">
        <f t="shared" si="36"/>
        <v>0</v>
      </c>
      <c r="O77" s="163">
        <f t="shared" si="32"/>
        <v>0</v>
      </c>
      <c r="P77" s="164">
        <v>7.8E-2</v>
      </c>
      <c r="Q77" s="163">
        <f t="shared" si="37"/>
        <v>0</v>
      </c>
      <c r="R77" s="150"/>
      <c r="S77" s="150">
        <f t="shared" si="33"/>
        <v>0</v>
      </c>
      <c r="T77" s="150"/>
      <c r="U77" s="150"/>
      <c r="V77" s="150"/>
    </row>
    <row r="78" spans="1:22" x14ac:dyDescent="0.25">
      <c r="A78" s="150"/>
      <c r="B78" s="150"/>
      <c r="C78" s="150"/>
      <c r="D78" s="150"/>
      <c r="E78" s="150"/>
      <c r="F78" s="161" t="s">
        <v>528</v>
      </c>
      <c r="G78" s="161" t="str">
        <f t="shared" si="34"/>
        <v>2017-2018</v>
      </c>
      <c r="H78" s="161" t="str">
        <f>CONCATENATE(F78,"-",RIGHT(RIGHT(G78,4),2))</f>
        <v>Jan-18</v>
      </c>
      <c r="I78" s="162"/>
      <c r="J78" s="163"/>
      <c r="K78" s="163"/>
      <c r="L78" s="163"/>
      <c r="M78" s="163"/>
      <c r="N78" s="163">
        <f t="shared" si="36"/>
        <v>0</v>
      </c>
      <c r="O78" s="163">
        <f t="shared" si="32"/>
        <v>0</v>
      </c>
      <c r="P78" s="164">
        <v>7.5999999999999998E-2</v>
      </c>
      <c r="Q78" s="163">
        <f t="shared" si="37"/>
        <v>0</v>
      </c>
      <c r="R78" s="150"/>
      <c r="S78" s="150">
        <f t="shared" si="33"/>
        <v>0</v>
      </c>
      <c r="T78" s="150"/>
      <c r="U78" s="150"/>
      <c r="V78" s="150"/>
    </row>
    <row r="79" spans="1:22" x14ac:dyDescent="0.25">
      <c r="A79" s="150"/>
      <c r="B79" s="150"/>
      <c r="C79" s="150"/>
      <c r="D79" s="150"/>
      <c r="E79" s="150"/>
      <c r="F79" s="161" t="s">
        <v>529</v>
      </c>
      <c r="G79" s="161" t="str">
        <f t="shared" si="34"/>
        <v>2017-2018</v>
      </c>
      <c r="H79" s="161" t="str">
        <f>CONCATENATE(F79,"-",RIGHT(RIGHT(G79,4),2))</f>
        <v>Feb-18</v>
      </c>
      <c r="I79" s="162"/>
      <c r="J79" s="163"/>
      <c r="K79" s="163"/>
      <c r="L79" s="163"/>
      <c r="M79" s="163"/>
      <c r="N79" s="163">
        <f t="shared" si="36"/>
        <v>0</v>
      </c>
      <c r="O79" s="163">
        <f t="shared" si="32"/>
        <v>0</v>
      </c>
      <c r="P79" s="164">
        <v>7.5999999999999998E-2</v>
      </c>
      <c r="Q79" s="163">
        <f t="shared" si="37"/>
        <v>0</v>
      </c>
      <c r="R79" s="150"/>
      <c r="S79" s="150">
        <f t="shared" si="33"/>
        <v>0</v>
      </c>
      <c r="T79" s="150"/>
      <c r="U79" s="150"/>
      <c r="V79" s="150"/>
    </row>
    <row r="80" spans="1:22" x14ac:dyDescent="0.25">
      <c r="A80" s="150"/>
      <c r="B80" s="150"/>
      <c r="C80" s="150"/>
      <c r="D80" s="150"/>
      <c r="E80" s="150"/>
      <c r="F80" s="161" t="s">
        <v>533</v>
      </c>
      <c r="G80" s="161" t="str">
        <f>G79</f>
        <v>2017-2018</v>
      </c>
      <c r="H80" s="161" t="str">
        <f>CONCATENATE(F80,"-",RIGHT(RIGHT(G80,4),2))</f>
        <v>Mar-18</v>
      </c>
      <c r="I80" s="162"/>
      <c r="J80" s="163"/>
      <c r="K80" s="163"/>
      <c r="L80" s="163"/>
      <c r="M80" s="163"/>
      <c r="N80" s="163">
        <f t="shared" si="36"/>
        <v>0</v>
      </c>
      <c r="O80" s="163">
        <f t="shared" si="32"/>
        <v>0</v>
      </c>
      <c r="P80" s="164">
        <v>7.5999999999999998E-2</v>
      </c>
      <c r="Q80" s="163">
        <f t="shared" si="37"/>
        <v>0</v>
      </c>
      <c r="R80" s="150"/>
      <c r="S80" s="150">
        <f t="shared" si="33"/>
        <v>0</v>
      </c>
      <c r="T80" s="150"/>
      <c r="U80" s="150"/>
      <c r="V80" s="150"/>
    </row>
    <row r="81" spans="1:22" x14ac:dyDescent="0.25">
      <c r="A81" s="175"/>
      <c r="B81" s="175"/>
      <c r="C81" s="175"/>
      <c r="D81" s="175"/>
      <c r="E81" s="175"/>
      <c r="F81" s="169"/>
      <c r="G81" s="169" t="str">
        <f>G80</f>
        <v>2017-2018</v>
      </c>
      <c r="H81" s="169"/>
      <c r="I81" s="170">
        <f>SUM(I69:I80)</f>
        <v>0</v>
      </c>
      <c r="J81" s="170">
        <f t="shared" ref="J81" si="38">SUM(J69:J80)</f>
        <v>0</v>
      </c>
      <c r="K81" s="170">
        <f t="shared" ref="K81" si="39">SUM(K69:K80)</f>
        <v>0</v>
      </c>
      <c r="L81" s="170">
        <f t="shared" ref="L81" si="40">SUM(L69:L80)</f>
        <v>0</v>
      </c>
      <c r="M81" s="170">
        <f t="shared" ref="M81" si="41">SUM(M69:M80)</f>
        <v>0</v>
      </c>
      <c r="N81" s="170">
        <f>SUM(N69:N80)</f>
        <v>0</v>
      </c>
      <c r="O81" s="170">
        <f>O80+Q81</f>
        <v>0</v>
      </c>
      <c r="P81" s="171"/>
      <c r="Q81" s="170">
        <f>SUM(Q69:Q80)</f>
        <v>0</v>
      </c>
      <c r="R81" s="169"/>
      <c r="S81" s="150">
        <f t="shared" si="33"/>
        <v>0</v>
      </c>
      <c r="T81" s="150"/>
      <c r="U81" s="150"/>
      <c r="V81" s="150"/>
    </row>
    <row r="82" spans="1:22" x14ac:dyDescent="0.25">
      <c r="A82" s="150"/>
      <c r="B82" s="150"/>
      <c r="C82" s="150"/>
      <c r="D82" s="150"/>
      <c r="E82" s="150"/>
      <c r="F82" s="161" t="s">
        <v>534</v>
      </c>
      <c r="G82" s="161" t="str">
        <f>CONCATENATE(RIGHT(G69,4),"-",RIGHT(G69,4)+1)</f>
        <v>2018-2019</v>
      </c>
      <c r="H82" s="161" t="str">
        <f>CONCATENATE(F82,"-",RIGHT(LEFT(G82,4),2))</f>
        <v>Apr-18</v>
      </c>
      <c r="I82" s="162"/>
      <c r="J82" s="163"/>
      <c r="K82" s="163"/>
      <c r="L82" s="163"/>
      <c r="M82" s="163"/>
      <c r="N82" s="163">
        <f>I82+J82+L82+M82-K82</f>
        <v>0</v>
      </c>
      <c r="O82" s="163">
        <f t="shared" ref="O82:O93" si="42">O81+N82</f>
        <v>0</v>
      </c>
      <c r="P82" s="164">
        <v>7.5999999999999998E-2</v>
      </c>
      <c r="Q82" s="163">
        <f>O82*P82/12</f>
        <v>0</v>
      </c>
      <c r="R82" s="150"/>
      <c r="S82" s="150">
        <f t="shared" si="33"/>
        <v>0</v>
      </c>
      <c r="T82" s="150"/>
      <c r="U82" s="150"/>
      <c r="V82" s="150"/>
    </row>
    <row r="83" spans="1:22" x14ac:dyDescent="0.25">
      <c r="A83" s="150"/>
      <c r="B83" s="150"/>
      <c r="C83" s="150"/>
      <c r="D83" s="150"/>
      <c r="E83" s="150"/>
      <c r="F83" s="161" t="s">
        <v>520</v>
      </c>
      <c r="G83" s="161" t="str">
        <f t="shared" ref="G83:G92" si="43">G82</f>
        <v>2018-2019</v>
      </c>
      <c r="H83" s="161" t="str">
        <f t="shared" ref="H83:H90" si="44">CONCATENATE(F83,"-",RIGHT(LEFT(G83,4),2))</f>
        <v>May-18</v>
      </c>
      <c r="I83" s="162"/>
      <c r="J83" s="163"/>
      <c r="K83" s="163"/>
      <c r="L83" s="163"/>
      <c r="M83" s="163"/>
      <c r="N83" s="163">
        <f t="shared" ref="N83:N93" si="45">I83+J83+L83+M83-K83</f>
        <v>0</v>
      </c>
      <c r="O83" s="163">
        <f t="shared" si="42"/>
        <v>0</v>
      </c>
      <c r="P83" s="164">
        <v>7.5999999999999998E-2</v>
      </c>
      <c r="Q83" s="163">
        <f t="shared" ref="Q83:Q93" si="46">O83*P83/12</f>
        <v>0</v>
      </c>
      <c r="R83" s="150"/>
      <c r="S83" s="150">
        <f t="shared" si="33"/>
        <v>0</v>
      </c>
      <c r="T83" s="150"/>
      <c r="U83" s="150"/>
      <c r="V83" s="150"/>
    </row>
    <row r="84" spans="1:22" x14ac:dyDescent="0.25">
      <c r="A84" s="150"/>
      <c r="B84" s="150"/>
      <c r="C84" s="150"/>
      <c r="D84" s="150"/>
      <c r="E84" s="150"/>
      <c r="F84" s="161" t="s">
        <v>535</v>
      </c>
      <c r="G84" s="161" t="str">
        <f t="shared" si="43"/>
        <v>2018-2019</v>
      </c>
      <c r="H84" s="161" t="str">
        <f t="shared" si="44"/>
        <v>Jun-18</v>
      </c>
      <c r="I84" s="162"/>
      <c r="J84" s="163"/>
      <c r="K84" s="163"/>
      <c r="L84" s="163"/>
      <c r="M84" s="163"/>
      <c r="N84" s="163">
        <f t="shared" si="45"/>
        <v>0</v>
      </c>
      <c r="O84" s="163">
        <f t="shared" si="42"/>
        <v>0</v>
      </c>
      <c r="P84" s="164">
        <v>7.5999999999999998E-2</v>
      </c>
      <c r="Q84" s="163">
        <f t="shared" si="46"/>
        <v>0</v>
      </c>
      <c r="R84" s="150"/>
      <c r="S84" s="150">
        <f t="shared" si="33"/>
        <v>0</v>
      </c>
      <c r="T84" s="150"/>
      <c r="U84" s="150"/>
      <c r="V84" s="150"/>
    </row>
    <row r="85" spans="1:22" x14ac:dyDescent="0.25">
      <c r="A85" s="150"/>
      <c r="B85" s="150"/>
      <c r="C85" s="150"/>
      <c r="D85" s="150"/>
      <c r="E85" s="150"/>
      <c r="F85" s="161" t="s">
        <v>536</v>
      </c>
      <c r="G85" s="161" t="str">
        <f t="shared" si="43"/>
        <v>2018-2019</v>
      </c>
      <c r="H85" s="161" t="str">
        <f t="shared" si="44"/>
        <v>Jul-18</v>
      </c>
      <c r="I85" s="162"/>
      <c r="J85" s="163"/>
      <c r="K85" s="163"/>
      <c r="L85" s="163"/>
      <c r="M85" s="163"/>
      <c r="N85" s="163">
        <f t="shared" si="45"/>
        <v>0</v>
      </c>
      <c r="O85" s="163">
        <f t="shared" si="42"/>
        <v>0</v>
      </c>
      <c r="P85" s="164">
        <v>7.5999999999999998E-2</v>
      </c>
      <c r="Q85" s="163">
        <f t="shared" si="46"/>
        <v>0</v>
      </c>
      <c r="R85" s="150"/>
      <c r="S85" s="150">
        <f t="shared" si="33"/>
        <v>0</v>
      </c>
      <c r="T85" s="150"/>
      <c r="U85" s="150"/>
      <c r="V85" s="150"/>
    </row>
    <row r="86" spans="1:22" x14ac:dyDescent="0.25">
      <c r="A86" s="150"/>
      <c r="B86" s="150"/>
      <c r="C86" s="150"/>
      <c r="D86" s="150"/>
      <c r="E86" s="150"/>
      <c r="F86" s="161" t="s">
        <v>523</v>
      </c>
      <c r="G86" s="161" t="str">
        <f t="shared" si="43"/>
        <v>2018-2019</v>
      </c>
      <c r="H86" s="161" t="str">
        <f t="shared" si="44"/>
        <v>Aug-18</v>
      </c>
      <c r="I86" s="162"/>
      <c r="J86" s="163"/>
      <c r="K86" s="163"/>
      <c r="L86" s="163"/>
      <c r="M86" s="163"/>
      <c r="N86" s="163">
        <f t="shared" si="45"/>
        <v>0</v>
      </c>
      <c r="O86" s="163">
        <f t="shared" si="42"/>
        <v>0</v>
      </c>
      <c r="P86" s="164">
        <v>7.5999999999999998E-2</v>
      </c>
      <c r="Q86" s="163">
        <f t="shared" si="46"/>
        <v>0</v>
      </c>
      <c r="R86" s="150"/>
      <c r="S86" s="150">
        <f t="shared" si="33"/>
        <v>0</v>
      </c>
      <c r="T86" s="150"/>
      <c r="U86" s="150"/>
      <c r="V86" s="150"/>
    </row>
    <row r="87" spans="1:22" x14ac:dyDescent="0.25">
      <c r="A87" s="150"/>
      <c r="B87" s="150"/>
      <c r="C87" s="150"/>
      <c r="D87" s="150"/>
      <c r="E87" s="150"/>
      <c r="F87" s="161" t="s">
        <v>537</v>
      </c>
      <c r="G87" s="161" t="str">
        <f t="shared" si="43"/>
        <v>2018-2019</v>
      </c>
      <c r="H87" s="161" t="str">
        <f t="shared" si="44"/>
        <v>Sep-18</v>
      </c>
      <c r="I87" s="162"/>
      <c r="J87" s="163"/>
      <c r="K87" s="163"/>
      <c r="L87" s="163"/>
      <c r="M87" s="163"/>
      <c r="N87" s="163">
        <f t="shared" si="45"/>
        <v>0</v>
      </c>
      <c r="O87" s="163">
        <f t="shared" si="42"/>
        <v>0</v>
      </c>
      <c r="P87" s="164">
        <v>7.5999999999999998E-2</v>
      </c>
      <c r="Q87" s="163">
        <f t="shared" si="46"/>
        <v>0</v>
      </c>
      <c r="R87" s="150"/>
      <c r="S87" s="150">
        <f t="shared" si="33"/>
        <v>0</v>
      </c>
      <c r="T87" s="150"/>
      <c r="U87" s="150"/>
      <c r="V87" s="150"/>
    </row>
    <row r="88" spans="1:22" x14ac:dyDescent="0.25">
      <c r="A88" s="150"/>
      <c r="B88" s="150"/>
      <c r="C88" s="150"/>
      <c r="D88" s="150"/>
      <c r="E88" s="150"/>
      <c r="F88" s="161" t="s">
        <v>525</v>
      </c>
      <c r="G88" s="161" t="str">
        <f t="shared" si="43"/>
        <v>2018-2019</v>
      </c>
      <c r="H88" s="161" t="str">
        <f t="shared" si="44"/>
        <v>Oct-18</v>
      </c>
      <c r="I88" s="162"/>
      <c r="J88" s="163"/>
      <c r="K88" s="163"/>
      <c r="L88" s="163"/>
      <c r="M88" s="163"/>
      <c r="N88" s="163">
        <f t="shared" si="45"/>
        <v>0</v>
      </c>
      <c r="O88" s="163">
        <f t="shared" si="42"/>
        <v>0</v>
      </c>
      <c r="P88" s="164">
        <v>0.08</v>
      </c>
      <c r="Q88" s="163">
        <f t="shared" si="46"/>
        <v>0</v>
      </c>
      <c r="R88" s="150"/>
      <c r="S88" s="150">
        <f t="shared" si="33"/>
        <v>0</v>
      </c>
      <c r="T88" s="150"/>
      <c r="U88" s="150"/>
      <c r="V88" s="150"/>
    </row>
    <row r="89" spans="1:22" x14ac:dyDescent="0.25">
      <c r="A89" s="150"/>
      <c r="B89" s="150"/>
      <c r="C89" s="150"/>
      <c r="D89" s="150"/>
      <c r="E89" s="150"/>
      <c r="F89" s="161" t="s">
        <v>526</v>
      </c>
      <c r="G89" s="161" t="str">
        <f t="shared" si="43"/>
        <v>2018-2019</v>
      </c>
      <c r="H89" s="161" t="str">
        <f t="shared" si="44"/>
        <v>Nov-18</v>
      </c>
      <c r="I89" s="162"/>
      <c r="J89" s="163"/>
      <c r="K89" s="163"/>
      <c r="L89" s="163"/>
      <c r="M89" s="163"/>
      <c r="N89" s="163">
        <f t="shared" si="45"/>
        <v>0</v>
      </c>
      <c r="O89" s="163">
        <f t="shared" si="42"/>
        <v>0</v>
      </c>
      <c r="P89" s="164">
        <v>0.08</v>
      </c>
      <c r="Q89" s="163">
        <f t="shared" si="46"/>
        <v>0</v>
      </c>
      <c r="R89" s="150"/>
      <c r="S89" s="150">
        <f t="shared" si="33"/>
        <v>0</v>
      </c>
      <c r="T89" s="150"/>
      <c r="U89" s="150"/>
      <c r="V89" s="150"/>
    </row>
    <row r="90" spans="1:22" x14ac:dyDescent="0.25">
      <c r="A90" s="150"/>
      <c r="B90" s="150"/>
      <c r="C90" s="150"/>
      <c r="D90" s="150"/>
      <c r="E90" s="150"/>
      <c r="F90" s="161" t="s">
        <v>527</v>
      </c>
      <c r="G90" s="161" t="str">
        <f t="shared" si="43"/>
        <v>2018-2019</v>
      </c>
      <c r="H90" s="161" t="str">
        <f t="shared" si="44"/>
        <v>Dec-18</v>
      </c>
      <c r="I90" s="162"/>
      <c r="J90" s="163"/>
      <c r="K90" s="163"/>
      <c r="L90" s="163"/>
      <c r="M90" s="163"/>
      <c r="N90" s="163">
        <f t="shared" si="45"/>
        <v>0</v>
      </c>
      <c r="O90" s="163">
        <f t="shared" si="42"/>
        <v>0</v>
      </c>
      <c r="P90" s="164">
        <v>0.08</v>
      </c>
      <c r="Q90" s="163">
        <f t="shared" si="46"/>
        <v>0</v>
      </c>
      <c r="R90" s="150"/>
      <c r="S90" s="150">
        <f t="shared" si="33"/>
        <v>0</v>
      </c>
      <c r="T90" s="150"/>
      <c r="U90" s="150"/>
      <c r="V90" s="150"/>
    </row>
    <row r="91" spans="1:22" x14ac:dyDescent="0.25">
      <c r="A91" s="150"/>
      <c r="B91" s="150"/>
      <c r="C91" s="150"/>
      <c r="D91" s="150"/>
      <c r="E91" s="150"/>
      <c r="F91" s="161" t="s">
        <v>528</v>
      </c>
      <c r="G91" s="161" t="str">
        <f t="shared" si="43"/>
        <v>2018-2019</v>
      </c>
      <c r="H91" s="161" t="str">
        <f>CONCATENATE(F91,"-",RIGHT(RIGHT(G91,4),2))</f>
        <v>Jan-19</v>
      </c>
      <c r="I91" s="162"/>
      <c r="J91" s="163"/>
      <c r="K91" s="163"/>
      <c r="L91" s="163"/>
      <c r="M91" s="163"/>
      <c r="N91" s="163">
        <f t="shared" si="45"/>
        <v>0</v>
      </c>
      <c r="O91" s="163">
        <f t="shared" si="42"/>
        <v>0</v>
      </c>
      <c r="P91" s="164">
        <v>0.08</v>
      </c>
      <c r="Q91" s="163">
        <f t="shared" si="46"/>
        <v>0</v>
      </c>
      <c r="R91" s="150"/>
      <c r="S91" s="150">
        <f t="shared" si="33"/>
        <v>0</v>
      </c>
      <c r="T91" s="150"/>
      <c r="U91" s="150"/>
      <c r="V91" s="150"/>
    </row>
    <row r="92" spans="1:22" x14ac:dyDescent="0.25">
      <c r="A92" s="150"/>
      <c r="B92" s="150"/>
      <c r="C92" s="150"/>
      <c r="D92" s="150"/>
      <c r="E92" s="150"/>
      <c r="F92" s="161" t="s">
        <v>529</v>
      </c>
      <c r="G92" s="161" t="str">
        <f t="shared" si="43"/>
        <v>2018-2019</v>
      </c>
      <c r="H92" s="161" t="str">
        <f>CONCATENATE(F92,"-",RIGHT(RIGHT(G92,4),2))</f>
        <v>Feb-19</v>
      </c>
      <c r="I92" s="162"/>
      <c r="J92" s="163"/>
      <c r="K92" s="163"/>
      <c r="L92" s="163"/>
      <c r="M92" s="163"/>
      <c r="N92" s="163">
        <f t="shared" si="45"/>
        <v>0</v>
      </c>
      <c r="O92" s="163">
        <f t="shared" si="42"/>
        <v>0</v>
      </c>
      <c r="P92" s="164">
        <v>0.08</v>
      </c>
      <c r="Q92" s="163">
        <f t="shared" si="46"/>
        <v>0</v>
      </c>
      <c r="R92" s="150"/>
      <c r="S92" s="150">
        <f t="shared" si="33"/>
        <v>0</v>
      </c>
      <c r="T92" s="150"/>
      <c r="U92" s="150"/>
      <c r="V92" s="150"/>
    </row>
    <row r="93" spans="1:22" x14ac:dyDescent="0.25">
      <c r="A93" s="150"/>
      <c r="B93" s="150"/>
      <c r="C93" s="150"/>
      <c r="D93" s="150"/>
      <c r="E93" s="150"/>
      <c r="F93" s="161" t="s">
        <v>533</v>
      </c>
      <c r="G93" s="161" t="str">
        <f>G92</f>
        <v>2018-2019</v>
      </c>
      <c r="H93" s="161" t="str">
        <f>CONCATENATE(F93,"-",RIGHT(RIGHT(G93,4),2))</f>
        <v>Mar-19</v>
      </c>
      <c r="I93" s="162"/>
      <c r="J93" s="163"/>
      <c r="K93" s="163"/>
      <c r="L93" s="163"/>
      <c r="M93" s="163"/>
      <c r="N93" s="163">
        <f t="shared" si="45"/>
        <v>0</v>
      </c>
      <c r="O93" s="163">
        <f t="shared" si="42"/>
        <v>0</v>
      </c>
      <c r="P93" s="164">
        <v>0.08</v>
      </c>
      <c r="Q93" s="163">
        <f t="shared" si="46"/>
        <v>0</v>
      </c>
      <c r="R93" s="150"/>
      <c r="S93" s="150">
        <f t="shared" si="33"/>
        <v>0</v>
      </c>
      <c r="T93" s="150"/>
      <c r="U93" s="150"/>
      <c r="V93" s="150"/>
    </row>
    <row r="94" spans="1:22" x14ac:dyDescent="0.25">
      <c r="A94" s="175"/>
      <c r="B94" s="175"/>
      <c r="C94" s="175"/>
      <c r="D94" s="175"/>
      <c r="E94" s="175"/>
      <c r="F94" s="169"/>
      <c r="G94" s="169" t="str">
        <f>G93</f>
        <v>2018-2019</v>
      </c>
      <c r="H94" s="169"/>
      <c r="I94" s="170">
        <f>SUM(I82:I93)</f>
        <v>0</v>
      </c>
      <c r="J94" s="170">
        <f t="shared" ref="J94" si="47">SUM(J82:J93)</f>
        <v>0</v>
      </c>
      <c r="K94" s="170">
        <f t="shared" ref="K94" si="48">SUM(K82:K93)</f>
        <v>0</v>
      </c>
      <c r="L94" s="170">
        <f t="shared" ref="L94" si="49">SUM(L82:L93)</f>
        <v>0</v>
      </c>
      <c r="M94" s="170">
        <f t="shared" ref="M94" si="50">SUM(M82:M93)</f>
        <v>0</v>
      </c>
      <c r="N94" s="170">
        <f>SUM(N82:N93)</f>
        <v>0</v>
      </c>
      <c r="O94" s="170">
        <f>O93+Q94</f>
        <v>0</v>
      </c>
      <c r="P94" s="171"/>
      <c r="Q94" s="170">
        <f>SUM(Q82:Q93)</f>
        <v>0</v>
      </c>
      <c r="R94" s="169"/>
      <c r="S94" s="150">
        <f t="shared" si="33"/>
        <v>0</v>
      </c>
      <c r="T94" s="150"/>
      <c r="U94" s="150"/>
      <c r="V94" s="150"/>
    </row>
    <row r="95" spans="1:22" x14ac:dyDescent="0.25">
      <c r="A95" s="150"/>
      <c r="B95" s="150"/>
      <c r="C95" s="150"/>
      <c r="D95" s="150"/>
      <c r="E95" s="150"/>
      <c r="F95" s="161" t="s">
        <v>534</v>
      </c>
      <c r="G95" s="161" t="str">
        <f>CONCATENATE(RIGHT(G82,4),"-",RIGHT(G82,4)+1)</f>
        <v>2019-2020</v>
      </c>
      <c r="H95" s="161" t="str">
        <f>CONCATENATE(F95,"-",RIGHT(LEFT(G95,4),2))</f>
        <v>Apr-19</v>
      </c>
      <c r="I95" s="162"/>
      <c r="J95" s="163"/>
      <c r="K95" s="163"/>
      <c r="L95" s="163"/>
      <c r="M95" s="163"/>
      <c r="N95" s="163">
        <f>I95+J95+L95+M95-K95</f>
        <v>0</v>
      </c>
      <c r="O95" s="163">
        <f t="shared" ref="O95:O106" si="51">O94+N95</f>
        <v>0</v>
      </c>
      <c r="P95" s="164">
        <v>0.08</v>
      </c>
      <c r="Q95" s="163">
        <f>O95*P95/12</f>
        <v>0</v>
      </c>
      <c r="R95" s="150"/>
      <c r="S95" s="150">
        <f t="shared" si="33"/>
        <v>0</v>
      </c>
      <c r="T95" s="150"/>
      <c r="U95" s="150"/>
      <c r="V95" s="150"/>
    </row>
    <row r="96" spans="1:22" x14ac:dyDescent="0.25">
      <c r="A96" s="150"/>
      <c r="B96" s="150"/>
      <c r="C96" s="150"/>
      <c r="D96" s="150"/>
      <c r="E96" s="150"/>
      <c r="F96" s="161" t="s">
        <v>520</v>
      </c>
      <c r="G96" s="161" t="str">
        <f t="shared" ref="G96:G105" si="52">G95</f>
        <v>2019-2020</v>
      </c>
      <c r="H96" s="161" t="str">
        <f t="shared" ref="H96:H103" si="53">CONCATENATE(F96,"-",RIGHT(LEFT(G96,4),2))</f>
        <v>May-19</v>
      </c>
      <c r="I96" s="162"/>
      <c r="J96" s="163"/>
      <c r="K96" s="163"/>
      <c r="L96" s="163"/>
      <c r="M96" s="163"/>
      <c r="N96" s="163">
        <f t="shared" ref="N96:N106" si="54">I96+J96+L96+M96-K96</f>
        <v>0</v>
      </c>
      <c r="O96" s="163">
        <f t="shared" si="51"/>
        <v>0</v>
      </c>
      <c r="P96" s="164">
        <v>0.08</v>
      </c>
      <c r="Q96" s="163">
        <f t="shared" ref="Q96:Q106" si="55">O96*P96/12</f>
        <v>0</v>
      </c>
      <c r="R96" s="150"/>
      <c r="S96" s="150">
        <f t="shared" si="33"/>
        <v>0</v>
      </c>
      <c r="T96" s="150"/>
      <c r="U96" s="150"/>
      <c r="V96" s="150"/>
    </row>
    <row r="97" spans="1:22" x14ac:dyDescent="0.25">
      <c r="A97" s="150"/>
      <c r="B97" s="150"/>
      <c r="C97" s="150"/>
      <c r="D97" s="150"/>
      <c r="E97" s="150"/>
      <c r="F97" s="161" t="s">
        <v>535</v>
      </c>
      <c r="G97" s="161" t="str">
        <f t="shared" si="52"/>
        <v>2019-2020</v>
      </c>
      <c r="H97" s="161" t="str">
        <f t="shared" si="53"/>
        <v>Jun-19</v>
      </c>
      <c r="I97" s="162"/>
      <c r="J97" s="163"/>
      <c r="K97" s="163"/>
      <c r="L97" s="163"/>
      <c r="M97" s="163"/>
      <c r="N97" s="163">
        <f t="shared" si="54"/>
        <v>0</v>
      </c>
      <c r="O97" s="163">
        <f t="shared" si="51"/>
        <v>0</v>
      </c>
      <c r="P97" s="164">
        <v>0.08</v>
      </c>
      <c r="Q97" s="163">
        <f t="shared" si="55"/>
        <v>0</v>
      </c>
      <c r="R97" s="150"/>
      <c r="S97" s="150">
        <f t="shared" si="33"/>
        <v>0</v>
      </c>
      <c r="T97" s="150"/>
      <c r="U97" s="150"/>
      <c r="V97" s="150"/>
    </row>
    <row r="98" spans="1:22" x14ac:dyDescent="0.25">
      <c r="A98" s="150"/>
      <c r="B98" s="150"/>
      <c r="C98" s="150"/>
      <c r="D98" s="150"/>
      <c r="E98" s="150"/>
      <c r="F98" s="161" t="s">
        <v>536</v>
      </c>
      <c r="G98" s="161" t="str">
        <f t="shared" si="52"/>
        <v>2019-2020</v>
      </c>
      <c r="H98" s="161" t="str">
        <f t="shared" si="53"/>
        <v>Jul-19</v>
      </c>
      <c r="I98" s="162"/>
      <c r="J98" s="163"/>
      <c r="K98" s="163"/>
      <c r="L98" s="163"/>
      <c r="M98" s="163"/>
      <c r="N98" s="163">
        <f t="shared" si="54"/>
        <v>0</v>
      </c>
      <c r="O98" s="163">
        <f t="shared" si="51"/>
        <v>0</v>
      </c>
      <c r="P98" s="164">
        <v>7.9000000000000001E-2</v>
      </c>
      <c r="Q98" s="163">
        <f t="shared" si="55"/>
        <v>0</v>
      </c>
      <c r="R98" s="150"/>
      <c r="S98" s="150">
        <f t="shared" si="33"/>
        <v>0</v>
      </c>
      <c r="T98" s="150"/>
      <c r="U98" s="150"/>
      <c r="V98" s="150"/>
    </row>
    <row r="99" spans="1:22" x14ac:dyDescent="0.25">
      <c r="A99" s="150"/>
      <c r="B99" s="150"/>
      <c r="C99" s="150"/>
      <c r="D99" s="150"/>
      <c r="E99" s="150"/>
      <c r="F99" s="161" t="s">
        <v>523</v>
      </c>
      <c r="G99" s="161" t="str">
        <f t="shared" si="52"/>
        <v>2019-2020</v>
      </c>
      <c r="H99" s="161" t="str">
        <f t="shared" si="53"/>
        <v>Aug-19</v>
      </c>
      <c r="I99" s="162"/>
      <c r="J99" s="163"/>
      <c r="K99" s="163"/>
      <c r="L99" s="163"/>
      <c r="M99" s="163"/>
      <c r="N99" s="163">
        <f t="shared" si="54"/>
        <v>0</v>
      </c>
      <c r="O99" s="163">
        <f t="shared" si="51"/>
        <v>0</v>
      </c>
      <c r="P99" s="164">
        <v>7.9000000000000001E-2</v>
      </c>
      <c r="Q99" s="163">
        <f t="shared" si="55"/>
        <v>0</v>
      </c>
      <c r="R99" s="150"/>
      <c r="S99" s="150">
        <f t="shared" si="33"/>
        <v>0</v>
      </c>
      <c r="T99" s="150"/>
      <c r="U99" s="150"/>
      <c r="V99" s="150"/>
    </row>
    <row r="100" spans="1:22" x14ac:dyDescent="0.25">
      <c r="A100" s="150"/>
      <c r="B100" s="150"/>
      <c r="C100" s="150"/>
      <c r="D100" s="150"/>
      <c r="E100" s="150"/>
      <c r="F100" s="161" t="s">
        <v>537</v>
      </c>
      <c r="G100" s="161" t="str">
        <f t="shared" si="52"/>
        <v>2019-2020</v>
      </c>
      <c r="H100" s="161" t="str">
        <f t="shared" si="53"/>
        <v>Sep-19</v>
      </c>
      <c r="I100" s="162"/>
      <c r="J100" s="163"/>
      <c r="K100" s="163"/>
      <c r="L100" s="163"/>
      <c r="M100" s="163"/>
      <c r="N100" s="163">
        <f t="shared" si="54"/>
        <v>0</v>
      </c>
      <c r="O100" s="163">
        <f t="shared" si="51"/>
        <v>0</v>
      </c>
      <c r="P100" s="164">
        <v>7.9000000000000001E-2</v>
      </c>
      <c r="Q100" s="163">
        <f t="shared" si="55"/>
        <v>0</v>
      </c>
      <c r="R100" s="150"/>
      <c r="S100" s="150">
        <f t="shared" si="33"/>
        <v>0</v>
      </c>
      <c r="T100" s="150"/>
      <c r="U100" s="150"/>
      <c r="V100" s="150"/>
    </row>
    <row r="101" spans="1:22" x14ac:dyDescent="0.25">
      <c r="A101" s="150"/>
      <c r="B101" s="150"/>
      <c r="C101" s="150"/>
      <c r="D101" s="150"/>
      <c r="E101" s="150"/>
      <c r="F101" s="161" t="s">
        <v>525</v>
      </c>
      <c r="G101" s="161" t="str">
        <f t="shared" si="52"/>
        <v>2019-2020</v>
      </c>
      <c r="H101" s="161" t="str">
        <f t="shared" si="53"/>
        <v>Oct-19</v>
      </c>
      <c r="I101" s="162"/>
      <c r="J101" s="163"/>
      <c r="K101" s="163"/>
      <c r="L101" s="163"/>
      <c r="M101" s="163"/>
      <c r="N101" s="163">
        <f t="shared" si="54"/>
        <v>0</v>
      </c>
      <c r="O101" s="163">
        <f t="shared" si="51"/>
        <v>0</v>
      </c>
      <c r="P101" s="164">
        <v>7.9000000000000001E-2</v>
      </c>
      <c r="Q101" s="163">
        <f t="shared" si="55"/>
        <v>0</v>
      </c>
      <c r="R101" s="150"/>
      <c r="S101" s="150">
        <f t="shared" si="33"/>
        <v>0</v>
      </c>
      <c r="T101" s="150"/>
      <c r="U101" s="150"/>
      <c r="V101" s="150"/>
    </row>
    <row r="102" spans="1:22" x14ac:dyDescent="0.25">
      <c r="A102" s="150"/>
      <c r="B102" s="150"/>
      <c r="C102" s="150"/>
      <c r="D102" s="150"/>
      <c r="E102" s="150"/>
      <c r="F102" s="161" t="s">
        <v>526</v>
      </c>
      <c r="G102" s="161" t="str">
        <f t="shared" si="52"/>
        <v>2019-2020</v>
      </c>
      <c r="H102" s="161" t="str">
        <f t="shared" si="53"/>
        <v>Nov-19</v>
      </c>
      <c r="I102" s="162"/>
      <c r="J102" s="163"/>
      <c r="K102" s="163"/>
      <c r="L102" s="163"/>
      <c r="M102" s="163"/>
      <c r="N102" s="163">
        <f t="shared" si="54"/>
        <v>0</v>
      </c>
      <c r="O102" s="163">
        <f t="shared" si="51"/>
        <v>0</v>
      </c>
      <c r="P102" s="164">
        <v>7.9000000000000001E-2</v>
      </c>
      <c r="Q102" s="163">
        <f t="shared" si="55"/>
        <v>0</v>
      </c>
      <c r="R102" s="150"/>
      <c r="S102" s="150">
        <f t="shared" si="33"/>
        <v>0</v>
      </c>
      <c r="T102" s="150"/>
      <c r="U102" s="150"/>
      <c r="V102" s="150"/>
    </row>
    <row r="103" spans="1:22" x14ac:dyDescent="0.25">
      <c r="A103" s="150"/>
      <c r="B103" s="150"/>
      <c r="C103" s="150"/>
      <c r="D103" s="150"/>
      <c r="E103" s="150"/>
      <c r="F103" s="161" t="s">
        <v>527</v>
      </c>
      <c r="G103" s="161" t="str">
        <f t="shared" si="52"/>
        <v>2019-2020</v>
      </c>
      <c r="H103" s="161" t="str">
        <f t="shared" si="53"/>
        <v>Dec-19</v>
      </c>
      <c r="I103" s="162"/>
      <c r="J103" s="163"/>
      <c r="K103" s="163"/>
      <c r="L103" s="163"/>
      <c r="M103" s="163"/>
      <c r="N103" s="163">
        <f t="shared" si="54"/>
        <v>0</v>
      </c>
      <c r="O103" s="163">
        <f t="shared" si="51"/>
        <v>0</v>
      </c>
      <c r="P103" s="164">
        <v>7.9000000000000001E-2</v>
      </c>
      <c r="Q103" s="163">
        <f t="shared" si="55"/>
        <v>0</v>
      </c>
      <c r="R103" s="150"/>
      <c r="S103" s="150">
        <f t="shared" si="33"/>
        <v>0</v>
      </c>
      <c r="T103" s="150"/>
      <c r="U103" s="150"/>
      <c r="V103" s="150"/>
    </row>
    <row r="104" spans="1:22" x14ac:dyDescent="0.25">
      <c r="A104" s="150"/>
      <c r="B104" s="150"/>
      <c r="C104" s="150"/>
      <c r="D104" s="150"/>
      <c r="E104" s="150"/>
      <c r="F104" s="161" t="s">
        <v>528</v>
      </c>
      <c r="G104" s="161" t="str">
        <f t="shared" si="52"/>
        <v>2019-2020</v>
      </c>
      <c r="H104" s="161" t="str">
        <f>CONCATENATE(F104,"-",RIGHT(RIGHT(G104,4),2))</f>
        <v>Jan-20</v>
      </c>
      <c r="I104" s="162"/>
      <c r="J104" s="163"/>
      <c r="K104" s="163"/>
      <c r="L104" s="163"/>
      <c r="M104" s="163"/>
      <c r="N104" s="163">
        <f t="shared" si="54"/>
        <v>0</v>
      </c>
      <c r="O104" s="163">
        <f t="shared" si="51"/>
        <v>0</v>
      </c>
      <c r="P104" s="164">
        <v>7.9000000000000001E-2</v>
      </c>
      <c r="Q104" s="163">
        <f t="shared" si="55"/>
        <v>0</v>
      </c>
      <c r="R104" s="150"/>
      <c r="S104" s="150">
        <f t="shared" si="33"/>
        <v>0</v>
      </c>
      <c r="T104" s="150"/>
      <c r="U104" s="150"/>
      <c r="V104" s="150"/>
    </row>
    <row r="105" spans="1:22" x14ac:dyDescent="0.25">
      <c r="A105" s="150"/>
      <c r="B105" s="150"/>
      <c r="C105" s="150"/>
      <c r="D105" s="150"/>
      <c r="E105" s="150"/>
      <c r="F105" s="161" t="s">
        <v>529</v>
      </c>
      <c r="G105" s="161" t="str">
        <f t="shared" si="52"/>
        <v>2019-2020</v>
      </c>
      <c r="H105" s="161" t="str">
        <f>CONCATENATE(F105,"-",RIGHT(RIGHT(G105,4),2))</f>
        <v>Feb-20</v>
      </c>
      <c r="I105" s="162"/>
      <c r="J105" s="163"/>
      <c r="K105" s="163"/>
      <c r="L105" s="163"/>
      <c r="M105" s="163"/>
      <c r="N105" s="163">
        <f t="shared" si="54"/>
        <v>0</v>
      </c>
      <c r="O105" s="163">
        <f t="shared" si="51"/>
        <v>0</v>
      </c>
      <c r="P105" s="164">
        <v>7.9000000000000001E-2</v>
      </c>
      <c r="Q105" s="163">
        <f t="shared" si="55"/>
        <v>0</v>
      </c>
      <c r="R105" s="150"/>
      <c r="S105" s="150">
        <f t="shared" si="33"/>
        <v>0</v>
      </c>
      <c r="T105" s="150"/>
      <c r="U105" s="150"/>
      <c r="V105" s="150"/>
    </row>
    <row r="106" spans="1:22" x14ac:dyDescent="0.25">
      <c r="A106" s="150"/>
      <c r="B106" s="150"/>
      <c r="C106" s="150"/>
      <c r="D106" s="150"/>
      <c r="E106" s="150"/>
      <c r="F106" s="161" t="s">
        <v>533</v>
      </c>
      <c r="G106" s="161" t="str">
        <f>G105</f>
        <v>2019-2020</v>
      </c>
      <c r="H106" s="161" t="str">
        <f>CONCATENATE(F106,"-",RIGHT(RIGHT(G106,4),2))</f>
        <v>Mar-20</v>
      </c>
      <c r="I106" s="162"/>
      <c r="J106" s="163"/>
      <c r="K106" s="163"/>
      <c r="L106" s="163"/>
      <c r="M106" s="163"/>
      <c r="N106" s="163">
        <f t="shared" si="54"/>
        <v>0</v>
      </c>
      <c r="O106" s="163">
        <f t="shared" si="51"/>
        <v>0</v>
      </c>
      <c r="P106" s="164">
        <v>7.9000000000000001E-2</v>
      </c>
      <c r="Q106" s="163">
        <f t="shared" si="55"/>
        <v>0</v>
      </c>
      <c r="R106" s="150"/>
      <c r="S106" s="150">
        <f t="shared" si="33"/>
        <v>0</v>
      </c>
      <c r="T106" s="150"/>
      <c r="U106" s="150"/>
      <c r="V106" s="150"/>
    </row>
    <row r="107" spans="1:22" x14ac:dyDescent="0.25">
      <c r="A107" s="175"/>
      <c r="B107" s="175"/>
      <c r="C107" s="175"/>
      <c r="D107" s="175"/>
      <c r="E107" s="175"/>
      <c r="F107" s="169"/>
      <c r="G107" s="169" t="str">
        <f>G106</f>
        <v>2019-2020</v>
      </c>
      <c r="H107" s="169"/>
      <c r="I107" s="170">
        <f>SUM(I95:I106)</f>
        <v>0</v>
      </c>
      <c r="J107" s="170">
        <f t="shared" ref="J107" si="56">SUM(J95:J106)</f>
        <v>0</v>
      </c>
      <c r="K107" s="170">
        <f t="shared" ref="K107" si="57">SUM(K95:K106)</f>
        <v>0</v>
      </c>
      <c r="L107" s="170">
        <f t="shared" ref="L107" si="58">SUM(L95:L106)</f>
        <v>0</v>
      </c>
      <c r="M107" s="170">
        <f t="shared" ref="M107" si="59">SUM(M95:M106)</f>
        <v>0</v>
      </c>
      <c r="N107" s="170">
        <f>SUM(N95:N106)</f>
        <v>0</v>
      </c>
      <c r="O107" s="170">
        <f>O106+Q107</f>
        <v>0</v>
      </c>
      <c r="P107" s="171"/>
      <c r="Q107" s="170">
        <f>SUM(Q95:Q106)</f>
        <v>0</v>
      </c>
      <c r="R107" s="169"/>
      <c r="S107" s="150">
        <f t="shared" si="33"/>
        <v>0</v>
      </c>
      <c r="T107" s="150"/>
      <c r="U107" s="150"/>
      <c r="V107" s="150"/>
    </row>
    <row r="108" spans="1:22" x14ac:dyDescent="0.25">
      <c r="A108" s="150"/>
      <c r="B108" s="150"/>
      <c r="C108" s="150"/>
      <c r="D108" s="150"/>
      <c r="E108" s="150"/>
      <c r="F108" s="161" t="s">
        <v>534</v>
      </c>
      <c r="G108" s="161" t="str">
        <f>CONCATENATE(RIGHT(G95,4),"-",RIGHT(G95,4)+1)</f>
        <v>2020-2021</v>
      </c>
      <c r="H108" s="161" t="str">
        <f>CONCATENATE(F108,"-",RIGHT(LEFT(G108,4),2))</f>
        <v>Apr-20</v>
      </c>
      <c r="I108" s="162"/>
      <c r="J108" s="163"/>
      <c r="K108" s="163"/>
      <c r="L108" s="163"/>
      <c r="M108" s="163"/>
      <c r="N108" s="163">
        <f>I108+J108+L108+M108-K108</f>
        <v>0</v>
      </c>
      <c r="O108" s="163">
        <f t="shared" ref="O108:O119" si="60">O107+N108</f>
        <v>0</v>
      </c>
      <c r="P108" s="164">
        <v>7.0999999999999994E-2</v>
      </c>
      <c r="Q108" s="163">
        <f>O108*P108/12</f>
        <v>0</v>
      </c>
      <c r="R108" s="150"/>
      <c r="S108" s="150">
        <f t="shared" si="33"/>
        <v>0</v>
      </c>
      <c r="T108" s="150"/>
      <c r="U108" s="150"/>
      <c r="V108" s="150"/>
    </row>
    <row r="109" spans="1:22" x14ac:dyDescent="0.25">
      <c r="A109" s="150"/>
      <c r="B109" s="150"/>
      <c r="C109" s="150"/>
      <c r="D109" s="150"/>
      <c r="E109" s="150"/>
      <c r="F109" s="161" t="s">
        <v>520</v>
      </c>
      <c r="G109" s="161" t="str">
        <f t="shared" ref="G109:G118" si="61">G108</f>
        <v>2020-2021</v>
      </c>
      <c r="H109" s="161" t="str">
        <f t="shared" ref="H109:H116" si="62">CONCATENATE(F109,"-",RIGHT(LEFT(G109,4),2))</f>
        <v>May-20</v>
      </c>
      <c r="I109" s="162"/>
      <c r="J109" s="163"/>
      <c r="K109" s="163"/>
      <c r="L109" s="163"/>
      <c r="M109" s="163"/>
      <c r="N109" s="163">
        <f t="shared" ref="N109:N119" si="63">I109+J109+L109+M109-K109</f>
        <v>0</v>
      </c>
      <c r="O109" s="163">
        <f t="shared" si="60"/>
        <v>0</v>
      </c>
      <c r="P109" s="164">
        <f t="shared" ref="P109:P113" si="64">P108</f>
        <v>7.0999999999999994E-2</v>
      </c>
      <c r="Q109" s="163">
        <f t="shared" ref="Q109:Q119" si="65">O109*P109/12</f>
        <v>0</v>
      </c>
      <c r="R109" s="150"/>
      <c r="S109" s="150">
        <f t="shared" si="33"/>
        <v>0</v>
      </c>
      <c r="T109" s="150"/>
      <c r="U109" s="150"/>
      <c r="V109" s="150"/>
    </row>
    <row r="110" spans="1:22" x14ac:dyDescent="0.25">
      <c r="A110" s="150"/>
      <c r="B110" s="150"/>
      <c r="C110" s="150"/>
      <c r="D110" s="150"/>
      <c r="E110" s="150"/>
      <c r="F110" s="161" t="s">
        <v>535</v>
      </c>
      <c r="G110" s="161" t="str">
        <f t="shared" si="61"/>
        <v>2020-2021</v>
      </c>
      <c r="H110" s="161" t="str">
        <f t="shared" si="62"/>
        <v>Jun-20</v>
      </c>
      <c r="I110" s="162"/>
      <c r="J110" s="163"/>
      <c r="K110" s="163"/>
      <c r="L110" s="163"/>
      <c r="M110" s="163"/>
      <c r="N110" s="163">
        <f t="shared" si="63"/>
        <v>0</v>
      </c>
      <c r="O110" s="163">
        <f t="shared" si="60"/>
        <v>0</v>
      </c>
      <c r="P110" s="164">
        <f t="shared" si="64"/>
        <v>7.0999999999999994E-2</v>
      </c>
      <c r="Q110" s="163">
        <f t="shared" si="65"/>
        <v>0</v>
      </c>
      <c r="R110" s="150"/>
      <c r="S110" s="150">
        <f t="shared" si="33"/>
        <v>0</v>
      </c>
      <c r="T110" s="150"/>
      <c r="U110" s="150"/>
      <c r="V110" s="150"/>
    </row>
    <row r="111" spans="1:22" x14ac:dyDescent="0.25">
      <c r="A111" s="150"/>
      <c r="B111" s="150"/>
      <c r="C111" s="150"/>
      <c r="D111" s="150"/>
      <c r="E111" s="150"/>
      <c r="F111" s="161" t="s">
        <v>536</v>
      </c>
      <c r="G111" s="161" t="str">
        <f t="shared" si="61"/>
        <v>2020-2021</v>
      </c>
      <c r="H111" s="161" t="str">
        <f t="shared" si="62"/>
        <v>Jul-20</v>
      </c>
      <c r="I111" s="162"/>
      <c r="J111" s="163"/>
      <c r="K111" s="163"/>
      <c r="L111" s="163"/>
      <c r="M111" s="163"/>
      <c r="N111" s="163">
        <f t="shared" si="63"/>
        <v>0</v>
      </c>
      <c r="O111" s="163">
        <f t="shared" si="60"/>
        <v>0</v>
      </c>
      <c r="P111" s="164">
        <f t="shared" si="64"/>
        <v>7.0999999999999994E-2</v>
      </c>
      <c r="Q111" s="163">
        <f t="shared" si="65"/>
        <v>0</v>
      </c>
      <c r="R111" s="150"/>
      <c r="S111" s="150">
        <f t="shared" si="33"/>
        <v>0</v>
      </c>
      <c r="T111" s="150"/>
      <c r="U111" s="150"/>
      <c r="V111" s="150"/>
    </row>
    <row r="112" spans="1:22" x14ac:dyDescent="0.25">
      <c r="A112" s="150"/>
      <c r="B112" s="150"/>
      <c r="C112" s="150"/>
      <c r="D112" s="150"/>
      <c r="E112" s="150"/>
      <c r="F112" s="161" t="s">
        <v>523</v>
      </c>
      <c r="G112" s="161" t="str">
        <f t="shared" si="61"/>
        <v>2020-2021</v>
      </c>
      <c r="H112" s="161" t="str">
        <f t="shared" si="62"/>
        <v>Aug-20</v>
      </c>
      <c r="I112" s="162"/>
      <c r="J112" s="163"/>
      <c r="K112" s="163"/>
      <c r="L112" s="163"/>
      <c r="M112" s="163"/>
      <c r="N112" s="163">
        <f t="shared" si="63"/>
        <v>0</v>
      </c>
      <c r="O112" s="163">
        <f t="shared" si="60"/>
        <v>0</v>
      </c>
      <c r="P112" s="164">
        <f t="shared" si="64"/>
        <v>7.0999999999999994E-2</v>
      </c>
      <c r="Q112" s="163">
        <f t="shared" si="65"/>
        <v>0</v>
      </c>
      <c r="R112" s="150"/>
      <c r="S112" s="150">
        <f t="shared" si="33"/>
        <v>0</v>
      </c>
      <c r="T112" s="150"/>
      <c r="U112" s="150"/>
      <c r="V112" s="150"/>
    </row>
    <row r="113" spans="1:22" x14ac:dyDescent="0.25">
      <c r="A113" s="150"/>
      <c r="B113" s="150"/>
      <c r="C113" s="150"/>
      <c r="D113" s="150"/>
      <c r="E113" s="150"/>
      <c r="F113" s="161" t="s">
        <v>537</v>
      </c>
      <c r="G113" s="161" t="str">
        <f t="shared" si="61"/>
        <v>2020-2021</v>
      </c>
      <c r="H113" s="161" t="str">
        <f t="shared" si="62"/>
        <v>Sep-20</v>
      </c>
      <c r="I113" s="162"/>
      <c r="J113" s="163"/>
      <c r="K113" s="163"/>
      <c r="L113" s="163"/>
      <c r="M113" s="163"/>
      <c r="N113" s="163">
        <f t="shared" si="63"/>
        <v>0</v>
      </c>
      <c r="O113" s="163">
        <f t="shared" si="60"/>
        <v>0</v>
      </c>
      <c r="P113" s="164">
        <f t="shared" si="64"/>
        <v>7.0999999999999994E-2</v>
      </c>
      <c r="Q113" s="163">
        <f t="shared" si="65"/>
        <v>0</v>
      </c>
      <c r="R113" s="150"/>
      <c r="S113" s="150">
        <f t="shared" si="33"/>
        <v>0</v>
      </c>
      <c r="T113" s="150"/>
      <c r="U113" s="150"/>
      <c r="V113" s="150"/>
    </row>
    <row r="114" spans="1:22" x14ac:dyDescent="0.25">
      <c r="A114" s="150"/>
      <c r="B114" s="150"/>
      <c r="C114" s="150"/>
      <c r="D114" s="150"/>
      <c r="E114" s="150"/>
      <c r="F114" s="161" t="s">
        <v>525</v>
      </c>
      <c r="G114" s="161" t="str">
        <f t="shared" si="61"/>
        <v>2020-2021</v>
      </c>
      <c r="H114" s="161" t="str">
        <f t="shared" si="62"/>
        <v>Oct-20</v>
      </c>
      <c r="I114" s="162"/>
      <c r="J114" s="163"/>
      <c r="K114" s="163"/>
      <c r="L114" s="163"/>
      <c r="M114" s="163"/>
      <c r="N114" s="163">
        <f t="shared" si="63"/>
        <v>0</v>
      </c>
      <c r="O114" s="163">
        <f t="shared" si="60"/>
        <v>0</v>
      </c>
      <c r="P114" s="164">
        <v>7.0999999999999994E-2</v>
      </c>
      <c r="Q114" s="163">
        <f t="shared" si="65"/>
        <v>0</v>
      </c>
      <c r="R114" s="150"/>
      <c r="S114" s="150">
        <f t="shared" si="33"/>
        <v>0</v>
      </c>
      <c r="T114" s="150"/>
      <c r="U114" s="150"/>
      <c r="V114" s="150"/>
    </row>
    <row r="115" spans="1:22" x14ac:dyDescent="0.25">
      <c r="A115" s="150">
        <v>119</v>
      </c>
      <c r="B115" s="150">
        <v>34</v>
      </c>
      <c r="C115" s="155">
        <v>44148</v>
      </c>
      <c r="D115" s="150">
        <v>42173</v>
      </c>
      <c r="E115" s="155">
        <v>44153</v>
      </c>
      <c r="F115" s="161" t="s">
        <v>526</v>
      </c>
      <c r="G115" s="161" t="str">
        <f t="shared" si="61"/>
        <v>2020-2021</v>
      </c>
      <c r="H115" s="161" t="str">
        <f t="shared" si="62"/>
        <v>Nov-20</v>
      </c>
      <c r="I115" s="162"/>
      <c r="J115" s="163"/>
      <c r="K115" s="163"/>
      <c r="L115" s="163"/>
      <c r="M115" s="163">
        <v>5081</v>
      </c>
      <c r="N115" s="163">
        <f t="shared" si="63"/>
        <v>5081</v>
      </c>
      <c r="O115" s="163">
        <f t="shared" si="60"/>
        <v>5081</v>
      </c>
      <c r="P115" s="164">
        <v>7.0999999999999994E-2</v>
      </c>
      <c r="Q115" s="163">
        <f t="shared" si="65"/>
        <v>30.062583333333333</v>
      </c>
      <c r="R115" s="150" t="s">
        <v>188</v>
      </c>
      <c r="S115" s="150">
        <f t="shared" si="33"/>
        <v>0</v>
      </c>
      <c r="T115" s="150"/>
      <c r="U115" s="150"/>
      <c r="V115" s="150"/>
    </row>
    <row r="116" spans="1:22" x14ac:dyDescent="0.25">
      <c r="A116" s="150"/>
      <c r="B116" s="150"/>
      <c r="C116" s="150"/>
      <c r="D116" s="150"/>
      <c r="E116" s="150"/>
      <c r="F116" s="161" t="s">
        <v>527</v>
      </c>
      <c r="G116" s="161" t="str">
        <f t="shared" si="61"/>
        <v>2020-2021</v>
      </c>
      <c r="H116" s="161" t="str">
        <f t="shared" si="62"/>
        <v>Dec-20</v>
      </c>
      <c r="I116" s="162"/>
      <c r="J116" s="163"/>
      <c r="K116" s="163"/>
      <c r="L116" s="163"/>
      <c r="M116" s="163"/>
      <c r="N116" s="163">
        <f t="shared" si="63"/>
        <v>0</v>
      </c>
      <c r="O116" s="163">
        <f t="shared" si="60"/>
        <v>5081</v>
      </c>
      <c r="P116" s="164">
        <v>7.0999999999999994E-2</v>
      </c>
      <c r="Q116" s="163">
        <f t="shared" si="65"/>
        <v>30.062583333333333</v>
      </c>
      <c r="R116" s="150"/>
      <c r="S116" s="150">
        <f t="shared" si="33"/>
        <v>0</v>
      </c>
      <c r="T116" s="150"/>
      <c r="U116" s="150"/>
      <c r="V116" s="150"/>
    </row>
    <row r="117" spans="1:22" x14ac:dyDescent="0.25">
      <c r="A117" s="150"/>
      <c r="B117" s="150"/>
      <c r="C117" s="150"/>
      <c r="D117" s="150"/>
      <c r="E117" s="150"/>
      <c r="F117" s="161" t="s">
        <v>528</v>
      </c>
      <c r="G117" s="161" t="str">
        <f t="shared" si="61"/>
        <v>2020-2021</v>
      </c>
      <c r="H117" s="161" t="str">
        <f>CONCATENATE(F117,"-",RIGHT(RIGHT(G117,4),2))</f>
        <v>Jan-21</v>
      </c>
      <c r="I117" s="162"/>
      <c r="J117" s="163"/>
      <c r="K117" s="163"/>
      <c r="L117" s="163"/>
      <c r="M117" s="163"/>
      <c r="N117" s="163">
        <f t="shared" si="63"/>
        <v>0</v>
      </c>
      <c r="O117" s="163">
        <f t="shared" si="60"/>
        <v>5081</v>
      </c>
      <c r="P117" s="164">
        <v>7.0999999999999994E-2</v>
      </c>
      <c r="Q117" s="163">
        <f t="shared" si="65"/>
        <v>30.062583333333333</v>
      </c>
      <c r="R117" s="150"/>
      <c r="S117" s="150">
        <f t="shared" si="33"/>
        <v>0</v>
      </c>
      <c r="T117" s="150"/>
      <c r="U117" s="150"/>
      <c r="V117" s="150"/>
    </row>
    <row r="118" spans="1:22" x14ac:dyDescent="0.25">
      <c r="A118" s="150"/>
      <c r="B118" s="150"/>
      <c r="C118" s="150"/>
      <c r="D118" s="150"/>
      <c r="E118" s="150"/>
      <c r="F118" s="161" t="s">
        <v>529</v>
      </c>
      <c r="G118" s="161" t="str">
        <f t="shared" si="61"/>
        <v>2020-2021</v>
      </c>
      <c r="H118" s="161" t="str">
        <f>CONCATENATE(F118,"-",RIGHT(RIGHT(G118,4),2))</f>
        <v>Feb-21</v>
      </c>
      <c r="I118" s="162"/>
      <c r="J118" s="163"/>
      <c r="K118" s="163"/>
      <c r="L118" s="163"/>
      <c r="M118" s="163"/>
      <c r="N118" s="163">
        <f t="shared" si="63"/>
        <v>0</v>
      </c>
      <c r="O118" s="163">
        <f t="shared" si="60"/>
        <v>5081</v>
      </c>
      <c r="P118" s="164">
        <v>7.0999999999999994E-2</v>
      </c>
      <c r="Q118" s="163">
        <f t="shared" si="65"/>
        <v>30.062583333333333</v>
      </c>
      <c r="R118" s="150"/>
      <c r="S118" s="150">
        <f t="shared" si="33"/>
        <v>0</v>
      </c>
      <c r="T118" s="150"/>
      <c r="U118" s="150"/>
      <c r="V118" s="150"/>
    </row>
    <row r="119" spans="1:22" x14ac:dyDescent="0.25">
      <c r="A119" s="150"/>
      <c r="B119" s="150"/>
      <c r="C119" s="150"/>
      <c r="D119" s="150"/>
      <c r="E119" s="150"/>
      <c r="F119" s="161" t="s">
        <v>533</v>
      </c>
      <c r="G119" s="161" t="str">
        <f>G118</f>
        <v>2020-2021</v>
      </c>
      <c r="H119" s="161" t="str">
        <f>CONCATENATE(F119,"-",RIGHT(RIGHT(G119,4),2))</f>
        <v>Mar-21</v>
      </c>
      <c r="I119" s="162"/>
      <c r="J119" s="163"/>
      <c r="K119" s="163"/>
      <c r="L119" s="163"/>
      <c r="M119" s="163"/>
      <c r="N119" s="163">
        <f t="shared" si="63"/>
        <v>0</v>
      </c>
      <c r="O119" s="163">
        <f t="shared" si="60"/>
        <v>5081</v>
      </c>
      <c r="P119" s="164">
        <v>7.0999999999999994E-2</v>
      </c>
      <c r="Q119" s="163">
        <f t="shared" si="65"/>
        <v>30.062583333333333</v>
      </c>
      <c r="R119" s="150"/>
      <c r="S119" s="150">
        <f t="shared" si="33"/>
        <v>0</v>
      </c>
      <c r="T119" s="150"/>
      <c r="U119" s="150"/>
      <c r="V119" s="150"/>
    </row>
    <row r="120" spans="1:22" x14ac:dyDescent="0.25">
      <c r="A120" s="175"/>
      <c r="B120" s="175"/>
      <c r="C120" s="175"/>
      <c r="D120" s="175"/>
      <c r="E120" s="175"/>
      <c r="F120" s="169"/>
      <c r="G120" s="169" t="str">
        <f>G119</f>
        <v>2020-2021</v>
      </c>
      <c r="H120" s="169"/>
      <c r="I120" s="170">
        <f>SUM(I108:I119)</f>
        <v>0</v>
      </c>
      <c r="J120" s="170">
        <f t="shared" ref="J120" si="66">SUM(J108:J119)</f>
        <v>0</v>
      </c>
      <c r="K120" s="170">
        <f t="shared" ref="K120" si="67">SUM(K108:K119)</f>
        <v>0</v>
      </c>
      <c r="L120" s="170">
        <f t="shared" ref="L120" si="68">SUM(L108:L119)</f>
        <v>0</v>
      </c>
      <c r="M120" s="170">
        <f t="shared" ref="M120" si="69">SUM(M108:M119)</f>
        <v>5081</v>
      </c>
      <c r="N120" s="170">
        <f>SUM(N108:N119)</f>
        <v>5081</v>
      </c>
      <c r="O120" s="170">
        <f>O119+Q120</f>
        <v>5231.3129166666668</v>
      </c>
      <c r="P120" s="171"/>
      <c r="Q120" s="170">
        <f>SUM(Q108:Q119)</f>
        <v>150.31291666666667</v>
      </c>
      <c r="R120" s="169" t="s">
        <v>188</v>
      </c>
      <c r="S120" s="150">
        <f t="shared" si="33"/>
        <v>0</v>
      </c>
      <c r="T120" s="150">
        <v>150</v>
      </c>
      <c r="U120" s="150"/>
      <c r="V120" s="150"/>
    </row>
    <row r="121" spans="1:22" x14ac:dyDescent="0.25">
      <c r="A121" s="150"/>
      <c r="B121" s="150"/>
      <c r="C121" s="150"/>
      <c r="D121" s="150"/>
      <c r="E121" s="150"/>
      <c r="F121" s="161" t="s">
        <v>534</v>
      </c>
      <c r="G121" s="161" t="str">
        <f>CONCATENATE(RIGHT(G108,4),"-",RIGHT(G108,4)+1)</f>
        <v>2021-2022</v>
      </c>
      <c r="H121" s="161" t="str">
        <f>CONCATENATE(F121,"-",RIGHT(LEFT(G121,4),2))</f>
        <v>Apr-21</v>
      </c>
      <c r="I121" s="162"/>
      <c r="J121" s="163"/>
      <c r="K121" s="163"/>
      <c r="L121" s="163"/>
      <c r="M121" s="163"/>
      <c r="N121" s="163">
        <f>I121+J121+L121+M121-K121</f>
        <v>0</v>
      </c>
      <c r="O121" s="163">
        <f t="shared" ref="O121:O132" si="70">O120+N121</f>
        <v>5231.3129166666668</v>
      </c>
      <c r="P121" s="164">
        <v>7.0999999999999994E-2</v>
      </c>
      <c r="Q121" s="163">
        <f>O121*P121/12</f>
        <v>30.951934756944443</v>
      </c>
      <c r="R121" s="150"/>
      <c r="S121" s="150">
        <f t="shared" si="33"/>
        <v>0</v>
      </c>
      <c r="T121" s="150"/>
      <c r="U121" s="150"/>
      <c r="V121" s="150"/>
    </row>
    <row r="122" spans="1:22" x14ac:dyDescent="0.25">
      <c r="A122" s="150"/>
      <c r="B122" s="150"/>
      <c r="C122" s="150"/>
      <c r="D122" s="150"/>
      <c r="E122" s="150"/>
      <c r="F122" s="161" t="s">
        <v>520</v>
      </c>
      <c r="G122" s="161" t="str">
        <f t="shared" ref="G122:G131" si="71">G121</f>
        <v>2021-2022</v>
      </c>
      <c r="H122" s="161" t="str">
        <f t="shared" ref="H122:H129" si="72">CONCATENATE(F122,"-",RIGHT(LEFT(G122,4),2))</f>
        <v>May-21</v>
      </c>
      <c r="I122" s="162"/>
      <c r="J122" s="163"/>
      <c r="K122" s="163"/>
      <c r="L122" s="163"/>
      <c r="M122" s="163"/>
      <c r="N122" s="163">
        <f t="shared" ref="N122:N132" si="73">I122+J122+L122+M122-K122</f>
        <v>0</v>
      </c>
      <c r="O122" s="163">
        <f t="shared" si="70"/>
        <v>5231.3129166666668</v>
      </c>
      <c r="P122" s="164">
        <v>7.0999999999999994E-2</v>
      </c>
      <c r="Q122" s="163">
        <f t="shared" ref="Q122:Q132" si="74">O122*P122/12</f>
        <v>30.951934756944443</v>
      </c>
      <c r="R122" s="150"/>
      <c r="S122" s="150">
        <f t="shared" si="33"/>
        <v>0</v>
      </c>
      <c r="T122" s="150"/>
      <c r="U122" s="150"/>
      <c r="V122" s="150"/>
    </row>
    <row r="123" spans="1:22" x14ac:dyDescent="0.25">
      <c r="A123" s="150"/>
      <c r="B123" s="150"/>
      <c r="C123" s="150"/>
      <c r="D123" s="150"/>
      <c r="E123" s="150"/>
      <c r="F123" s="161" t="s">
        <v>535</v>
      </c>
      <c r="G123" s="161" t="str">
        <f t="shared" si="71"/>
        <v>2021-2022</v>
      </c>
      <c r="H123" s="161" t="str">
        <f t="shared" si="72"/>
        <v>Jun-21</v>
      </c>
      <c r="I123" s="162"/>
      <c r="J123" s="163"/>
      <c r="K123" s="163"/>
      <c r="L123" s="163"/>
      <c r="M123" s="163"/>
      <c r="N123" s="163">
        <f t="shared" si="73"/>
        <v>0</v>
      </c>
      <c r="O123" s="163">
        <f t="shared" si="70"/>
        <v>5231.3129166666668</v>
      </c>
      <c r="P123" s="164">
        <v>7.0999999999999994E-2</v>
      </c>
      <c r="Q123" s="163">
        <f t="shared" si="74"/>
        <v>30.951934756944443</v>
      </c>
      <c r="R123" s="150"/>
      <c r="S123" s="150">
        <f t="shared" si="33"/>
        <v>0</v>
      </c>
      <c r="T123" s="150"/>
      <c r="U123" s="150"/>
      <c r="V123" s="150"/>
    </row>
    <row r="124" spans="1:22" x14ac:dyDescent="0.25">
      <c r="A124" s="150"/>
      <c r="B124" s="150"/>
      <c r="C124" s="150"/>
      <c r="D124" s="150"/>
      <c r="E124" s="150"/>
      <c r="F124" s="161" t="s">
        <v>536</v>
      </c>
      <c r="G124" s="161" t="str">
        <f t="shared" si="71"/>
        <v>2021-2022</v>
      </c>
      <c r="H124" s="161" t="str">
        <f t="shared" si="72"/>
        <v>Jul-21</v>
      </c>
      <c r="I124" s="162"/>
      <c r="J124" s="163"/>
      <c r="K124" s="163"/>
      <c r="L124" s="163"/>
      <c r="M124" s="163"/>
      <c r="N124" s="163">
        <f t="shared" si="73"/>
        <v>0</v>
      </c>
      <c r="O124" s="163">
        <f t="shared" si="70"/>
        <v>5231.3129166666668</v>
      </c>
      <c r="P124" s="164">
        <v>7.0999999999999994E-2</v>
      </c>
      <c r="Q124" s="163">
        <f t="shared" si="74"/>
        <v>30.951934756944443</v>
      </c>
      <c r="R124" s="150"/>
      <c r="S124" s="150">
        <f t="shared" si="33"/>
        <v>0</v>
      </c>
      <c r="T124" s="150"/>
      <c r="U124" s="150"/>
      <c r="V124" s="150"/>
    </row>
    <row r="125" spans="1:22" x14ac:dyDescent="0.25">
      <c r="A125" s="150"/>
      <c r="B125" s="150"/>
      <c r="C125" s="150"/>
      <c r="D125" s="150"/>
      <c r="E125" s="150"/>
      <c r="F125" s="161" t="s">
        <v>523</v>
      </c>
      <c r="G125" s="161" t="str">
        <f t="shared" si="71"/>
        <v>2021-2022</v>
      </c>
      <c r="H125" s="161" t="str">
        <f t="shared" si="72"/>
        <v>Aug-21</v>
      </c>
      <c r="I125" s="162"/>
      <c r="J125" s="163"/>
      <c r="K125" s="163"/>
      <c r="L125" s="163"/>
      <c r="M125" s="163"/>
      <c r="N125" s="163">
        <f t="shared" si="73"/>
        <v>0</v>
      </c>
      <c r="O125" s="163">
        <f t="shared" si="70"/>
        <v>5231.3129166666668</v>
      </c>
      <c r="P125" s="164">
        <v>7.0999999999999994E-2</v>
      </c>
      <c r="Q125" s="163">
        <f t="shared" si="74"/>
        <v>30.951934756944443</v>
      </c>
      <c r="R125" s="150"/>
      <c r="S125" s="150">
        <f t="shared" si="33"/>
        <v>0</v>
      </c>
      <c r="T125" s="150"/>
      <c r="U125" s="150"/>
      <c r="V125" s="150"/>
    </row>
    <row r="126" spans="1:22" x14ac:dyDescent="0.25">
      <c r="A126" s="150"/>
      <c r="B126" s="150"/>
      <c r="C126" s="150"/>
      <c r="D126" s="150"/>
      <c r="E126" s="150"/>
      <c r="F126" s="161" t="s">
        <v>537</v>
      </c>
      <c r="G126" s="161" t="str">
        <f t="shared" si="71"/>
        <v>2021-2022</v>
      </c>
      <c r="H126" s="161" t="str">
        <f t="shared" si="72"/>
        <v>Sep-21</v>
      </c>
      <c r="I126" s="162"/>
      <c r="J126" s="163"/>
      <c r="K126" s="163"/>
      <c r="L126" s="163"/>
      <c r="M126" s="163"/>
      <c r="N126" s="163">
        <f t="shared" si="73"/>
        <v>0</v>
      </c>
      <c r="O126" s="163">
        <f t="shared" si="70"/>
        <v>5231.3129166666668</v>
      </c>
      <c r="P126" s="164">
        <v>7.0999999999999994E-2</v>
      </c>
      <c r="Q126" s="163">
        <f t="shared" si="74"/>
        <v>30.951934756944443</v>
      </c>
      <c r="R126" s="150"/>
      <c r="S126" s="150">
        <f t="shared" si="33"/>
        <v>0</v>
      </c>
      <c r="T126" s="150"/>
      <c r="U126" s="150"/>
      <c r="V126" s="150"/>
    </row>
    <row r="127" spans="1:22" x14ac:dyDescent="0.25">
      <c r="A127" s="150"/>
      <c r="B127" s="150"/>
      <c r="C127" s="155"/>
      <c r="D127" s="150"/>
      <c r="E127" s="155"/>
      <c r="F127" s="161" t="s">
        <v>525</v>
      </c>
      <c r="G127" s="161" t="str">
        <f t="shared" si="71"/>
        <v>2021-2022</v>
      </c>
      <c r="H127" s="161" t="str">
        <f t="shared" si="72"/>
        <v>Oct-21</v>
      </c>
      <c r="I127" s="162"/>
      <c r="J127" s="163"/>
      <c r="K127" s="163"/>
      <c r="L127" s="163"/>
      <c r="M127" s="163"/>
      <c r="N127" s="163">
        <f t="shared" si="73"/>
        <v>0</v>
      </c>
      <c r="O127" s="163">
        <f t="shared" si="70"/>
        <v>5231.3129166666668</v>
      </c>
      <c r="P127" s="164">
        <v>7.0999999999999994E-2</v>
      </c>
      <c r="Q127" s="163">
        <f t="shared" si="74"/>
        <v>30.951934756944443</v>
      </c>
      <c r="R127" s="150"/>
      <c r="S127" s="150">
        <f t="shared" si="33"/>
        <v>0</v>
      </c>
      <c r="T127" s="150"/>
      <c r="U127" s="150"/>
      <c r="V127" s="150"/>
    </row>
    <row r="128" spans="1:22" x14ac:dyDescent="0.25">
      <c r="A128" s="150">
        <v>130</v>
      </c>
      <c r="B128" s="150">
        <v>23</v>
      </c>
      <c r="C128" s="155">
        <v>44495</v>
      </c>
      <c r="D128" s="150">
        <v>42420</v>
      </c>
      <c r="E128" s="155">
        <v>44501</v>
      </c>
      <c r="F128" s="161" t="s">
        <v>526</v>
      </c>
      <c r="G128" s="161" t="str">
        <f t="shared" si="71"/>
        <v>2021-2022</v>
      </c>
      <c r="H128" s="161" t="str">
        <f t="shared" si="72"/>
        <v>Nov-21</v>
      </c>
      <c r="I128" s="162"/>
      <c r="J128" s="163"/>
      <c r="K128" s="163"/>
      <c r="L128" s="163"/>
      <c r="M128" s="163">
        <v>3387</v>
      </c>
      <c r="N128" s="163">
        <f t="shared" si="73"/>
        <v>3387</v>
      </c>
      <c r="O128" s="163">
        <f t="shared" si="70"/>
        <v>8618.3129166666658</v>
      </c>
      <c r="P128" s="164">
        <v>7.0999999999999994E-2</v>
      </c>
      <c r="Q128" s="163">
        <f t="shared" si="74"/>
        <v>50.991684756944437</v>
      </c>
      <c r="R128" s="150" t="s">
        <v>188</v>
      </c>
      <c r="S128" s="150">
        <f t="shared" si="33"/>
        <v>0</v>
      </c>
      <c r="T128" s="150"/>
      <c r="U128" s="150"/>
      <c r="V128" s="150"/>
    </row>
    <row r="129" spans="1:22" x14ac:dyDescent="0.25">
      <c r="A129" s="150">
        <v>132</v>
      </c>
      <c r="B129" s="150">
        <v>417</v>
      </c>
      <c r="C129" s="155">
        <v>44514</v>
      </c>
      <c r="D129" s="150">
        <v>52725</v>
      </c>
      <c r="E129" s="155">
        <v>44546</v>
      </c>
      <c r="F129" s="161" t="s">
        <v>527</v>
      </c>
      <c r="G129" s="161" t="str">
        <f t="shared" si="71"/>
        <v>2021-2022</v>
      </c>
      <c r="H129" s="161" t="str">
        <f t="shared" si="72"/>
        <v>Dec-21</v>
      </c>
      <c r="I129" s="162"/>
      <c r="J129" s="163">
        <f>872*3</f>
        <v>2616</v>
      </c>
      <c r="K129" s="163"/>
      <c r="L129" s="163"/>
      <c r="M129" s="163"/>
      <c r="N129" s="163">
        <f t="shared" si="73"/>
        <v>2616</v>
      </c>
      <c r="O129" s="163">
        <f t="shared" si="70"/>
        <v>11234.312916666666</v>
      </c>
      <c r="P129" s="164">
        <v>7.0999999999999994E-2</v>
      </c>
      <c r="Q129" s="163">
        <f t="shared" si="74"/>
        <v>66.469684756944432</v>
      </c>
      <c r="R129" s="150" t="s">
        <v>188</v>
      </c>
      <c r="S129" s="150">
        <f t="shared" si="33"/>
        <v>0</v>
      </c>
      <c r="T129" s="150"/>
      <c r="U129" s="150"/>
      <c r="V129" s="150"/>
    </row>
    <row r="130" spans="1:22" x14ac:dyDescent="0.25">
      <c r="A130" s="150"/>
      <c r="B130" s="150"/>
      <c r="C130" s="150"/>
      <c r="D130" s="150"/>
      <c r="E130" s="150"/>
      <c r="F130" s="161" t="s">
        <v>528</v>
      </c>
      <c r="G130" s="161" t="str">
        <f t="shared" si="71"/>
        <v>2021-2022</v>
      </c>
      <c r="H130" s="161" t="str">
        <f>CONCATENATE(F130,"-",RIGHT(RIGHT(G130,4),2))</f>
        <v>Jan-22</v>
      </c>
      <c r="I130" s="162"/>
      <c r="J130" s="163"/>
      <c r="K130" s="163"/>
      <c r="L130" s="163"/>
      <c r="M130" s="163"/>
      <c r="N130" s="163">
        <f t="shared" si="73"/>
        <v>0</v>
      </c>
      <c r="O130" s="163">
        <f t="shared" si="70"/>
        <v>11234.312916666666</v>
      </c>
      <c r="P130" s="164">
        <v>7.0999999999999994E-2</v>
      </c>
      <c r="Q130" s="163">
        <f t="shared" si="74"/>
        <v>66.469684756944432</v>
      </c>
      <c r="R130" s="150"/>
      <c r="S130" s="150">
        <f t="shared" si="33"/>
        <v>0</v>
      </c>
      <c r="T130" s="150"/>
      <c r="U130" s="150"/>
      <c r="V130" s="150"/>
    </row>
    <row r="131" spans="1:22" x14ac:dyDescent="0.25">
      <c r="A131" s="150"/>
      <c r="B131" s="150"/>
      <c r="C131" s="150"/>
      <c r="D131" s="150"/>
      <c r="E131" s="150"/>
      <c r="F131" s="161" t="s">
        <v>529</v>
      </c>
      <c r="G131" s="161" t="str">
        <f t="shared" si="71"/>
        <v>2021-2022</v>
      </c>
      <c r="H131" s="161" t="str">
        <f>CONCATENATE(F131,"-",RIGHT(RIGHT(G131,4),2))</f>
        <v>Feb-22</v>
      </c>
      <c r="I131" s="162"/>
      <c r="J131" s="163"/>
      <c r="K131" s="163"/>
      <c r="L131" s="163"/>
      <c r="M131" s="163"/>
      <c r="N131" s="163">
        <f t="shared" si="73"/>
        <v>0</v>
      </c>
      <c r="O131" s="163">
        <f t="shared" si="70"/>
        <v>11234.312916666666</v>
      </c>
      <c r="P131" s="164">
        <v>7.0999999999999994E-2</v>
      </c>
      <c r="Q131" s="163">
        <f t="shared" si="74"/>
        <v>66.469684756944432</v>
      </c>
      <c r="R131" s="150"/>
      <c r="S131" s="150">
        <f t="shared" si="33"/>
        <v>0</v>
      </c>
      <c r="T131" s="150"/>
      <c r="U131" s="150"/>
      <c r="V131" s="150"/>
    </row>
    <row r="132" spans="1:22" x14ac:dyDescent="0.25">
      <c r="A132" s="150"/>
      <c r="B132" s="150"/>
      <c r="C132" s="150"/>
      <c r="D132" s="150"/>
      <c r="E132" s="150"/>
      <c r="F132" s="161" t="s">
        <v>533</v>
      </c>
      <c r="G132" s="161" t="str">
        <f>G131</f>
        <v>2021-2022</v>
      </c>
      <c r="H132" s="161" t="str">
        <f>CONCATENATE(F132,"-",RIGHT(RIGHT(G132,4),2))</f>
        <v>Mar-22</v>
      </c>
      <c r="I132" s="162"/>
      <c r="J132" s="163"/>
      <c r="K132" s="163"/>
      <c r="L132" s="163"/>
      <c r="M132" s="163"/>
      <c r="N132" s="163">
        <f t="shared" si="73"/>
        <v>0</v>
      </c>
      <c r="O132" s="163">
        <f t="shared" si="70"/>
        <v>11234.312916666666</v>
      </c>
      <c r="P132" s="164">
        <v>7.0999999999999994E-2</v>
      </c>
      <c r="Q132" s="163">
        <f t="shared" si="74"/>
        <v>66.469684756944432</v>
      </c>
      <c r="R132" s="150"/>
      <c r="S132" s="150">
        <f t="shared" si="33"/>
        <v>0</v>
      </c>
      <c r="T132" s="150"/>
      <c r="U132" s="150"/>
      <c r="V132" s="150"/>
    </row>
    <row r="133" spans="1:22" x14ac:dyDescent="0.25">
      <c r="A133" s="175"/>
      <c r="B133" s="175"/>
      <c r="C133" s="175"/>
      <c r="D133" s="175"/>
      <c r="E133" s="175"/>
      <c r="F133" s="169"/>
      <c r="G133" s="169" t="str">
        <f>G132</f>
        <v>2021-2022</v>
      </c>
      <c r="H133" s="169"/>
      <c r="I133" s="170">
        <f>SUM(I121:I132)</f>
        <v>0</v>
      </c>
      <c r="J133" s="170">
        <f t="shared" ref="J133" si="75">SUM(J121:J132)</f>
        <v>2616</v>
      </c>
      <c r="K133" s="170">
        <f t="shared" ref="K133" si="76">SUM(K121:K132)</f>
        <v>0</v>
      </c>
      <c r="L133" s="170">
        <f t="shared" ref="L133" si="77">SUM(L121:L132)</f>
        <v>0</v>
      </c>
      <c r="M133" s="170">
        <f t="shared" ref="M133" si="78">SUM(M121:M132)</f>
        <v>3387</v>
      </c>
      <c r="N133" s="170">
        <f>SUM(N121:N132)</f>
        <v>6003</v>
      </c>
      <c r="O133" s="170">
        <f>O132+Q133</f>
        <v>11767.846883749999</v>
      </c>
      <c r="P133" s="171"/>
      <c r="Q133" s="170">
        <f>SUM(Q121:Q132)</f>
        <v>533.53396708333332</v>
      </c>
      <c r="R133" s="169" t="s">
        <v>651</v>
      </c>
      <c r="S133" s="150">
        <f t="shared" ref="S133:S146" si="79">IF(OR(R133="",R133="ok"),0,1)</f>
        <v>1</v>
      </c>
      <c r="T133" s="150">
        <v>552</v>
      </c>
      <c r="U133" s="163">
        <f>T133-Q133</f>
        <v>18.466032916666677</v>
      </c>
      <c r="V133" s="150"/>
    </row>
    <row r="134" spans="1:22" x14ac:dyDescent="0.25">
      <c r="A134" s="150"/>
      <c r="B134" s="150"/>
      <c r="C134" s="150"/>
      <c r="D134" s="150"/>
      <c r="E134" s="150"/>
      <c r="F134" s="161" t="s">
        <v>534</v>
      </c>
      <c r="G134" s="161" t="str">
        <f>CONCATENATE(RIGHT(G121,4),"-",RIGHT(G121,4)+1)</f>
        <v>2022-2023</v>
      </c>
      <c r="H134" s="161" t="str">
        <f>CONCATENATE(F134,"-",RIGHT(LEFT(G134,4),2))</f>
        <v>Apr-22</v>
      </c>
      <c r="I134" s="162"/>
      <c r="J134" s="163"/>
      <c r="K134" s="163"/>
      <c r="L134" s="163"/>
      <c r="M134" s="163"/>
      <c r="N134" s="163">
        <f>I134+J134+L134+M134-K134</f>
        <v>0</v>
      </c>
      <c r="O134" s="163">
        <f t="shared" ref="O134:O144" si="80">O133+N134</f>
        <v>11767.846883749999</v>
      </c>
      <c r="P134" s="164">
        <v>7.0999999999999994E-2</v>
      </c>
      <c r="Q134" s="163">
        <f>O134*P134/12</f>
        <v>69.626427395520821</v>
      </c>
      <c r="R134" s="150"/>
      <c r="S134" s="150">
        <f t="shared" si="79"/>
        <v>0</v>
      </c>
      <c r="T134" s="150"/>
      <c r="U134" s="150"/>
      <c r="V134" s="150"/>
    </row>
    <row r="135" spans="1:22" x14ac:dyDescent="0.25">
      <c r="A135" s="150"/>
      <c r="B135" s="150"/>
      <c r="C135" s="155"/>
      <c r="D135" s="150"/>
      <c r="E135" s="155"/>
      <c r="F135" s="161" t="s">
        <v>520</v>
      </c>
      <c r="G135" s="161" t="str">
        <f t="shared" ref="G135:G144" si="81">G134</f>
        <v>2022-2023</v>
      </c>
      <c r="H135" s="161" t="str">
        <f t="shared" ref="H135:H142" si="82">CONCATENATE(F135,"-",RIGHT(LEFT(G135,4),2))</f>
        <v>May-22</v>
      </c>
      <c r="I135" s="162"/>
      <c r="J135" s="163"/>
      <c r="K135" s="163"/>
      <c r="L135" s="163"/>
      <c r="M135" s="163"/>
      <c r="N135" s="163">
        <f t="shared" ref="N135:N145" si="83">I135+J135+L135+M135-K135</f>
        <v>0</v>
      </c>
      <c r="O135" s="163">
        <f t="shared" si="80"/>
        <v>11767.846883749999</v>
      </c>
      <c r="P135" s="164">
        <v>7.0999999999999994E-2</v>
      </c>
      <c r="Q135" s="163">
        <f t="shared" ref="Q135:Q145" si="84">O135*P135/12</f>
        <v>69.626427395520821</v>
      </c>
      <c r="R135" s="150"/>
      <c r="S135" s="150">
        <f t="shared" si="79"/>
        <v>0</v>
      </c>
      <c r="T135" s="150"/>
      <c r="U135" s="150"/>
      <c r="V135" s="150"/>
    </row>
    <row r="136" spans="1:22" ht="24" x14ac:dyDescent="0.25">
      <c r="A136" s="172" t="s">
        <v>646</v>
      </c>
      <c r="B136" s="172" t="s">
        <v>647</v>
      </c>
      <c r="C136" s="173" t="s">
        <v>648</v>
      </c>
      <c r="D136" s="172" t="s">
        <v>649</v>
      </c>
      <c r="E136" s="173" t="s">
        <v>650</v>
      </c>
      <c r="F136" s="161" t="s">
        <v>535</v>
      </c>
      <c r="G136" s="161" t="str">
        <f t="shared" si="81"/>
        <v>2022-2023</v>
      </c>
      <c r="H136" s="161" t="str">
        <f t="shared" si="82"/>
        <v>Jun-22</v>
      </c>
      <c r="I136" s="162">
        <v>4200</v>
      </c>
      <c r="J136" s="163">
        <v>2907</v>
      </c>
      <c r="K136" s="163"/>
      <c r="L136" s="163"/>
      <c r="M136" s="163"/>
      <c r="N136" s="163">
        <f t="shared" si="83"/>
        <v>7107</v>
      </c>
      <c r="O136" s="163">
        <f t="shared" si="80"/>
        <v>18874.846883749997</v>
      </c>
      <c r="P136" s="164">
        <v>7.0999999999999994E-2</v>
      </c>
      <c r="Q136" s="163">
        <f t="shared" si="84"/>
        <v>111.67617739552081</v>
      </c>
      <c r="R136" s="150" t="s">
        <v>188</v>
      </c>
      <c r="S136" s="150">
        <f t="shared" si="79"/>
        <v>0</v>
      </c>
      <c r="T136" s="150"/>
      <c r="U136" s="150"/>
      <c r="V136" s="150"/>
    </row>
    <row r="137" spans="1:22" x14ac:dyDescent="0.25">
      <c r="A137" s="150">
        <v>140</v>
      </c>
      <c r="B137" s="150">
        <v>40304752</v>
      </c>
      <c r="C137" s="155">
        <v>44735</v>
      </c>
      <c r="D137" s="150">
        <v>19496</v>
      </c>
      <c r="E137" s="155">
        <v>44743</v>
      </c>
      <c r="F137" s="161" t="s">
        <v>536</v>
      </c>
      <c r="G137" s="161" t="str">
        <f t="shared" si="81"/>
        <v>2022-2023</v>
      </c>
      <c r="H137" s="161" t="str">
        <f t="shared" si="82"/>
        <v>Jul-22</v>
      </c>
      <c r="I137" s="162">
        <v>2100</v>
      </c>
      <c r="J137" s="163"/>
      <c r="K137" s="163"/>
      <c r="L137" s="163"/>
      <c r="M137" s="163"/>
      <c r="N137" s="163">
        <f t="shared" si="83"/>
        <v>2100</v>
      </c>
      <c r="O137" s="163">
        <f t="shared" si="80"/>
        <v>20974.846883749997</v>
      </c>
      <c r="P137" s="164">
        <v>7.0999999999999994E-2</v>
      </c>
      <c r="Q137" s="163">
        <f t="shared" si="84"/>
        <v>124.10117739552079</v>
      </c>
      <c r="R137" s="150" t="s">
        <v>188</v>
      </c>
      <c r="S137" s="150">
        <f t="shared" si="79"/>
        <v>0</v>
      </c>
      <c r="T137" s="150"/>
      <c r="U137" s="150"/>
      <c r="V137" s="150"/>
    </row>
    <row r="138" spans="1:22" x14ac:dyDescent="0.25">
      <c r="A138" s="150">
        <v>142</v>
      </c>
      <c r="B138" s="150">
        <v>40693185</v>
      </c>
      <c r="C138" s="155">
        <v>44762</v>
      </c>
      <c r="D138" s="150">
        <v>25322</v>
      </c>
      <c r="E138" s="155">
        <v>44774</v>
      </c>
      <c r="F138" s="161" t="s">
        <v>523</v>
      </c>
      <c r="G138" s="161" t="str">
        <f t="shared" si="81"/>
        <v>2022-2023</v>
      </c>
      <c r="H138" s="161" t="str">
        <f t="shared" si="82"/>
        <v>Aug-22</v>
      </c>
      <c r="I138" s="162">
        <v>2100</v>
      </c>
      <c r="J138" s="163"/>
      <c r="K138" s="163"/>
      <c r="L138" s="163"/>
      <c r="M138" s="163"/>
      <c r="N138" s="163">
        <f t="shared" si="83"/>
        <v>2100</v>
      </c>
      <c r="O138" s="163">
        <f t="shared" si="80"/>
        <v>23074.846883749997</v>
      </c>
      <c r="P138" s="164">
        <v>7.0999999999999994E-2</v>
      </c>
      <c r="Q138" s="163">
        <f t="shared" si="84"/>
        <v>136.52617739552082</v>
      </c>
      <c r="R138" s="150" t="s">
        <v>188</v>
      </c>
      <c r="S138" s="150">
        <f t="shared" si="79"/>
        <v>0</v>
      </c>
      <c r="T138" s="150"/>
      <c r="U138" s="150"/>
      <c r="V138" s="150"/>
    </row>
    <row r="139" spans="1:22" x14ac:dyDescent="0.25">
      <c r="A139" s="150">
        <v>143</v>
      </c>
      <c r="B139" s="150">
        <v>41095681</v>
      </c>
      <c r="C139" s="155">
        <v>44792</v>
      </c>
      <c r="D139" s="150">
        <v>31626</v>
      </c>
      <c r="E139" s="155">
        <v>44805</v>
      </c>
      <c r="F139" s="161" t="s">
        <v>537</v>
      </c>
      <c r="G139" s="161" t="str">
        <f t="shared" si="81"/>
        <v>2022-2023</v>
      </c>
      <c r="H139" s="161" t="str">
        <f t="shared" si="82"/>
        <v>Sep-22</v>
      </c>
      <c r="I139" s="162">
        <v>2100</v>
      </c>
      <c r="J139" s="163"/>
      <c r="K139" s="163"/>
      <c r="L139" s="163"/>
      <c r="M139" s="163"/>
      <c r="N139" s="163">
        <f t="shared" si="83"/>
        <v>2100</v>
      </c>
      <c r="O139" s="163">
        <f t="shared" si="80"/>
        <v>25174.846883749997</v>
      </c>
      <c r="P139" s="164">
        <v>7.0999999999999994E-2</v>
      </c>
      <c r="Q139" s="163">
        <f t="shared" si="84"/>
        <v>148.9511773955208</v>
      </c>
      <c r="R139" s="150" t="s">
        <v>188</v>
      </c>
      <c r="S139" s="150">
        <f t="shared" si="79"/>
        <v>0</v>
      </c>
      <c r="T139" s="150"/>
      <c r="U139" s="150"/>
      <c r="V139" s="150"/>
    </row>
    <row r="140" spans="1:22" ht="24" x14ac:dyDescent="0.25">
      <c r="A140" s="172" t="s">
        <v>709</v>
      </c>
      <c r="B140" s="172" t="s">
        <v>710</v>
      </c>
      <c r="C140" s="173" t="s">
        <v>711</v>
      </c>
      <c r="D140" s="172" t="s">
        <v>712</v>
      </c>
      <c r="E140" s="173" t="s">
        <v>713</v>
      </c>
      <c r="F140" s="161" t="s">
        <v>525</v>
      </c>
      <c r="G140" s="161" t="str">
        <f t="shared" si="81"/>
        <v>2022-2023</v>
      </c>
      <c r="H140" s="161" t="str">
        <f t="shared" si="82"/>
        <v>Oct-22</v>
      </c>
      <c r="I140" s="162">
        <v>2100</v>
      </c>
      <c r="J140" s="163"/>
      <c r="K140" s="163"/>
      <c r="L140" s="163"/>
      <c r="M140" s="163">
        <v>1694</v>
      </c>
      <c r="N140" s="163">
        <f t="shared" si="83"/>
        <v>3794</v>
      </c>
      <c r="O140" s="163">
        <f t="shared" si="80"/>
        <v>28968.846883749997</v>
      </c>
      <c r="P140" s="164">
        <v>7.0999999999999994E-2</v>
      </c>
      <c r="Q140" s="163">
        <f t="shared" si="84"/>
        <v>171.39901072885414</v>
      </c>
      <c r="R140" s="150" t="s">
        <v>188</v>
      </c>
      <c r="S140" s="150">
        <f t="shared" si="79"/>
        <v>0</v>
      </c>
      <c r="T140" s="150"/>
      <c r="U140" s="150"/>
      <c r="V140" s="150"/>
    </row>
    <row r="141" spans="1:22" x14ac:dyDescent="0.25">
      <c r="A141" s="150">
        <v>146</v>
      </c>
      <c r="B141" s="150">
        <v>42338085</v>
      </c>
      <c r="C141" s="155">
        <v>44861</v>
      </c>
      <c r="D141" s="150">
        <v>47806</v>
      </c>
      <c r="E141" s="155">
        <v>44866</v>
      </c>
      <c r="F141" s="161" t="s">
        <v>526</v>
      </c>
      <c r="G141" s="161" t="str">
        <f t="shared" si="81"/>
        <v>2022-2023</v>
      </c>
      <c r="H141" s="161" t="str">
        <f t="shared" si="82"/>
        <v>Nov-22</v>
      </c>
      <c r="I141" s="162">
        <v>2100</v>
      </c>
      <c r="J141" s="163"/>
      <c r="K141" s="163"/>
      <c r="L141" s="163"/>
      <c r="M141" s="163"/>
      <c r="N141" s="163">
        <f t="shared" si="83"/>
        <v>2100</v>
      </c>
      <c r="O141" s="163">
        <f t="shared" si="80"/>
        <v>31068.846883749997</v>
      </c>
      <c r="P141" s="164">
        <v>7.0999999999999994E-2</v>
      </c>
      <c r="Q141" s="163">
        <f t="shared" si="84"/>
        <v>183.82401072885412</v>
      </c>
      <c r="R141" s="150" t="s">
        <v>188</v>
      </c>
      <c r="S141" s="150">
        <f t="shared" si="79"/>
        <v>0</v>
      </c>
      <c r="T141" s="150"/>
      <c r="U141" s="150"/>
      <c r="V141" s="150"/>
    </row>
    <row r="142" spans="1:22" ht="24" x14ac:dyDescent="0.25">
      <c r="A142" s="172" t="s">
        <v>729</v>
      </c>
      <c r="B142" s="172" t="s">
        <v>730</v>
      </c>
      <c r="C142" s="173" t="s">
        <v>731</v>
      </c>
      <c r="D142" s="172" t="s">
        <v>732</v>
      </c>
      <c r="E142" s="173" t="s">
        <v>733</v>
      </c>
      <c r="F142" s="161" t="s">
        <v>527</v>
      </c>
      <c r="G142" s="161" t="str">
        <f t="shared" si="81"/>
        <v>2022-2023</v>
      </c>
      <c r="H142" s="161" t="str">
        <f t="shared" si="82"/>
        <v>Dec-22</v>
      </c>
      <c r="I142" s="162">
        <v>2100</v>
      </c>
      <c r="J142" s="163">
        <v>3996</v>
      </c>
      <c r="K142" s="163"/>
      <c r="L142" s="163"/>
      <c r="M142" s="163"/>
      <c r="N142" s="163">
        <f t="shared" si="83"/>
        <v>6096</v>
      </c>
      <c r="O142" s="163">
        <f t="shared" si="80"/>
        <v>37164.846883749997</v>
      </c>
      <c r="P142" s="164">
        <v>7.0999999999999994E-2</v>
      </c>
      <c r="Q142" s="163">
        <f t="shared" si="84"/>
        <v>219.8920107288541</v>
      </c>
      <c r="R142" s="150" t="s">
        <v>188</v>
      </c>
      <c r="S142" s="150">
        <f t="shared" si="79"/>
        <v>0</v>
      </c>
      <c r="T142" s="150"/>
      <c r="U142" s="150"/>
      <c r="V142" s="150"/>
    </row>
    <row r="143" spans="1:22" ht="24" x14ac:dyDescent="0.25">
      <c r="A143" s="172" t="s">
        <v>724</v>
      </c>
      <c r="B143" s="172" t="s">
        <v>725</v>
      </c>
      <c r="C143" s="173" t="s">
        <v>726</v>
      </c>
      <c r="D143" s="172" t="s">
        <v>727</v>
      </c>
      <c r="E143" s="173" t="s">
        <v>728</v>
      </c>
      <c r="F143" s="161" t="s">
        <v>528</v>
      </c>
      <c r="G143" s="161" t="str">
        <f t="shared" si="81"/>
        <v>2022-2023</v>
      </c>
      <c r="H143" s="161" t="str">
        <f>CONCATENATE(F143,"-",RIGHT(RIGHT(G143,4),2))</f>
        <v>Jan-23</v>
      </c>
      <c r="I143" s="162">
        <v>2100</v>
      </c>
      <c r="J143" s="163"/>
      <c r="K143" s="163"/>
      <c r="L143" s="163"/>
      <c r="M143" s="163">
        <v>14</v>
      </c>
      <c r="N143" s="163">
        <f t="shared" si="83"/>
        <v>2114</v>
      </c>
      <c r="O143" s="163">
        <f t="shared" si="80"/>
        <v>39278.846883749997</v>
      </c>
      <c r="P143" s="164">
        <v>7.0999999999999994E-2</v>
      </c>
      <c r="Q143" s="163">
        <f t="shared" si="84"/>
        <v>232.39984406218744</v>
      </c>
      <c r="R143" s="150" t="s">
        <v>188</v>
      </c>
      <c r="S143" s="150">
        <f t="shared" si="79"/>
        <v>0</v>
      </c>
      <c r="T143" s="150"/>
      <c r="U143" s="150"/>
      <c r="V143" s="150"/>
    </row>
    <row r="144" spans="1:22" x14ac:dyDescent="0.25">
      <c r="A144" s="150">
        <v>151</v>
      </c>
      <c r="B144" s="150">
        <v>43878587</v>
      </c>
      <c r="C144" s="155">
        <v>44949</v>
      </c>
      <c r="D144" s="150">
        <v>68683</v>
      </c>
      <c r="E144" s="155">
        <v>44958</v>
      </c>
      <c r="F144" s="161" t="s">
        <v>529</v>
      </c>
      <c r="G144" s="161" t="str">
        <f t="shared" si="81"/>
        <v>2022-2023</v>
      </c>
      <c r="H144" s="161" t="str">
        <f>CONCATENATE(F144,"-",RIGHT(RIGHT(G144,4),2))</f>
        <v>Feb-23</v>
      </c>
      <c r="I144" s="162">
        <v>2100</v>
      </c>
      <c r="J144" s="163"/>
      <c r="K144" s="163"/>
      <c r="L144" s="163"/>
      <c r="M144" s="163"/>
      <c r="N144" s="163">
        <f t="shared" si="83"/>
        <v>2100</v>
      </c>
      <c r="O144" s="163">
        <f t="shared" si="80"/>
        <v>41378.846883749997</v>
      </c>
      <c r="P144" s="164">
        <v>7.0999999999999994E-2</v>
      </c>
      <c r="Q144" s="163">
        <f t="shared" si="84"/>
        <v>244.82484406218745</v>
      </c>
      <c r="R144" s="150" t="s">
        <v>188</v>
      </c>
      <c r="S144" s="150">
        <f t="shared" si="79"/>
        <v>0</v>
      </c>
      <c r="T144" s="150"/>
      <c r="U144" s="150"/>
      <c r="V144" s="150"/>
    </row>
    <row r="145" spans="1:22" x14ac:dyDescent="0.25">
      <c r="A145" s="150">
        <v>152</v>
      </c>
      <c r="B145" s="150">
        <v>44472500</v>
      </c>
      <c r="C145" s="155">
        <v>44977</v>
      </c>
      <c r="D145" s="150">
        <v>77782</v>
      </c>
      <c r="E145" s="155">
        <v>44986</v>
      </c>
      <c r="F145" s="161" t="s">
        <v>533</v>
      </c>
      <c r="G145" s="161" t="str">
        <f>G144</f>
        <v>2022-2023</v>
      </c>
      <c r="H145" s="161" t="str">
        <f>CONCATENATE(F145,"-",RIGHT(RIGHT(G145,4),2))</f>
        <v>Mar-23</v>
      </c>
      <c r="I145" s="162">
        <v>2100</v>
      </c>
      <c r="J145" s="163"/>
      <c r="K145" s="163"/>
      <c r="L145" s="163"/>
      <c r="M145" s="163"/>
      <c r="N145" s="163">
        <f t="shared" si="83"/>
        <v>2100</v>
      </c>
      <c r="O145" s="163">
        <f>O144+N145</f>
        <v>43478.846883749997</v>
      </c>
      <c r="P145" s="164">
        <v>7.0999999999999994E-2</v>
      </c>
      <c r="Q145" s="163">
        <f t="shared" si="84"/>
        <v>257.24984406218749</v>
      </c>
      <c r="R145" s="150" t="s">
        <v>188</v>
      </c>
      <c r="S145" s="150">
        <f t="shared" si="79"/>
        <v>0</v>
      </c>
      <c r="T145" s="150"/>
      <c r="U145" s="150"/>
      <c r="V145" s="150"/>
    </row>
    <row r="146" spans="1:22" x14ac:dyDescent="0.25">
      <c r="A146" s="175"/>
      <c r="B146" s="175"/>
      <c r="C146" s="175"/>
      <c r="D146" s="175"/>
      <c r="E146" s="175"/>
      <c r="F146" s="169"/>
      <c r="G146" s="169" t="str">
        <f>G145</f>
        <v>2022-2023</v>
      </c>
      <c r="H146" s="169"/>
      <c r="I146" s="170">
        <f t="shared" ref="I146:N146" si="85">SUM(I134:I145)</f>
        <v>23100</v>
      </c>
      <c r="J146" s="170">
        <f t="shared" si="85"/>
        <v>6903</v>
      </c>
      <c r="K146" s="170">
        <f t="shared" si="85"/>
        <v>0</v>
      </c>
      <c r="L146" s="170">
        <f t="shared" si="85"/>
        <v>0</v>
      </c>
      <c r="M146" s="170">
        <f t="shared" si="85"/>
        <v>1708</v>
      </c>
      <c r="N146" s="170">
        <f t="shared" si="85"/>
        <v>31711</v>
      </c>
      <c r="O146" s="170">
        <f>O145+Q146</f>
        <v>45448.944012496249</v>
      </c>
      <c r="P146" s="171"/>
      <c r="Q146" s="170">
        <f>SUM(Q134:Q145)</f>
        <v>1970.0971287462494</v>
      </c>
      <c r="R146" s="169" t="s">
        <v>651</v>
      </c>
      <c r="S146" s="150">
        <f t="shared" si="79"/>
        <v>1</v>
      </c>
      <c r="T146" s="150">
        <v>2057</v>
      </c>
      <c r="U146" s="163">
        <f>T146-Q146</f>
        <v>86.902871253750618</v>
      </c>
      <c r="V146" s="150"/>
    </row>
    <row r="147" spans="1:22" x14ac:dyDescent="0.25">
      <c r="A147" s="150">
        <v>153</v>
      </c>
      <c r="B147" s="150">
        <v>45133785</v>
      </c>
      <c r="C147" s="155">
        <v>45017</v>
      </c>
      <c r="D147" s="150">
        <v>763</v>
      </c>
      <c r="E147" s="155">
        <v>45019</v>
      </c>
      <c r="F147" s="161" t="s">
        <v>534</v>
      </c>
      <c r="G147" s="161" t="str">
        <f>CONCATENATE(RIGHT(G134,4),"-",RIGHT(G134,4)+1)</f>
        <v>2023-2024</v>
      </c>
      <c r="H147" s="161" t="str">
        <f>CONCATENATE(F147,"-",RIGHT(LEFT(G147,4),2))</f>
        <v>Apr-23</v>
      </c>
      <c r="I147" s="162">
        <v>2100</v>
      </c>
      <c r="J147" s="163"/>
      <c r="K147" s="163"/>
      <c r="L147" s="163"/>
      <c r="M147" s="163"/>
      <c r="N147" s="163">
        <f>I147+J147+L147+M147-K147</f>
        <v>2100</v>
      </c>
      <c r="O147" s="163">
        <f t="shared" ref="O147:O157" si="86">O146+N147</f>
        <v>47548.944012496249</v>
      </c>
      <c r="P147" s="164">
        <v>7.0999999999999994E-2</v>
      </c>
      <c r="Q147" s="163">
        <f>O147*P147/12</f>
        <v>281.33125207393613</v>
      </c>
      <c r="R147" s="150" t="s">
        <v>188</v>
      </c>
      <c r="S147" s="150">
        <f t="shared" ref="S147:S158" si="87">IF(OR(R147="",R147="ok"),0,1)</f>
        <v>0</v>
      </c>
      <c r="T147" s="150"/>
      <c r="U147" s="150"/>
      <c r="V147" s="150"/>
    </row>
    <row r="148" spans="1:22" x14ac:dyDescent="0.25">
      <c r="A148" s="150">
        <v>154</v>
      </c>
      <c r="B148" s="150">
        <v>46031314</v>
      </c>
      <c r="C148" s="155">
        <v>45058</v>
      </c>
      <c r="D148" s="150">
        <v>11389</v>
      </c>
      <c r="E148" s="155">
        <v>45061</v>
      </c>
      <c r="F148" s="161" t="s">
        <v>520</v>
      </c>
      <c r="G148" s="161" t="str">
        <f t="shared" ref="G148:G157" si="88">G147</f>
        <v>2023-2024</v>
      </c>
      <c r="H148" s="161" t="str">
        <f t="shared" ref="H148:H155" si="89">CONCATENATE(F148,"-",RIGHT(LEFT(G148,4),2))</f>
        <v>May-23</v>
      </c>
      <c r="I148" s="162">
        <v>2100</v>
      </c>
      <c r="J148" s="163"/>
      <c r="K148" s="163"/>
      <c r="L148" s="163"/>
      <c r="M148" s="163"/>
      <c r="N148" s="163">
        <f t="shared" ref="N148:N158" si="90">I148+J148+L148+M148-K148</f>
        <v>2100</v>
      </c>
      <c r="O148" s="163">
        <f t="shared" si="86"/>
        <v>49648.944012496249</v>
      </c>
      <c r="P148" s="164">
        <v>7.0999999999999994E-2</v>
      </c>
      <c r="Q148" s="163">
        <f t="shared" ref="Q148:Q158" si="91">O148*P148/12</f>
        <v>293.75625207393608</v>
      </c>
      <c r="R148" s="150" t="s">
        <v>188</v>
      </c>
      <c r="S148" s="150">
        <f t="shared" si="87"/>
        <v>0</v>
      </c>
      <c r="T148" s="150"/>
      <c r="U148" s="150"/>
      <c r="V148" s="150"/>
    </row>
    <row r="149" spans="1:22" x14ac:dyDescent="0.25">
      <c r="A149" s="150">
        <v>155</v>
      </c>
      <c r="B149" s="150">
        <v>46331842</v>
      </c>
      <c r="C149" s="155">
        <v>45077</v>
      </c>
      <c r="D149" s="150">
        <v>15727</v>
      </c>
      <c r="E149" s="155">
        <v>45078</v>
      </c>
      <c r="F149" s="161" t="s">
        <v>535</v>
      </c>
      <c r="G149" s="161" t="str">
        <f t="shared" si="88"/>
        <v>2023-2024</v>
      </c>
      <c r="H149" s="161" t="str">
        <f t="shared" si="89"/>
        <v>Jun-23</v>
      </c>
      <c r="I149" s="162">
        <v>2100</v>
      </c>
      <c r="J149" s="163"/>
      <c r="K149" s="163"/>
      <c r="L149" s="163"/>
      <c r="M149" s="163"/>
      <c r="N149" s="163">
        <f t="shared" si="90"/>
        <v>2100</v>
      </c>
      <c r="O149" s="163">
        <f t="shared" si="86"/>
        <v>51748.944012496249</v>
      </c>
      <c r="P149" s="164">
        <v>7.0999999999999994E-2</v>
      </c>
      <c r="Q149" s="163">
        <f t="shared" si="91"/>
        <v>306.18125207393615</v>
      </c>
      <c r="R149" s="150" t="s">
        <v>188</v>
      </c>
      <c r="S149" s="150">
        <f t="shared" si="87"/>
        <v>0</v>
      </c>
      <c r="T149" s="150"/>
      <c r="U149" s="150"/>
      <c r="V149" s="150"/>
    </row>
    <row r="150" spans="1:22" x14ac:dyDescent="0.25">
      <c r="A150" s="150">
        <v>157</v>
      </c>
      <c r="B150" s="150">
        <v>46616223</v>
      </c>
      <c r="C150" s="155">
        <v>45101</v>
      </c>
      <c r="D150" s="150">
        <v>19972</v>
      </c>
      <c r="E150" s="155">
        <v>45108</v>
      </c>
      <c r="F150" s="161" t="s">
        <v>536</v>
      </c>
      <c r="G150" s="161" t="str">
        <f t="shared" si="88"/>
        <v>2023-2024</v>
      </c>
      <c r="H150" s="161" t="str">
        <f t="shared" si="89"/>
        <v>Jul-23</v>
      </c>
      <c r="I150" s="162">
        <v>2100</v>
      </c>
      <c r="J150" s="163"/>
      <c r="K150" s="163"/>
      <c r="L150" s="163"/>
      <c r="M150" s="163"/>
      <c r="N150" s="163">
        <f t="shared" si="90"/>
        <v>2100</v>
      </c>
      <c r="O150" s="163">
        <f t="shared" si="86"/>
        <v>53848.944012496249</v>
      </c>
      <c r="P150" s="164">
        <v>7.0999999999999994E-2</v>
      </c>
      <c r="Q150" s="163">
        <f t="shared" si="91"/>
        <v>318.6062520739361</v>
      </c>
      <c r="R150" s="150" t="s">
        <v>188</v>
      </c>
      <c r="S150" s="150">
        <f t="shared" si="87"/>
        <v>0</v>
      </c>
      <c r="T150" s="150"/>
      <c r="U150" s="150"/>
      <c r="V150" s="150"/>
    </row>
    <row r="151" spans="1:22" ht="24" x14ac:dyDescent="0.25">
      <c r="A151" s="172" t="s">
        <v>780</v>
      </c>
      <c r="B151" s="172" t="s">
        <v>776</v>
      </c>
      <c r="C151" s="173" t="s">
        <v>777</v>
      </c>
      <c r="D151" s="172" t="s">
        <v>778</v>
      </c>
      <c r="E151" s="173" t="s">
        <v>779</v>
      </c>
      <c r="F151" s="161" t="s">
        <v>523</v>
      </c>
      <c r="G151" s="161" t="str">
        <f t="shared" si="88"/>
        <v>2023-2024</v>
      </c>
      <c r="H151" s="161" t="str">
        <f t="shared" si="89"/>
        <v>Aug-23</v>
      </c>
      <c r="I151" s="162">
        <v>2100</v>
      </c>
      <c r="J151" s="163">
        <v>4176</v>
      </c>
      <c r="K151" s="163"/>
      <c r="L151" s="163"/>
      <c r="M151" s="163"/>
      <c r="N151" s="163">
        <f t="shared" si="90"/>
        <v>6276</v>
      </c>
      <c r="O151" s="163">
        <f t="shared" si="86"/>
        <v>60124.944012496249</v>
      </c>
      <c r="P151" s="164">
        <v>7.0999999999999994E-2</v>
      </c>
      <c r="Q151" s="163">
        <f t="shared" si="91"/>
        <v>355.73925207393609</v>
      </c>
      <c r="R151" s="150" t="s">
        <v>188</v>
      </c>
      <c r="S151" s="150">
        <f t="shared" si="87"/>
        <v>0</v>
      </c>
      <c r="T151" s="150"/>
      <c r="U151" s="150"/>
      <c r="V151" s="150"/>
    </row>
    <row r="152" spans="1:22" x14ac:dyDescent="0.25">
      <c r="A152" s="150">
        <v>160</v>
      </c>
      <c r="B152" s="150">
        <v>47617195</v>
      </c>
      <c r="C152" s="155">
        <v>45161</v>
      </c>
      <c r="D152" s="150">
        <v>34957</v>
      </c>
      <c r="E152" s="155">
        <v>45170</v>
      </c>
      <c r="F152" s="161" t="s">
        <v>537</v>
      </c>
      <c r="G152" s="161" t="str">
        <f t="shared" si="88"/>
        <v>2023-2024</v>
      </c>
      <c r="H152" s="161" t="str">
        <f t="shared" si="89"/>
        <v>Sep-23</v>
      </c>
      <c r="I152" s="162">
        <v>2100</v>
      </c>
      <c r="J152" s="163"/>
      <c r="K152" s="163"/>
      <c r="L152" s="163"/>
      <c r="M152" s="163"/>
      <c r="N152" s="163">
        <f t="shared" si="90"/>
        <v>2100</v>
      </c>
      <c r="O152" s="163">
        <f t="shared" si="86"/>
        <v>62224.944012496249</v>
      </c>
      <c r="P152" s="164">
        <v>7.0999999999999994E-2</v>
      </c>
      <c r="Q152" s="163">
        <f t="shared" si="91"/>
        <v>368.1642520739361</v>
      </c>
      <c r="R152" s="150" t="s">
        <v>188</v>
      </c>
      <c r="S152" s="150">
        <f t="shared" si="87"/>
        <v>0</v>
      </c>
      <c r="T152" s="150"/>
      <c r="U152" s="150"/>
      <c r="V152" s="150"/>
    </row>
    <row r="153" spans="1:22" x14ac:dyDescent="0.25">
      <c r="A153" s="150">
        <v>162</v>
      </c>
      <c r="B153" s="150">
        <v>48065579</v>
      </c>
      <c r="C153" s="155">
        <v>45192</v>
      </c>
      <c r="D153" s="150">
        <v>40520</v>
      </c>
      <c r="E153" s="155">
        <v>45202</v>
      </c>
      <c r="F153" s="161" t="s">
        <v>525</v>
      </c>
      <c r="G153" s="161" t="str">
        <f t="shared" si="88"/>
        <v>2023-2024</v>
      </c>
      <c r="H153" s="161" t="str">
        <f t="shared" si="89"/>
        <v>Oct-23</v>
      </c>
      <c r="I153" s="162">
        <v>2100</v>
      </c>
      <c r="J153" s="163"/>
      <c r="K153" s="163"/>
      <c r="L153" s="163"/>
      <c r="M153" s="163"/>
      <c r="N153" s="163">
        <f t="shared" si="90"/>
        <v>2100</v>
      </c>
      <c r="O153" s="163">
        <f t="shared" si="86"/>
        <v>64324.944012496249</v>
      </c>
      <c r="P153" s="164">
        <v>7.0999999999999994E-2</v>
      </c>
      <c r="Q153" s="163">
        <f t="shared" si="91"/>
        <v>380.58925207393605</v>
      </c>
      <c r="R153" s="150" t="s">
        <v>188</v>
      </c>
      <c r="S153" s="150">
        <f t="shared" si="87"/>
        <v>0</v>
      </c>
      <c r="T153" s="150"/>
      <c r="U153" s="150"/>
      <c r="V153" s="150"/>
    </row>
    <row r="154" spans="1:22" ht="24" x14ac:dyDescent="0.25">
      <c r="A154" s="172" t="s">
        <v>781</v>
      </c>
      <c r="B154" s="172" t="s">
        <v>782</v>
      </c>
      <c r="C154" s="173" t="s">
        <v>783</v>
      </c>
      <c r="D154" s="172" t="s">
        <v>784</v>
      </c>
      <c r="E154" s="173" t="s">
        <v>785</v>
      </c>
      <c r="F154" s="161" t="s">
        <v>526</v>
      </c>
      <c r="G154" s="161" t="str">
        <f t="shared" si="88"/>
        <v>2023-2024</v>
      </c>
      <c r="H154" s="161" t="str">
        <f t="shared" si="89"/>
        <v>Nov-23</v>
      </c>
      <c r="I154" s="162">
        <v>2100</v>
      </c>
      <c r="J154" s="163"/>
      <c r="K154" s="163"/>
      <c r="L154" s="163"/>
      <c r="M154" s="163">
        <v>1694</v>
      </c>
      <c r="N154" s="163">
        <f t="shared" si="90"/>
        <v>3794</v>
      </c>
      <c r="O154" s="163">
        <f t="shared" si="86"/>
        <v>68118.944012496242</v>
      </c>
      <c r="P154" s="164">
        <v>7.0999999999999994E-2</v>
      </c>
      <c r="Q154" s="163">
        <f t="shared" si="91"/>
        <v>403.03708540726939</v>
      </c>
      <c r="R154" s="150" t="s">
        <v>188</v>
      </c>
      <c r="S154" s="150">
        <f t="shared" si="87"/>
        <v>0</v>
      </c>
      <c r="T154" s="150"/>
      <c r="U154" s="150"/>
      <c r="V154" s="150"/>
    </row>
    <row r="155" spans="1:22" x14ac:dyDescent="0.25">
      <c r="A155" s="150">
        <v>165</v>
      </c>
      <c r="B155" s="150">
        <v>49199160</v>
      </c>
      <c r="C155" s="155">
        <v>45255</v>
      </c>
      <c r="D155" s="150">
        <v>54122</v>
      </c>
      <c r="E155" s="155">
        <v>45261</v>
      </c>
      <c r="F155" s="161" t="s">
        <v>527</v>
      </c>
      <c r="G155" s="161" t="str">
        <f t="shared" si="88"/>
        <v>2023-2024</v>
      </c>
      <c r="H155" s="161" t="str">
        <f t="shared" si="89"/>
        <v>Dec-23</v>
      </c>
      <c r="I155" s="162">
        <v>2100</v>
      </c>
      <c r="J155" s="163"/>
      <c r="K155" s="163"/>
      <c r="L155" s="163"/>
      <c r="M155" s="163"/>
      <c r="N155" s="163">
        <f t="shared" si="90"/>
        <v>2100</v>
      </c>
      <c r="O155" s="163">
        <f t="shared" si="86"/>
        <v>70218.944012496242</v>
      </c>
      <c r="P155" s="164">
        <v>7.0999999999999994E-2</v>
      </c>
      <c r="Q155" s="163">
        <f t="shared" si="91"/>
        <v>415.4620854072694</v>
      </c>
      <c r="R155" s="150" t="s">
        <v>188</v>
      </c>
      <c r="S155" s="150">
        <f t="shared" si="87"/>
        <v>0</v>
      </c>
      <c r="T155" s="150"/>
      <c r="U155" s="150"/>
      <c r="V155" s="150"/>
    </row>
    <row r="156" spans="1:22" ht="24" x14ac:dyDescent="0.25">
      <c r="A156" s="172" t="s">
        <v>786</v>
      </c>
      <c r="B156" s="172" t="s">
        <v>787</v>
      </c>
      <c r="C156" s="173" t="s">
        <v>788</v>
      </c>
      <c r="D156" s="172" t="s">
        <v>789</v>
      </c>
      <c r="E156" s="173" t="s">
        <v>790</v>
      </c>
      <c r="F156" s="161" t="s">
        <v>528</v>
      </c>
      <c r="G156" s="161" t="str">
        <f t="shared" si="88"/>
        <v>2023-2024</v>
      </c>
      <c r="H156" s="161" t="str">
        <f>CONCATENATE(F156,"-",RIGHT(RIGHT(G156,4),2))</f>
        <v>Jan-24</v>
      </c>
      <c r="I156" s="162">
        <v>2100</v>
      </c>
      <c r="J156" s="163">
        <v>5728</v>
      </c>
      <c r="K156" s="163"/>
      <c r="L156" s="163"/>
      <c r="M156" s="163"/>
      <c r="N156" s="163">
        <f t="shared" si="90"/>
        <v>7828</v>
      </c>
      <c r="O156" s="163">
        <f t="shared" si="86"/>
        <v>78046.944012496242</v>
      </c>
      <c r="P156" s="164">
        <v>7.0999999999999994E-2</v>
      </c>
      <c r="Q156" s="163">
        <f t="shared" si="91"/>
        <v>461.77775207393603</v>
      </c>
      <c r="R156" s="150" t="s">
        <v>188</v>
      </c>
      <c r="S156" s="150">
        <f t="shared" si="87"/>
        <v>0</v>
      </c>
      <c r="T156" s="150"/>
      <c r="U156" s="150"/>
      <c r="V156" s="150"/>
    </row>
    <row r="157" spans="1:22" x14ac:dyDescent="0.25">
      <c r="A157" s="150">
        <v>167</v>
      </c>
      <c r="B157" s="150">
        <v>50288389</v>
      </c>
      <c r="C157" s="155">
        <v>45317</v>
      </c>
      <c r="D157" s="150">
        <v>70303</v>
      </c>
      <c r="E157" s="155">
        <v>45323</v>
      </c>
      <c r="F157" s="161" t="s">
        <v>529</v>
      </c>
      <c r="G157" s="161" t="str">
        <f t="shared" si="88"/>
        <v>2023-2024</v>
      </c>
      <c r="H157" s="161" t="str">
        <f>CONCATENATE(F157,"-",RIGHT(RIGHT(G157,4),2))</f>
        <v>Feb-24</v>
      </c>
      <c r="I157" s="162">
        <v>2100</v>
      </c>
      <c r="J157" s="163"/>
      <c r="K157" s="163"/>
      <c r="L157" s="163"/>
      <c r="M157" s="163"/>
      <c r="N157" s="163">
        <f t="shared" si="90"/>
        <v>2100</v>
      </c>
      <c r="O157" s="163">
        <f t="shared" si="86"/>
        <v>80146.944012496242</v>
      </c>
      <c r="P157" s="164">
        <v>7.0999999999999994E-2</v>
      </c>
      <c r="Q157" s="163">
        <f t="shared" si="91"/>
        <v>474.2027520739361</v>
      </c>
      <c r="R157" s="150" t="s">
        <v>188</v>
      </c>
      <c r="S157" s="150">
        <f t="shared" si="87"/>
        <v>0</v>
      </c>
      <c r="T157" s="150"/>
      <c r="U157" s="150"/>
      <c r="V157" s="150"/>
    </row>
    <row r="158" spans="1:22" x14ac:dyDescent="0.25">
      <c r="A158" s="150">
        <v>169</v>
      </c>
      <c r="B158" s="150">
        <v>500253174</v>
      </c>
      <c r="C158" s="155">
        <v>45349</v>
      </c>
      <c r="D158" s="150">
        <v>77719</v>
      </c>
      <c r="E158" s="155">
        <v>45355</v>
      </c>
      <c r="F158" s="161" t="s">
        <v>533</v>
      </c>
      <c r="G158" s="161" t="str">
        <f>G157</f>
        <v>2023-2024</v>
      </c>
      <c r="H158" s="161" t="str">
        <f>CONCATENATE(F158,"-",RIGHT(RIGHT(G158,4),2))</f>
        <v>Mar-24</v>
      </c>
      <c r="I158" s="162">
        <v>2100</v>
      </c>
      <c r="J158" s="163"/>
      <c r="K158" s="163"/>
      <c r="L158" s="163"/>
      <c r="M158" s="163"/>
      <c r="N158" s="163">
        <f t="shared" si="90"/>
        <v>2100</v>
      </c>
      <c r="O158" s="163">
        <f>O157+N158</f>
        <v>82246.944012496242</v>
      </c>
      <c r="P158" s="164">
        <v>7.0999999999999994E-2</v>
      </c>
      <c r="Q158" s="163">
        <f t="shared" si="91"/>
        <v>486.62775207393605</v>
      </c>
      <c r="R158" s="150" t="s">
        <v>188</v>
      </c>
      <c r="S158" s="150">
        <f t="shared" si="87"/>
        <v>0</v>
      </c>
      <c r="T158" s="150"/>
      <c r="U158" s="150"/>
      <c r="V158" s="150"/>
    </row>
    <row r="159" spans="1:22" x14ac:dyDescent="0.25">
      <c r="A159" s="175"/>
      <c r="B159" s="175"/>
      <c r="C159" s="175"/>
      <c r="D159" s="175"/>
      <c r="E159" s="175"/>
      <c r="F159" s="169"/>
      <c r="G159" s="169" t="str">
        <f>G158</f>
        <v>2023-2024</v>
      </c>
      <c r="H159" s="169"/>
      <c r="I159" s="170">
        <f t="shared" ref="I159:N159" si="92">SUM(I147:I158)</f>
        <v>25200</v>
      </c>
      <c r="J159" s="170">
        <f t="shared" si="92"/>
        <v>9904</v>
      </c>
      <c r="K159" s="170">
        <f t="shared" si="92"/>
        <v>0</v>
      </c>
      <c r="L159" s="170">
        <f t="shared" si="92"/>
        <v>0</v>
      </c>
      <c r="M159" s="170">
        <f t="shared" si="92"/>
        <v>1694</v>
      </c>
      <c r="N159" s="170">
        <f t="shared" si="92"/>
        <v>36798</v>
      </c>
      <c r="O159" s="170">
        <f>O158+Q159</f>
        <v>86792.419204050137</v>
      </c>
      <c r="P159" s="171"/>
      <c r="Q159" s="170">
        <f>SUM(Q147:Q158)</f>
        <v>4545.4751915539</v>
      </c>
      <c r="R159" s="169" t="s">
        <v>651</v>
      </c>
      <c r="S159" s="150">
        <f t="shared" ref="S159" si="93">IF(OR(R159="",R159="ok"),0,1)</f>
        <v>1</v>
      </c>
      <c r="T159" s="150">
        <v>4727</v>
      </c>
      <c r="U159" s="163">
        <f>T159-Q159</f>
        <v>181.5248084461</v>
      </c>
      <c r="V159" s="150"/>
    </row>
    <row r="160" spans="1:22" x14ac:dyDescent="0.25">
      <c r="A160" s="150">
        <v>170</v>
      </c>
      <c r="B160" s="150">
        <v>500441461</v>
      </c>
      <c r="C160" s="155">
        <v>45379</v>
      </c>
      <c r="D160" s="150">
        <v>859</v>
      </c>
      <c r="E160" s="155">
        <v>45384</v>
      </c>
      <c r="F160" s="161" t="s">
        <v>534</v>
      </c>
      <c r="G160" s="161" t="str">
        <f>CONCATENATE(RIGHT(G147,4),"-",RIGHT(G147,4)+1)</f>
        <v>2024-2025</v>
      </c>
      <c r="H160" s="161" t="str">
        <f>CONCATENATE(F160,"-",RIGHT(LEFT(G160,4),2))</f>
        <v>Apr-24</v>
      </c>
      <c r="I160" s="162">
        <v>2100</v>
      </c>
      <c r="J160" s="150"/>
      <c r="K160" s="150"/>
      <c r="L160" s="150"/>
      <c r="M160" s="150"/>
      <c r="N160" s="163">
        <f t="shared" ref="N160" si="94">I160+J160+L160+M160-K160</f>
        <v>2100</v>
      </c>
      <c r="O160" s="163">
        <f>O159+N160</f>
        <v>88892.419204050137</v>
      </c>
      <c r="P160" s="164">
        <v>7.0999999999999994E-2</v>
      </c>
      <c r="Q160" s="163">
        <f t="shared" ref="Q160" si="95">O160*P160/12</f>
        <v>525.94681362396329</v>
      </c>
      <c r="R160" s="150" t="s">
        <v>188</v>
      </c>
      <c r="S160" s="150">
        <f t="shared" ref="S160:S172" si="96">IF(OR(R160="",R160="ok"),0,1)</f>
        <v>0</v>
      </c>
      <c r="T160" s="150"/>
      <c r="U160" s="150"/>
      <c r="V160" s="150"/>
    </row>
    <row r="161" spans="1:22" ht="24" customHeight="1" x14ac:dyDescent="0.25">
      <c r="A161" s="172" t="s">
        <v>797</v>
      </c>
      <c r="B161" s="172" t="s">
        <v>795</v>
      </c>
      <c r="C161" s="173" t="s">
        <v>796</v>
      </c>
      <c r="D161" s="172" t="s">
        <v>798</v>
      </c>
      <c r="E161" s="173" t="s">
        <v>799</v>
      </c>
      <c r="F161" s="161" t="s">
        <v>520</v>
      </c>
      <c r="G161" s="161" t="str">
        <f t="shared" ref="G161:G170" si="97">G160</f>
        <v>2024-2025</v>
      </c>
      <c r="H161" s="161" t="str">
        <f t="shared" ref="H161:H168" si="98">CONCATENATE(F161,"-",RIGHT(LEFT(G161,4),2))</f>
        <v>May-24</v>
      </c>
      <c r="I161" s="162">
        <v>2100</v>
      </c>
      <c r="J161" s="150">
        <v>2864</v>
      </c>
      <c r="K161" s="150"/>
      <c r="L161" s="150"/>
      <c r="M161" s="150"/>
      <c r="N161" s="163">
        <f t="shared" ref="N161:N171" si="99">I161+J161+L161+M161-K161</f>
        <v>4964</v>
      </c>
      <c r="O161" s="163">
        <f t="shared" ref="O161:O171" si="100">O160+N161</f>
        <v>93856.419204050137</v>
      </c>
      <c r="P161" s="164">
        <v>7.0999999999999994E-2</v>
      </c>
      <c r="Q161" s="163">
        <f t="shared" ref="Q161:Q171" si="101">O161*P161/12</f>
        <v>555.31714695729659</v>
      </c>
      <c r="R161" s="150" t="s">
        <v>188</v>
      </c>
      <c r="S161" s="150">
        <f t="shared" si="96"/>
        <v>0</v>
      </c>
      <c r="T161" s="150"/>
      <c r="U161" s="150"/>
      <c r="V161" s="150"/>
    </row>
    <row r="162" spans="1:22" x14ac:dyDescent="0.25">
      <c r="A162" s="150">
        <v>173</v>
      </c>
      <c r="B162" s="150">
        <v>500943161</v>
      </c>
      <c r="C162" s="155">
        <v>45441</v>
      </c>
      <c r="D162" s="150">
        <v>13029</v>
      </c>
      <c r="E162" s="155">
        <v>45444</v>
      </c>
      <c r="F162" s="161" t="s">
        <v>535</v>
      </c>
      <c r="G162" s="161" t="str">
        <f t="shared" si="97"/>
        <v>2024-2025</v>
      </c>
      <c r="H162" s="161" t="str">
        <f t="shared" si="98"/>
        <v>Jun-24</v>
      </c>
      <c r="I162" s="162">
        <v>2100</v>
      </c>
      <c r="J162" s="150"/>
      <c r="K162" s="150"/>
      <c r="L162" s="150"/>
      <c r="M162" s="150"/>
      <c r="N162" s="163">
        <f t="shared" si="99"/>
        <v>2100</v>
      </c>
      <c r="O162" s="163">
        <f t="shared" si="100"/>
        <v>95956.419204050137</v>
      </c>
      <c r="P162" s="164">
        <v>7.0999999999999994E-2</v>
      </c>
      <c r="Q162" s="163">
        <f t="shared" si="101"/>
        <v>567.74214695729654</v>
      </c>
      <c r="R162" s="150" t="s">
        <v>188</v>
      </c>
      <c r="S162" s="150">
        <f t="shared" si="96"/>
        <v>0</v>
      </c>
      <c r="T162" s="150"/>
      <c r="U162" s="150"/>
      <c r="V162" s="150"/>
    </row>
    <row r="163" spans="1:22" x14ac:dyDescent="0.25">
      <c r="A163" s="150">
        <v>174</v>
      </c>
      <c r="B163" s="150">
        <v>501141373</v>
      </c>
      <c r="C163" s="155">
        <v>45470</v>
      </c>
      <c r="D163" s="150">
        <v>19255</v>
      </c>
      <c r="E163" s="155">
        <v>45474</v>
      </c>
      <c r="F163" s="161" t="s">
        <v>536</v>
      </c>
      <c r="G163" s="161" t="str">
        <f t="shared" si="97"/>
        <v>2024-2025</v>
      </c>
      <c r="H163" s="161" t="str">
        <f t="shared" si="98"/>
        <v>Jul-24</v>
      </c>
      <c r="I163" s="162">
        <v>2100</v>
      </c>
      <c r="J163" s="150"/>
      <c r="K163" s="150"/>
      <c r="L163" s="150"/>
      <c r="M163" s="150"/>
      <c r="N163" s="163">
        <f t="shared" si="99"/>
        <v>2100</v>
      </c>
      <c r="O163" s="163">
        <f t="shared" si="100"/>
        <v>98056.419204050137</v>
      </c>
      <c r="P163" s="164">
        <v>7.0999999999999994E-2</v>
      </c>
      <c r="Q163" s="163">
        <f t="shared" si="101"/>
        <v>580.16714695729661</v>
      </c>
      <c r="R163" s="150" t="s">
        <v>188</v>
      </c>
      <c r="S163" s="150">
        <f t="shared" si="96"/>
        <v>0</v>
      </c>
      <c r="T163" s="150"/>
      <c r="U163" s="150"/>
      <c r="V163" s="150"/>
    </row>
    <row r="164" spans="1:22" x14ac:dyDescent="0.25">
      <c r="A164" s="150">
        <v>175</v>
      </c>
      <c r="B164" s="150">
        <v>501387157</v>
      </c>
      <c r="C164" s="155">
        <v>45503</v>
      </c>
      <c r="D164" s="150">
        <v>25295</v>
      </c>
      <c r="E164" s="155">
        <v>45505</v>
      </c>
      <c r="F164" s="161" t="s">
        <v>523</v>
      </c>
      <c r="G164" s="161" t="str">
        <f t="shared" si="97"/>
        <v>2024-2025</v>
      </c>
      <c r="H164" s="161" t="str">
        <f t="shared" si="98"/>
        <v>Aug-24</v>
      </c>
      <c r="I164" s="162">
        <v>2100</v>
      </c>
      <c r="J164" s="150"/>
      <c r="K164" s="150"/>
      <c r="L164" s="150"/>
      <c r="M164" s="150"/>
      <c r="N164" s="163">
        <f t="shared" si="99"/>
        <v>2100</v>
      </c>
      <c r="O164" s="163">
        <f t="shared" si="100"/>
        <v>100156.41920405014</v>
      </c>
      <c r="P164" s="164">
        <v>7.0999999999999994E-2</v>
      </c>
      <c r="Q164" s="163">
        <f t="shared" si="101"/>
        <v>592.59214695729656</v>
      </c>
      <c r="R164" s="150" t="s">
        <v>188</v>
      </c>
      <c r="S164" s="150">
        <f t="shared" si="96"/>
        <v>0</v>
      </c>
      <c r="T164" s="150"/>
      <c r="U164" s="150"/>
      <c r="V164" s="150"/>
    </row>
    <row r="165" spans="1:22" x14ac:dyDescent="0.25">
      <c r="A165" s="150">
        <v>176</v>
      </c>
      <c r="B165" s="150">
        <v>501602639</v>
      </c>
      <c r="C165" s="155">
        <v>45527</v>
      </c>
      <c r="D165" s="150">
        <v>31671</v>
      </c>
      <c r="E165" s="155">
        <v>45537</v>
      </c>
      <c r="F165" s="161" t="s">
        <v>537</v>
      </c>
      <c r="G165" s="161" t="str">
        <f t="shared" si="97"/>
        <v>2024-2025</v>
      </c>
      <c r="H165" s="161" t="str">
        <f t="shared" si="98"/>
        <v>Sep-24</v>
      </c>
      <c r="I165" s="162">
        <v>2100</v>
      </c>
      <c r="J165" s="150"/>
      <c r="K165" s="150"/>
      <c r="L165" s="150"/>
      <c r="M165" s="150"/>
      <c r="N165" s="163">
        <f t="shared" si="99"/>
        <v>2100</v>
      </c>
      <c r="O165" s="163">
        <f t="shared" si="100"/>
        <v>102256.41920405014</v>
      </c>
      <c r="P165" s="164">
        <v>7.0999999999999994E-2</v>
      </c>
      <c r="Q165" s="163">
        <f t="shared" si="101"/>
        <v>605.01714695729663</v>
      </c>
      <c r="R165" s="150" t="s">
        <v>188</v>
      </c>
      <c r="S165" s="150">
        <f t="shared" si="96"/>
        <v>0</v>
      </c>
      <c r="T165" s="150"/>
      <c r="U165" s="150"/>
      <c r="V165" s="150"/>
    </row>
    <row r="166" spans="1:22" ht="36" x14ac:dyDescent="0.25">
      <c r="A166" s="150">
        <v>177</v>
      </c>
      <c r="B166" s="172" t="s">
        <v>1074</v>
      </c>
      <c r="C166" s="173" t="s">
        <v>1075</v>
      </c>
      <c r="D166" s="172" t="s">
        <v>1076</v>
      </c>
      <c r="E166" s="173" t="s">
        <v>1077</v>
      </c>
      <c r="F166" s="161" t="s">
        <v>525</v>
      </c>
      <c r="G166" s="161" t="str">
        <f t="shared" si="97"/>
        <v>2024-2025</v>
      </c>
      <c r="H166" s="161" t="str">
        <f t="shared" si="98"/>
        <v>Oct-24</v>
      </c>
      <c r="I166" s="162">
        <v>4200</v>
      </c>
      <c r="J166" s="150"/>
      <c r="K166" s="150"/>
      <c r="L166" s="150"/>
      <c r="M166" s="150">
        <v>1694</v>
      </c>
      <c r="N166" s="163">
        <f t="shared" si="99"/>
        <v>5894</v>
      </c>
      <c r="O166" s="163">
        <f t="shared" si="100"/>
        <v>108150.41920405014</v>
      </c>
      <c r="P166" s="164">
        <v>7.0999999999999994E-2</v>
      </c>
      <c r="Q166" s="163">
        <f t="shared" si="101"/>
        <v>639.88998029062998</v>
      </c>
      <c r="R166" s="150" t="s">
        <v>188</v>
      </c>
      <c r="S166" s="150">
        <f t="shared" si="96"/>
        <v>0</v>
      </c>
      <c r="T166" s="150"/>
      <c r="U166" s="150"/>
      <c r="V166" s="150"/>
    </row>
    <row r="167" spans="1:22" x14ac:dyDescent="0.25">
      <c r="A167" s="172">
        <v>180</v>
      </c>
      <c r="B167" s="172">
        <v>502532171</v>
      </c>
      <c r="C167" s="173">
        <v>45622</v>
      </c>
      <c r="D167" s="172">
        <v>54666</v>
      </c>
      <c r="E167" s="173">
        <v>45624</v>
      </c>
      <c r="F167" s="161" t="s">
        <v>526</v>
      </c>
      <c r="G167" s="161" t="str">
        <f t="shared" si="97"/>
        <v>2024-2025</v>
      </c>
      <c r="H167" s="161" t="str">
        <f t="shared" si="98"/>
        <v>Nov-24</v>
      </c>
      <c r="I167" s="162">
        <v>0</v>
      </c>
      <c r="J167" s="150">
        <v>4428</v>
      </c>
      <c r="K167" s="150"/>
      <c r="L167" s="150"/>
      <c r="M167" s="150"/>
      <c r="N167" s="163">
        <f t="shared" si="99"/>
        <v>4428</v>
      </c>
      <c r="O167" s="163">
        <f t="shared" si="100"/>
        <v>112578.41920405014</v>
      </c>
      <c r="P167" s="164">
        <v>7.0999999999999994E-2</v>
      </c>
      <c r="Q167" s="163">
        <f t="shared" si="101"/>
        <v>666.08898029062993</v>
      </c>
      <c r="R167" s="150" t="s">
        <v>188</v>
      </c>
      <c r="S167" s="150">
        <f t="shared" si="96"/>
        <v>0</v>
      </c>
      <c r="T167" s="150"/>
      <c r="U167" s="150"/>
      <c r="V167" s="150"/>
    </row>
    <row r="168" spans="1:22" x14ac:dyDescent="0.25">
      <c r="A168" s="172">
        <v>181</v>
      </c>
      <c r="B168" s="172">
        <v>502535967</v>
      </c>
      <c r="C168" s="347">
        <v>45623</v>
      </c>
      <c r="D168" s="172">
        <v>57448</v>
      </c>
      <c r="E168" s="347">
        <v>45628</v>
      </c>
      <c r="F168" s="161" t="s">
        <v>527</v>
      </c>
      <c r="G168" s="161" t="str">
        <f t="shared" si="97"/>
        <v>2024-2025</v>
      </c>
      <c r="H168" s="161" t="str">
        <f t="shared" si="98"/>
        <v>Dec-24</v>
      </c>
      <c r="I168" s="162">
        <v>2100</v>
      </c>
      <c r="J168" s="150"/>
      <c r="K168" s="150"/>
      <c r="L168" s="150"/>
      <c r="M168" s="150"/>
      <c r="N168" s="163">
        <f t="shared" si="99"/>
        <v>2100</v>
      </c>
      <c r="O168" s="163">
        <f t="shared" si="100"/>
        <v>114678.41920405014</v>
      </c>
      <c r="P168" s="164">
        <v>7.0999999999999994E-2</v>
      </c>
      <c r="Q168" s="163">
        <f t="shared" si="101"/>
        <v>678.51398029062989</v>
      </c>
      <c r="R168" s="150" t="s">
        <v>188</v>
      </c>
      <c r="S168" s="150">
        <f t="shared" si="96"/>
        <v>0</v>
      </c>
      <c r="T168" s="150"/>
      <c r="U168" s="150"/>
      <c r="V168" s="150"/>
    </row>
    <row r="169" spans="1:22" x14ac:dyDescent="0.25">
      <c r="A169" s="150">
        <v>182</v>
      </c>
      <c r="B169" s="172">
        <v>502837951</v>
      </c>
      <c r="C169" s="155">
        <v>45653</v>
      </c>
      <c r="D169" s="172">
        <v>63222</v>
      </c>
      <c r="E169" s="155">
        <v>45658</v>
      </c>
      <c r="F169" s="161" t="s">
        <v>528</v>
      </c>
      <c r="G169" s="161" t="str">
        <f t="shared" si="97"/>
        <v>2024-2025</v>
      </c>
      <c r="H169" s="161" t="str">
        <f>CONCATENATE(F169,"-",RIGHT(RIGHT(G169,4),2))</f>
        <v>Jan-25</v>
      </c>
      <c r="I169" s="150">
        <v>2100</v>
      </c>
      <c r="J169" s="150"/>
      <c r="K169" s="150"/>
      <c r="L169" s="150"/>
      <c r="M169" s="150"/>
      <c r="N169" s="163">
        <f t="shared" si="99"/>
        <v>2100</v>
      </c>
      <c r="O169" s="163">
        <f t="shared" si="100"/>
        <v>116778.41920405014</v>
      </c>
      <c r="P169" s="164">
        <v>7.0999999999999994E-2</v>
      </c>
      <c r="Q169" s="163">
        <f t="shared" si="101"/>
        <v>690.93898029062984</v>
      </c>
      <c r="R169" s="150" t="s">
        <v>188</v>
      </c>
      <c r="S169" s="150">
        <f t="shared" si="96"/>
        <v>0</v>
      </c>
      <c r="T169" s="150"/>
      <c r="U169" s="150"/>
      <c r="V169" s="150"/>
    </row>
    <row r="170" spans="1:22" x14ac:dyDescent="0.25">
      <c r="A170" s="150">
        <v>183</v>
      </c>
      <c r="B170" s="172">
        <v>503130202</v>
      </c>
      <c r="C170" s="155">
        <v>45691</v>
      </c>
      <c r="D170" s="172">
        <v>72172</v>
      </c>
      <c r="E170" s="155">
        <v>45693</v>
      </c>
      <c r="F170" s="161" t="s">
        <v>529</v>
      </c>
      <c r="G170" s="161" t="str">
        <f t="shared" si="97"/>
        <v>2024-2025</v>
      </c>
      <c r="H170" s="161" t="str">
        <f>CONCATENATE(F170,"-",RIGHT(RIGHT(G170,4),2))</f>
        <v>Feb-25</v>
      </c>
      <c r="I170" s="150">
        <v>2100</v>
      </c>
      <c r="J170" s="150"/>
      <c r="K170" s="150"/>
      <c r="L170" s="150"/>
      <c r="M170" s="150"/>
      <c r="N170" s="163">
        <f t="shared" si="99"/>
        <v>2100</v>
      </c>
      <c r="O170" s="163">
        <f t="shared" si="100"/>
        <v>118878.41920405014</v>
      </c>
      <c r="P170" s="164">
        <v>7.0999999999999994E-2</v>
      </c>
      <c r="Q170" s="163">
        <f t="shared" si="101"/>
        <v>703.36398029062991</v>
      </c>
      <c r="R170" s="150" t="s">
        <v>188</v>
      </c>
      <c r="S170" s="150">
        <f t="shared" si="96"/>
        <v>0</v>
      </c>
      <c r="T170" s="150"/>
      <c r="U170" s="150"/>
      <c r="V170" s="150"/>
    </row>
    <row r="171" spans="1:22" x14ac:dyDescent="0.25">
      <c r="A171" s="150">
        <v>184</v>
      </c>
      <c r="B171" s="172">
        <v>503359800</v>
      </c>
      <c r="C171" s="155">
        <v>45715</v>
      </c>
      <c r="D171" s="172">
        <v>77782</v>
      </c>
      <c r="E171" s="155">
        <v>45717</v>
      </c>
      <c r="F171" s="161" t="s">
        <v>533</v>
      </c>
      <c r="G171" s="161" t="str">
        <f>G170</f>
        <v>2024-2025</v>
      </c>
      <c r="H171" s="161" t="str">
        <f>CONCATENATE(F171,"-",RIGHT(RIGHT(G171,4),2))</f>
        <v>Mar-25</v>
      </c>
      <c r="I171" s="150">
        <v>2100</v>
      </c>
      <c r="J171" s="150"/>
      <c r="K171" s="150"/>
      <c r="L171" s="150"/>
      <c r="M171" s="150"/>
      <c r="N171" s="163">
        <f t="shared" si="99"/>
        <v>2100</v>
      </c>
      <c r="O171" s="163">
        <f t="shared" si="100"/>
        <v>120978.41920405014</v>
      </c>
      <c r="P171" s="164">
        <v>7.0999999999999994E-2</v>
      </c>
      <c r="Q171" s="163">
        <f t="shared" si="101"/>
        <v>715.78898029062987</v>
      </c>
      <c r="R171" s="150" t="s">
        <v>188</v>
      </c>
      <c r="S171" s="150">
        <f t="shared" si="96"/>
        <v>0</v>
      </c>
      <c r="T171" s="150"/>
      <c r="U171" s="150"/>
      <c r="V171" s="150"/>
    </row>
    <row r="172" spans="1:22" x14ac:dyDescent="0.25">
      <c r="A172" s="175"/>
      <c r="B172" s="175"/>
      <c r="C172" s="175"/>
      <c r="D172" s="175"/>
      <c r="E172" s="175"/>
      <c r="F172" s="169"/>
      <c r="G172" s="169" t="str">
        <f>G171</f>
        <v>2024-2025</v>
      </c>
      <c r="H172" s="169"/>
      <c r="I172" s="170">
        <f t="shared" ref="I172:N172" si="102">SUM(I160:I171)</f>
        <v>25200</v>
      </c>
      <c r="J172" s="170">
        <f t="shared" si="102"/>
        <v>7292</v>
      </c>
      <c r="K172" s="170">
        <f t="shared" si="102"/>
        <v>0</v>
      </c>
      <c r="L172" s="170">
        <f t="shared" si="102"/>
        <v>0</v>
      </c>
      <c r="M172" s="170">
        <f t="shared" si="102"/>
        <v>1694</v>
      </c>
      <c r="N172" s="170">
        <f t="shared" si="102"/>
        <v>34186</v>
      </c>
      <c r="O172" s="170">
        <f>O171+Q172</f>
        <v>128499.78663420436</v>
      </c>
      <c r="P172" s="171"/>
      <c r="Q172" s="170">
        <f>SUM(Q160:Q171)</f>
        <v>7521.367430154226</v>
      </c>
      <c r="R172" s="169" t="s">
        <v>651</v>
      </c>
      <c r="S172" s="150">
        <f t="shared" si="96"/>
        <v>1</v>
      </c>
      <c r="T172" s="150">
        <v>7575</v>
      </c>
      <c r="U172" s="163">
        <f>T172-Q172</f>
        <v>53.632569845774015</v>
      </c>
      <c r="V172" s="150"/>
    </row>
    <row r="173" spans="1:22" ht="24" x14ac:dyDescent="0.25">
      <c r="A173" s="172" t="s">
        <v>843</v>
      </c>
      <c r="B173" s="172" t="s">
        <v>842</v>
      </c>
      <c r="C173" s="173" t="s">
        <v>844</v>
      </c>
      <c r="D173" s="172" t="s">
        <v>845</v>
      </c>
      <c r="E173" s="173" t="s">
        <v>846</v>
      </c>
      <c r="F173" s="161" t="s">
        <v>534</v>
      </c>
      <c r="G173" s="161" t="str">
        <f>CONCATENATE(RIGHT(G160,4),"-",RIGHT(G160,4)+1)</f>
        <v>2025-2026</v>
      </c>
      <c r="H173" s="161" t="str">
        <f>CONCATENATE(F173,"-",RIGHT(LEFT(G173,4),2))</f>
        <v>Apr-25</v>
      </c>
      <c r="I173" s="162">
        <v>2100</v>
      </c>
      <c r="J173" s="150">
        <v>2214</v>
      </c>
      <c r="K173" s="150"/>
      <c r="L173" s="150"/>
      <c r="M173" s="150"/>
      <c r="N173" s="163">
        <f t="shared" ref="N173:N184" si="103">I173+J173+L173+M173-K173</f>
        <v>4314</v>
      </c>
      <c r="O173" s="163">
        <f>O172+N173</f>
        <v>132813.78663420436</v>
      </c>
      <c r="P173" s="164">
        <v>7.0999999999999994E-2</v>
      </c>
      <c r="Q173" s="163">
        <f t="shared" ref="Q173:Q184" si="104">O173*P173/12</f>
        <v>785.81490425237564</v>
      </c>
      <c r="R173" s="150" t="s">
        <v>188</v>
      </c>
      <c r="S173" s="150">
        <f t="shared" ref="S173:S185" si="105">IF(OR(R173="",R173="ok"),0,1)</f>
        <v>0</v>
      </c>
      <c r="T173" s="150"/>
      <c r="U173" s="150"/>
      <c r="V173" s="150"/>
    </row>
    <row r="174" spans="1:22" x14ac:dyDescent="0.25">
      <c r="A174" s="150">
        <v>187</v>
      </c>
      <c r="B174" s="172">
        <v>504041112</v>
      </c>
      <c r="C174" s="155">
        <v>45775</v>
      </c>
      <c r="D174" s="172">
        <v>432978</v>
      </c>
      <c r="E174" s="155">
        <v>45778</v>
      </c>
      <c r="F174" s="161" t="s">
        <v>520</v>
      </c>
      <c r="G174" s="161" t="str">
        <f t="shared" ref="G174:G183" si="106">G173</f>
        <v>2025-2026</v>
      </c>
      <c r="H174" s="161" t="str">
        <f t="shared" ref="H174:H181" si="107">CONCATENATE(F174,"-",RIGHT(LEFT(G174,4),2))</f>
        <v>May-25</v>
      </c>
      <c r="I174" s="162">
        <v>2100</v>
      </c>
      <c r="J174" s="150"/>
      <c r="K174" s="150"/>
      <c r="L174" s="150"/>
      <c r="M174" s="150"/>
      <c r="N174" s="163">
        <f t="shared" si="103"/>
        <v>2100</v>
      </c>
      <c r="O174" s="163">
        <f t="shared" ref="O174:O184" si="108">O173+N174</f>
        <v>134913.78663420436</v>
      </c>
      <c r="P174" s="164">
        <v>7.0999999999999994E-2</v>
      </c>
      <c r="Q174" s="163">
        <f t="shared" si="104"/>
        <v>798.23990425237571</v>
      </c>
      <c r="R174" s="150" t="s">
        <v>188</v>
      </c>
      <c r="S174" s="150">
        <f t="shared" si="105"/>
        <v>0</v>
      </c>
      <c r="T174" s="150"/>
      <c r="U174" s="150"/>
      <c r="V174" s="150"/>
    </row>
    <row r="175" spans="1:22" x14ac:dyDescent="0.25">
      <c r="A175" s="150">
        <v>190</v>
      </c>
      <c r="B175" s="172">
        <v>504355271</v>
      </c>
      <c r="C175" s="155">
        <v>45807</v>
      </c>
      <c r="D175" s="172">
        <v>876297</v>
      </c>
      <c r="E175" s="155">
        <v>45810</v>
      </c>
      <c r="F175" s="161" t="s">
        <v>535</v>
      </c>
      <c r="G175" s="161" t="str">
        <f t="shared" si="106"/>
        <v>2025-2026</v>
      </c>
      <c r="H175" s="161" t="str">
        <f t="shared" si="107"/>
        <v>Jun-25</v>
      </c>
      <c r="I175" s="162">
        <v>2100</v>
      </c>
      <c r="J175" s="150"/>
      <c r="K175" s="150"/>
      <c r="L175" s="150"/>
      <c r="M175" s="150"/>
      <c r="N175" s="163">
        <f t="shared" si="103"/>
        <v>2100</v>
      </c>
      <c r="O175" s="163">
        <f t="shared" si="108"/>
        <v>137013.78663420436</v>
      </c>
      <c r="P175" s="164">
        <v>7.0999999999999994E-2</v>
      </c>
      <c r="Q175" s="163">
        <f t="shared" si="104"/>
        <v>810.66490425237578</v>
      </c>
      <c r="R175" s="150" t="s">
        <v>188</v>
      </c>
      <c r="S175" s="150">
        <f t="shared" si="105"/>
        <v>0</v>
      </c>
      <c r="T175" s="150"/>
      <c r="U175" s="150"/>
      <c r="V175" s="150"/>
    </row>
    <row r="176" spans="1:22" x14ac:dyDescent="0.25">
      <c r="A176" s="150">
        <v>191</v>
      </c>
      <c r="B176" s="172">
        <v>5045755347</v>
      </c>
      <c r="C176" s="155">
        <v>45834</v>
      </c>
      <c r="D176" s="172">
        <v>1272439</v>
      </c>
      <c r="E176" s="155">
        <v>45839</v>
      </c>
      <c r="F176" s="161" t="s">
        <v>536</v>
      </c>
      <c r="G176" s="161" t="str">
        <f t="shared" si="106"/>
        <v>2025-2026</v>
      </c>
      <c r="H176" s="161" t="str">
        <f t="shared" si="107"/>
        <v>Jul-25</v>
      </c>
      <c r="I176" s="162">
        <v>2100</v>
      </c>
      <c r="J176" s="150"/>
      <c r="K176" s="150"/>
      <c r="L176" s="150"/>
      <c r="M176" s="150"/>
      <c r="N176" s="163">
        <f t="shared" si="103"/>
        <v>2100</v>
      </c>
      <c r="O176" s="163">
        <f t="shared" si="108"/>
        <v>139113.78663420436</v>
      </c>
      <c r="P176" s="164">
        <v>7.0999999999999994E-2</v>
      </c>
      <c r="Q176" s="163">
        <f t="shared" si="104"/>
        <v>823.08990425237573</v>
      </c>
      <c r="R176" s="150" t="s">
        <v>188</v>
      </c>
      <c r="S176" s="150">
        <f t="shared" si="105"/>
        <v>0</v>
      </c>
      <c r="T176" s="150"/>
      <c r="U176" s="150"/>
      <c r="V176" s="150"/>
    </row>
    <row r="177" spans="1:22" x14ac:dyDescent="0.25">
      <c r="A177" s="150">
        <v>192</v>
      </c>
      <c r="B177" s="150">
        <v>504886347</v>
      </c>
      <c r="C177" s="155">
        <v>45867</v>
      </c>
      <c r="D177" s="150">
        <v>1714317</v>
      </c>
      <c r="E177" s="155">
        <v>45870</v>
      </c>
      <c r="F177" s="161" t="s">
        <v>523</v>
      </c>
      <c r="G177" s="161" t="str">
        <f t="shared" si="106"/>
        <v>2025-2026</v>
      </c>
      <c r="H177" s="161" t="str">
        <f t="shared" si="107"/>
        <v>Aug-25</v>
      </c>
      <c r="I177" s="162">
        <v>2100</v>
      </c>
      <c r="J177" s="150"/>
      <c r="K177" s="150"/>
      <c r="L177" s="150"/>
      <c r="M177" s="150"/>
      <c r="N177" s="163">
        <f t="shared" si="103"/>
        <v>2100</v>
      </c>
      <c r="O177" s="163">
        <f t="shared" si="108"/>
        <v>141213.78663420436</v>
      </c>
      <c r="P177" s="164">
        <v>7.0999999999999994E-2</v>
      </c>
      <c r="Q177" s="163">
        <f t="shared" si="104"/>
        <v>835.51490425237569</v>
      </c>
      <c r="R177" s="150" t="s">
        <v>188</v>
      </c>
      <c r="S177" s="150">
        <f t="shared" si="105"/>
        <v>0</v>
      </c>
      <c r="T177" s="150"/>
      <c r="U177" s="150"/>
      <c r="V177" s="150"/>
    </row>
    <row r="178" spans="1:22" x14ac:dyDescent="0.25">
      <c r="A178" s="150">
        <v>194</v>
      </c>
      <c r="B178" s="150">
        <v>505247296</v>
      </c>
      <c r="C178" s="155">
        <v>45901</v>
      </c>
      <c r="D178" s="150">
        <v>2127637</v>
      </c>
      <c r="E178" s="155">
        <v>45903</v>
      </c>
      <c r="F178" s="161" t="s">
        <v>537</v>
      </c>
      <c r="G178" s="161" t="str">
        <f t="shared" si="106"/>
        <v>2025-2026</v>
      </c>
      <c r="H178" s="161" t="str">
        <f t="shared" si="107"/>
        <v>Sep-25</v>
      </c>
      <c r="I178" s="162">
        <v>2100</v>
      </c>
      <c r="J178" s="150"/>
      <c r="K178" s="150"/>
      <c r="L178" s="150"/>
      <c r="M178" s="150"/>
      <c r="N178" s="163">
        <f t="shared" si="103"/>
        <v>2100</v>
      </c>
      <c r="O178" s="163">
        <f t="shared" si="108"/>
        <v>143313.78663420436</v>
      </c>
      <c r="P178" s="164">
        <v>7.0999999999999994E-2</v>
      </c>
      <c r="Q178" s="163">
        <f t="shared" si="104"/>
        <v>847.93990425237564</v>
      </c>
      <c r="R178" s="150" t="s">
        <v>188</v>
      </c>
      <c r="S178" s="150">
        <f t="shared" si="105"/>
        <v>0</v>
      </c>
      <c r="T178" s="150"/>
      <c r="U178" s="150"/>
      <c r="V178" s="150"/>
    </row>
    <row r="179" spans="1:22" ht="24" x14ac:dyDescent="0.25">
      <c r="A179" s="172" t="s">
        <v>1067</v>
      </c>
      <c r="B179" s="172" t="s">
        <v>1064</v>
      </c>
      <c r="C179" s="173" t="s">
        <v>1068</v>
      </c>
      <c r="D179" s="172" t="s">
        <v>1065</v>
      </c>
      <c r="E179" s="173" t="s">
        <v>1066</v>
      </c>
      <c r="F179" s="161" t="s">
        <v>525</v>
      </c>
      <c r="G179" s="161" t="str">
        <f t="shared" si="106"/>
        <v>2025-2026</v>
      </c>
      <c r="H179" s="161" t="str">
        <f t="shared" si="107"/>
        <v>Oct-25</v>
      </c>
      <c r="I179" s="162">
        <v>2100</v>
      </c>
      <c r="J179" s="150"/>
      <c r="K179" s="150"/>
      <c r="L179" s="150"/>
      <c r="M179" s="150">
        <v>1694</v>
      </c>
      <c r="N179" s="163">
        <f t="shared" si="103"/>
        <v>3794</v>
      </c>
      <c r="O179" s="163">
        <f t="shared" si="108"/>
        <v>147107.78663420436</v>
      </c>
      <c r="P179" s="164">
        <v>7.0999999999999994E-2</v>
      </c>
      <c r="Q179" s="163">
        <f t="shared" si="104"/>
        <v>870.38773758570903</v>
      </c>
      <c r="R179" s="150" t="s">
        <v>188</v>
      </c>
      <c r="S179" s="150">
        <f t="shared" si="105"/>
        <v>0</v>
      </c>
      <c r="T179" s="150"/>
      <c r="U179" s="150"/>
      <c r="V179" s="150"/>
    </row>
    <row r="180" spans="1:22" ht="24" x14ac:dyDescent="0.25">
      <c r="A180" s="172" t="s">
        <v>1073</v>
      </c>
      <c r="B180" s="172" t="s">
        <v>1069</v>
      </c>
      <c r="C180" s="173" t="s">
        <v>1070</v>
      </c>
      <c r="D180" s="172" t="s">
        <v>1071</v>
      </c>
      <c r="E180" s="173" t="s">
        <v>1072</v>
      </c>
      <c r="F180" s="161" t="s">
        <v>526</v>
      </c>
      <c r="G180" s="161" t="str">
        <f t="shared" si="106"/>
        <v>2025-2026</v>
      </c>
      <c r="H180" s="161" t="str">
        <f t="shared" si="107"/>
        <v>Nov-25</v>
      </c>
      <c r="I180" s="162">
        <v>2100</v>
      </c>
      <c r="J180" s="150">
        <v>3420</v>
      </c>
      <c r="K180" s="150"/>
      <c r="L180" s="150"/>
      <c r="M180" s="150"/>
      <c r="N180" s="163">
        <f t="shared" si="103"/>
        <v>5520</v>
      </c>
      <c r="O180" s="163">
        <f t="shared" si="108"/>
        <v>152627.78663420436</v>
      </c>
      <c r="P180" s="164">
        <v>7.0999999999999994E-2</v>
      </c>
      <c r="Q180" s="163">
        <f t="shared" si="104"/>
        <v>903.047737585709</v>
      </c>
      <c r="R180" s="150" t="s">
        <v>188</v>
      </c>
      <c r="S180" s="150">
        <f t="shared" si="105"/>
        <v>0</v>
      </c>
      <c r="T180" s="150"/>
      <c r="U180" s="150"/>
      <c r="V180" s="150"/>
    </row>
    <row r="181" spans="1:22" x14ac:dyDescent="0.25">
      <c r="A181" s="150">
        <v>198</v>
      </c>
      <c r="B181" s="172">
        <v>506428847</v>
      </c>
      <c r="C181" s="173">
        <v>45988</v>
      </c>
      <c r="D181" s="172">
        <v>3572197</v>
      </c>
      <c r="E181" s="173">
        <v>45992</v>
      </c>
      <c r="F181" s="161" t="s">
        <v>527</v>
      </c>
      <c r="G181" s="161" t="str">
        <f t="shared" si="106"/>
        <v>2025-2026</v>
      </c>
      <c r="H181" s="161" t="str">
        <f t="shared" si="107"/>
        <v>Dec-25</v>
      </c>
      <c r="I181" s="162">
        <v>2100</v>
      </c>
      <c r="J181" s="150"/>
      <c r="K181" s="150"/>
      <c r="L181" s="150"/>
      <c r="M181" s="150"/>
      <c r="N181" s="163">
        <f t="shared" si="103"/>
        <v>2100</v>
      </c>
      <c r="O181" s="163">
        <f t="shared" si="108"/>
        <v>154727.78663420436</v>
      </c>
      <c r="P181" s="164">
        <v>7.0999999999999994E-2</v>
      </c>
      <c r="Q181" s="163">
        <f t="shared" si="104"/>
        <v>915.47273758570907</v>
      </c>
      <c r="R181" s="150" t="s">
        <v>188</v>
      </c>
      <c r="S181" s="150">
        <f t="shared" si="105"/>
        <v>0</v>
      </c>
      <c r="T181" s="150"/>
      <c r="U181" s="150"/>
      <c r="V181" s="150"/>
    </row>
    <row r="182" spans="1:22" x14ac:dyDescent="0.25">
      <c r="A182" s="150">
        <v>200</v>
      </c>
      <c r="B182" s="172">
        <v>506767167</v>
      </c>
      <c r="C182" s="155">
        <v>46014</v>
      </c>
      <c r="D182" s="172">
        <v>3925524</v>
      </c>
      <c r="E182" s="155">
        <v>46023</v>
      </c>
      <c r="F182" s="161" t="s">
        <v>528</v>
      </c>
      <c r="G182" s="161" t="str">
        <f t="shared" si="106"/>
        <v>2025-2026</v>
      </c>
      <c r="H182" s="161" t="str">
        <f>CONCATENATE(F182,"-",RIGHT(RIGHT(G182,4),2))</f>
        <v>Jan-26</v>
      </c>
      <c r="I182" s="162">
        <v>2100</v>
      </c>
      <c r="J182" s="150"/>
      <c r="K182" s="150"/>
      <c r="L182" s="150"/>
      <c r="M182" s="150"/>
      <c r="N182" s="163">
        <f t="shared" si="103"/>
        <v>2100</v>
      </c>
      <c r="O182" s="163">
        <f t="shared" si="108"/>
        <v>156827.78663420436</v>
      </c>
      <c r="P182" s="164">
        <v>7.0999999999999994E-2</v>
      </c>
      <c r="Q182" s="163">
        <f t="shared" si="104"/>
        <v>927.89773758570902</v>
      </c>
      <c r="R182" s="150" t="s">
        <v>188</v>
      </c>
      <c r="S182" s="150">
        <f t="shared" si="105"/>
        <v>0</v>
      </c>
      <c r="T182" s="150"/>
      <c r="U182" s="150"/>
      <c r="V182" s="150"/>
    </row>
    <row r="183" spans="1:22" x14ac:dyDescent="0.25">
      <c r="A183" s="150">
        <v>201</v>
      </c>
      <c r="B183" s="172">
        <v>507234109</v>
      </c>
      <c r="C183" s="155">
        <v>46051</v>
      </c>
      <c r="D183" s="172">
        <v>4385715</v>
      </c>
      <c r="E183" s="155">
        <v>46055</v>
      </c>
      <c r="F183" s="161" t="s">
        <v>529</v>
      </c>
      <c r="G183" s="161" t="str">
        <f t="shared" si="106"/>
        <v>2025-2026</v>
      </c>
      <c r="H183" s="161" t="str">
        <f>CONCATENATE(F183,"-",RIGHT(RIGHT(G183,4),2))</f>
        <v>Feb-26</v>
      </c>
      <c r="I183" s="162">
        <v>2100</v>
      </c>
      <c r="J183" s="150"/>
      <c r="K183" s="150"/>
      <c r="L183" s="150"/>
      <c r="M183" s="150"/>
      <c r="N183" s="163">
        <f t="shared" si="103"/>
        <v>2100</v>
      </c>
      <c r="O183" s="163">
        <f t="shared" si="108"/>
        <v>158927.78663420436</v>
      </c>
      <c r="P183" s="164">
        <v>7.0999999999999994E-2</v>
      </c>
      <c r="Q183" s="163">
        <f t="shared" si="104"/>
        <v>940.32273758570909</v>
      </c>
      <c r="R183" s="150" t="s">
        <v>188</v>
      </c>
      <c r="S183" s="150">
        <f t="shared" si="105"/>
        <v>0</v>
      </c>
      <c r="T183" s="150"/>
      <c r="U183" s="150"/>
      <c r="V183" s="150"/>
    </row>
    <row r="184" spans="1:22" x14ac:dyDescent="0.25">
      <c r="A184" s="150">
        <v>202</v>
      </c>
      <c r="B184" s="172">
        <v>507641976</v>
      </c>
      <c r="C184" s="155">
        <v>46079</v>
      </c>
      <c r="D184" s="172">
        <v>4840915</v>
      </c>
      <c r="E184" s="155">
        <v>46083</v>
      </c>
      <c r="F184" s="161" t="s">
        <v>533</v>
      </c>
      <c r="G184" s="161" t="str">
        <f>G183</f>
        <v>2025-2026</v>
      </c>
      <c r="H184" s="161" t="str">
        <f>CONCATENATE(F184,"-",RIGHT(RIGHT(G184,4),2))</f>
        <v>Mar-26</v>
      </c>
      <c r="I184" s="162">
        <v>2100</v>
      </c>
      <c r="J184" s="150"/>
      <c r="K184" s="150"/>
      <c r="L184" s="150"/>
      <c r="M184" s="150"/>
      <c r="N184" s="163">
        <f t="shared" si="103"/>
        <v>2100</v>
      </c>
      <c r="O184" s="163">
        <f t="shared" si="108"/>
        <v>161027.78663420436</v>
      </c>
      <c r="P184" s="164">
        <v>7.0999999999999994E-2</v>
      </c>
      <c r="Q184" s="163">
        <f t="shared" si="104"/>
        <v>952.74773758570893</v>
      </c>
      <c r="R184" s="150" t="s">
        <v>188</v>
      </c>
      <c r="S184" s="150">
        <f t="shared" si="105"/>
        <v>0</v>
      </c>
      <c r="T184" s="150"/>
      <c r="U184" s="150"/>
      <c r="V184" s="150"/>
    </row>
    <row r="185" spans="1:22" x14ac:dyDescent="0.25">
      <c r="A185" s="175"/>
      <c r="B185" s="175"/>
      <c r="C185" s="175"/>
      <c r="D185" s="175"/>
      <c r="E185" s="175"/>
      <c r="F185" s="169"/>
      <c r="G185" s="169" t="str">
        <f>G184</f>
        <v>2025-2026</v>
      </c>
      <c r="H185" s="169"/>
      <c r="I185" s="170">
        <f t="shared" ref="I185:N185" si="109">SUM(I173:I184)</f>
        <v>25200</v>
      </c>
      <c r="J185" s="170">
        <f t="shared" si="109"/>
        <v>5634</v>
      </c>
      <c r="K185" s="170">
        <f t="shared" si="109"/>
        <v>0</v>
      </c>
      <c r="L185" s="170">
        <f t="shared" si="109"/>
        <v>0</v>
      </c>
      <c r="M185" s="170">
        <f t="shared" si="109"/>
        <v>1694</v>
      </c>
      <c r="N185" s="170">
        <f t="shared" si="109"/>
        <v>32528</v>
      </c>
      <c r="O185" s="170">
        <f>O184+Q185</f>
        <v>171438.92748523285</v>
      </c>
      <c r="P185" s="171"/>
      <c r="Q185" s="170">
        <f>SUM(Q173:Q184)</f>
        <v>10411.140851028509</v>
      </c>
      <c r="R185" s="169" t="s">
        <v>651</v>
      </c>
      <c r="S185" s="150">
        <f t="shared" si="105"/>
        <v>1</v>
      </c>
      <c r="T185" s="150">
        <v>9500</v>
      </c>
      <c r="U185" s="163">
        <f>T185-Q185</f>
        <v>-911.14085102850913</v>
      </c>
      <c r="V185" s="150"/>
    </row>
    <row r="186" spans="1:22" x14ac:dyDescent="0.25">
      <c r="A186" s="150"/>
      <c r="B186" s="150"/>
      <c r="C186" s="155"/>
      <c r="D186" s="150"/>
      <c r="E186" s="155"/>
      <c r="F186" s="161" t="s">
        <v>534</v>
      </c>
      <c r="G186" s="161" t="str">
        <f>CONCATENATE(RIGHT(G173,4),"-",RIGHT(G173,4)+1)</f>
        <v>2026-2027</v>
      </c>
      <c r="H186" s="161" t="str">
        <f>CONCATENATE(F186,"-",RIGHT(LEFT(G186,4),2))</f>
        <v>Apr-26</v>
      </c>
      <c r="I186" s="162"/>
      <c r="J186" s="150"/>
      <c r="K186" s="150"/>
      <c r="L186" s="150"/>
      <c r="M186" s="150"/>
      <c r="N186" s="163">
        <f t="shared" ref="N186:N197" si="110">I186+J186+L186+M186-K186</f>
        <v>0</v>
      </c>
      <c r="O186" s="163">
        <f>O185+N186</f>
        <v>171438.92748523285</v>
      </c>
      <c r="P186" s="164">
        <v>7.0999999999999994E-2</v>
      </c>
      <c r="Q186" s="163">
        <f t="shared" ref="Q186:Q197" si="111">O186*P186/12</f>
        <v>1014.3469876209609</v>
      </c>
      <c r="R186" s="150" t="s">
        <v>744</v>
      </c>
      <c r="S186" s="150">
        <f t="shared" ref="S186:S237" si="112">IF(OR(R186="",R186="ok"),0,1)</f>
        <v>1</v>
      </c>
      <c r="T186" s="150"/>
      <c r="U186" s="150"/>
      <c r="V186" s="150"/>
    </row>
    <row r="187" spans="1:22" x14ac:dyDescent="0.25">
      <c r="A187" s="150"/>
      <c r="B187" s="172"/>
      <c r="C187" s="173"/>
      <c r="D187" s="172"/>
      <c r="E187" s="173"/>
      <c r="F187" s="161" t="s">
        <v>520</v>
      </c>
      <c r="G187" s="161" t="str">
        <f t="shared" ref="G187:G196" si="113">G186</f>
        <v>2026-2027</v>
      </c>
      <c r="H187" s="161" t="str">
        <f t="shared" ref="H187:H194" si="114">CONCATENATE(F187,"-",RIGHT(LEFT(G187,4),2))</f>
        <v>May-26</v>
      </c>
      <c r="I187" s="162"/>
      <c r="J187" s="150"/>
      <c r="K187" s="150"/>
      <c r="L187" s="150"/>
      <c r="M187" s="150"/>
      <c r="N187" s="163">
        <f t="shared" si="110"/>
        <v>0</v>
      </c>
      <c r="O187" s="163">
        <f t="shared" ref="O187:O197" si="115">O186+N187</f>
        <v>171438.92748523285</v>
      </c>
      <c r="P187" s="164">
        <v>7.0999999999999994E-2</v>
      </c>
      <c r="Q187" s="163">
        <f t="shared" si="111"/>
        <v>1014.3469876209609</v>
      </c>
      <c r="R187" s="150" t="s">
        <v>744</v>
      </c>
      <c r="S187" s="150">
        <f t="shared" si="112"/>
        <v>1</v>
      </c>
      <c r="T187" s="150"/>
      <c r="U187" s="150"/>
      <c r="V187" s="150"/>
    </row>
    <row r="188" spans="1:22" x14ac:dyDescent="0.25">
      <c r="A188" s="150"/>
      <c r="B188" s="150"/>
      <c r="C188" s="155"/>
      <c r="D188" s="150"/>
      <c r="E188" s="155"/>
      <c r="F188" s="161" t="s">
        <v>535</v>
      </c>
      <c r="G188" s="161" t="str">
        <f t="shared" si="113"/>
        <v>2026-2027</v>
      </c>
      <c r="H188" s="161" t="str">
        <f t="shared" si="114"/>
        <v>Jun-26</v>
      </c>
      <c r="I188" s="162"/>
      <c r="J188" s="150"/>
      <c r="K188" s="150"/>
      <c r="L188" s="150"/>
      <c r="M188" s="150"/>
      <c r="N188" s="163">
        <f t="shared" si="110"/>
        <v>0</v>
      </c>
      <c r="O188" s="163">
        <f t="shared" si="115"/>
        <v>171438.92748523285</v>
      </c>
      <c r="P188" s="164">
        <v>7.0999999999999994E-2</v>
      </c>
      <c r="Q188" s="163">
        <f t="shared" si="111"/>
        <v>1014.3469876209609</v>
      </c>
      <c r="R188" s="150" t="s">
        <v>744</v>
      </c>
      <c r="S188" s="150">
        <f t="shared" si="112"/>
        <v>1</v>
      </c>
      <c r="T188" s="150"/>
      <c r="U188" s="150"/>
      <c r="V188" s="150"/>
    </row>
    <row r="189" spans="1:22" x14ac:dyDescent="0.25">
      <c r="A189" s="150"/>
      <c r="B189" s="150"/>
      <c r="C189" s="155"/>
      <c r="D189" s="150"/>
      <c r="E189" s="155"/>
      <c r="F189" s="161" t="s">
        <v>536</v>
      </c>
      <c r="G189" s="161" t="str">
        <f t="shared" si="113"/>
        <v>2026-2027</v>
      </c>
      <c r="H189" s="161" t="str">
        <f t="shared" si="114"/>
        <v>Jul-26</v>
      </c>
      <c r="I189" s="162"/>
      <c r="J189" s="150"/>
      <c r="K189" s="150"/>
      <c r="L189" s="150"/>
      <c r="M189" s="150"/>
      <c r="N189" s="163">
        <f t="shared" si="110"/>
        <v>0</v>
      </c>
      <c r="O189" s="163">
        <f t="shared" si="115"/>
        <v>171438.92748523285</v>
      </c>
      <c r="P189" s="164">
        <v>7.0999999999999994E-2</v>
      </c>
      <c r="Q189" s="163">
        <f t="shared" si="111"/>
        <v>1014.3469876209609</v>
      </c>
      <c r="R189" s="150" t="s">
        <v>744</v>
      </c>
      <c r="S189" s="150">
        <f t="shared" si="112"/>
        <v>1</v>
      </c>
      <c r="T189" s="150"/>
      <c r="U189" s="150"/>
      <c r="V189" s="150"/>
    </row>
    <row r="190" spans="1:22" x14ac:dyDescent="0.25">
      <c r="A190" s="150"/>
      <c r="B190" s="150"/>
      <c r="C190" s="155"/>
      <c r="D190" s="150"/>
      <c r="E190" s="155"/>
      <c r="F190" s="161" t="s">
        <v>523</v>
      </c>
      <c r="G190" s="161" t="str">
        <f t="shared" si="113"/>
        <v>2026-2027</v>
      </c>
      <c r="H190" s="161" t="str">
        <f t="shared" si="114"/>
        <v>Aug-26</v>
      </c>
      <c r="I190" s="162"/>
      <c r="J190" s="150"/>
      <c r="K190" s="150"/>
      <c r="L190" s="150"/>
      <c r="M190" s="150"/>
      <c r="N190" s="163">
        <f t="shared" si="110"/>
        <v>0</v>
      </c>
      <c r="O190" s="163">
        <f t="shared" si="115"/>
        <v>171438.92748523285</v>
      </c>
      <c r="P190" s="164">
        <v>7.0999999999999994E-2</v>
      </c>
      <c r="Q190" s="163">
        <f t="shared" si="111"/>
        <v>1014.3469876209609</v>
      </c>
      <c r="R190" s="150" t="s">
        <v>744</v>
      </c>
      <c r="S190" s="150">
        <f t="shared" si="112"/>
        <v>1</v>
      </c>
      <c r="T190" s="150"/>
      <c r="U190" s="150"/>
      <c r="V190" s="150"/>
    </row>
    <row r="191" spans="1:22" x14ac:dyDescent="0.25">
      <c r="A191" s="150"/>
      <c r="B191" s="150"/>
      <c r="C191" s="155"/>
      <c r="D191" s="150"/>
      <c r="E191" s="155"/>
      <c r="F191" s="161" t="s">
        <v>537</v>
      </c>
      <c r="G191" s="161" t="str">
        <f t="shared" si="113"/>
        <v>2026-2027</v>
      </c>
      <c r="H191" s="161" t="str">
        <f t="shared" si="114"/>
        <v>Sep-26</v>
      </c>
      <c r="I191" s="162"/>
      <c r="J191" s="150"/>
      <c r="K191" s="150"/>
      <c r="L191" s="150"/>
      <c r="M191" s="150"/>
      <c r="N191" s="163">
        <f t="shared" si="110"/>
        <v>0</v>
      </c>
      <c r="O191" s="163">
        <f t="shared" si="115"/>
        <v>171438.92748523285</v>
      </c>
      <c r="P191" s="164">
        <v>7.0999999999999994E-2</v>
      </c>
      <c r="Q191" s="163">
        <f t="shared" si="111"/>
        <v>1014.3469876209609</v>
      </c>
      <c r="R191" s="150" t="s">
        <v>744</v>
      </c>
      <c r="S191" s="150">
        <f t="shared" si="112"/>
        <v>1</v>
      </c>
      <c r="T191" s="150"/>
      <c r="U191" s="150"/>
      <c r="V191" s="150"/>
    </row>
    <row r="192" spans="1:22" x14ac:dyDescent="0.25">
      <c r="A192" s="150"/>
      <c r="B192" s="150"/>
      <c r="C192" s="155"/>
      <c r="D192" s="150"/>
      <c r="E192" s="155"/>
      <c r="F192" s="161" t="s">
        <v>525</v>
      </c>
      <c r="G192" s="161" t="str">
        <f t="shared" si="113"/>
        <v>2026-2027</v>
      </c>
      <c r="H192" s="161" t="str">
        <f t="shared" si="114"/>
        <v>Oct-26</v>
      </c>
      <c r="I192" s="162"/>
      <c r="J192" s="150"/>
      <c r="K192" s="150"/>
      <c r="L192" s="150"/>
      <c r="M192" s="150"/>
      <c r="N192" s="163">
        <f t="shared" si="110"/>
        <v>0</v>
      </c>
      <c r="O192" s="163">
        <f t="shared" si="115"/>
        <v>171438.92748523285</v>
      </c>
      <c r="P192" s="164">
        <v>7.0999999999999994E-2</v>
      </c>
      <c r="Q192" s="163">
        <f t="shared" si="111"/>
        <v>1014.3469876209609</v>
      </c>
      <c r="R192" s="150" t="s">
        <v>744</v>
      </c>
      <c r="S192" s="150">
        <f t="shared" si="112"/>
        <v>1</v>
      </c>
      <c r="T192" s="150"/>
      <c r="U192" s="150"/>
      <c r="V192" s="150"/>
    </row>
    <row r="193" spans="1:22" x14ac:dyDescent="0.25">
      <c r="A193" s="172"/>
      <c r="B193" s="172"/>
      <c r="C193" s="173"/>
      <c r="D193" s="172"/>
      <c r="E193" s="173"/>
      <c r="F193" s="161" t="s">
        <v>526</v>
      </c>
      <c r="G193" s="161" t="str">
        <f t="shared" si="113"/>
        <v>2026-2027</v>
      </c>
      <c r="H193" s="161" t="str">
        <f t="shared" si="114"/>
        <v>Nov-26</v>
      </c>
      <c r="I193" s="162"/>
      <c r="J193" s="150"/>
      <c r="K193" s="150"/>
      <c r="L193" s="150"/>
      <c r="M193" s="150"/>
      <c r="N193" s="163">
        <f t="shared" si="110"/>
        <v>0</v>
      </c>
      <c r="O193" s="163">
        <f t="shared" si="115"/>
        <v>171438.92748523285</v>
      </c>
      <c r="P193" s="164">
        <v>7.0999999999999994E-2</v>
      </c>
      <c r="Q193" s="163">
        <f t="shared" si="111"/>
        <v>1014.3469876209609</v>
      </c>
      <c r="R193" s="150" t="s">
        <v>744</v>
      </c>
      <c r="S193" s="150">
        <f t="shared" si="112"/>
        <v>1</v>
      </c>
      <c r="T193" s="150"/>
      <c r="U193" s="150"/>
      <c r="V193" s="150"/>
    </row>
    <row r="194" spans="1:22" x14ac:dyDescent="0.25">
      <c r="A194" s="172"/>
      <c r="B194" s="172"/>
      <c r="C194" s="172"/>
      <c r="D194" s="172"/>
      <c r="E194" s="172"/>
      <c r="F194" s="161" t="s">
        <v>527</v>
      </c>
      <c r="G194" s="161" t="str">
        <f t="shared" si="113"/>
        <v>2026-2027</v>
      </c>
      <c r="H194" s="161" t="str">
        <f t="shared" si="114"/>
        <v>Dec-26</v>
      </c>
      <c r="I194" s="162"/>
      <c r="J194" s="150"/>
      <c r="K194" s="150"/>
      <c r="L194" s="150"/>
      <c r="M194" s="150"/>
      <c r="N194" s="163">
        <f t="shared" si="110"/>
        <v>0</v>
      </c>
      <c r="O194" s="163">
        <f t="shared" si="115"/>
        <v>171438.92748523285</v>
      </c>
      <c r="P194" s="164">
        <v>7.0999999999999994E-2</v>
      </c>
      <c r="Q194" s="163">
        <f t="shared" si="111"/>
        <v>1014.3469876209609</v>
      </c>
      <c r="R194" s="150" t="s">
        <v>744</v>
      </c>
      <c r="S194" s="150">
        <f t="shared" si="112"/>
        <v>1</v>
      </c>
      <c r="T194" s="150"/>
      <c r="U194" s="150"/>
      <c r="V194" s="150"/>
    </row>
    <row r="195" spans="1:22" x14ac:dyDescent="0.25">
      <c r="A195" s="150"/>
      <c r="B195" s="172"/>
      <c r="C195" s="155"/>
      <c r="D195" s="172"/>
      <c r="E195" s="155"/>
      <c r="F195" s="161" t="s">
        <v>528</v>
      </c>
      <c r="G195" s="161" t="str">
        <f t="shared" si="113"/>
        <v>2026-2027</v>
      </c>
      <c r="H195" s="161" t="str">
        <f>CONCATENATE(F195,"-",RIGHT(RIGHT(G195,4),2))</f>
        <v>Jan-27</v>
      </c>
      <c r="I195" s="150"/>
      <c r="J195" s="150"/>
      <c r="K195" s="150"/>
      <c r="L195" s="150"/>
      <c r="M195" s="150"/>
      <c r="N195" s="163">
        <f t="shared" si="110"/>
        <v>0</v>
      </c>
      <c r="O195" s="163">
        <f t="shared" si="115"/>
        <v>171438.92748523285</v>
      </c>
      <c r="P195" s="164">
        <v>7.0999999999999994E-2</v>
      </c>
      <c r="Q195" s="163">
        <f t="shared" si="111"/>
        <v>1014.3469876209609</v>
      </c>
      <c r="R195" s="150" t="s">
        <v>744</v>
      </c>
      <c r="S195" s="150">
        <f t="shared" si="112"/>
        <v>1</v>
      </c>
      <c r="T195" s="150"/>
      <c r="U195" s="150"/>
      <c r="V195" s="150"/>
    </row>
    <row r="196" spans="1:22" x14ac:dyDescent="0.25">
      <c r="A196" s="150"/>
      <c r="B196" s="172"/>
      <c r="C196" s="155"/>
      <c r="D196" s="172"/>
      <c r="E196" s="155"/>
      <c r="F196" s="161" t="s">
        <v>529</v>
      </c>
      <c r="G196" s="161" t="str">
        <f t="shared" si="113"/>
        <v>2026-2027</v>
      </c>
      <c r="H196" s="161" t="str">
        <f>CONCATENATE(F196,"-",RIGHT(RIGHT(G196,4),2))</f>
        <v>Feb-27</v>
      </c>
      <c r="I196" s="150"/>
      <c r="J196" s="150"/>
      <c r="K196" s="150"/>
      <c r="L196" s="150"/>
      <c r="M196" s="150"/>
      <c r="N196" s="163">
        <f t="shared" si="110"/>
        <v>0</v>
      </c>
      <c r="O196" s="163">
        <f t="shared" si="115"/>
        <v>171438.92748523285</v>
      </c>
      <c r="P196" s="164">
        <v>7.0999999999999994E-2</v>
      </c>
      <c r="Q196" s="163">
        <f t="shared" si="111"/>
        <v>1014.3469876209609</v>
      </c>
      <c r="R196" s="150" t="s">
        <v>744</v>
      </c>
      <c r="S196" s="150">
        <f t="shared" si="112"/>
        <v>1</v>
      </c>
      <c r="T196" s="150"/>
      <c r="U196" s="150"/>
      <c r="V196" s="150"/>
    </row>
    <row r="197" spans="1:22" x14ac:dyDescent="0.25">
      <c r="A197" s="150"/>
      <c r="B197" s="172"/>
      <c r="C197" s="155"/>
      <c r="D197" s="172"/>
      <c r="E197" s="155"/>
      <c r="F197" s="161" t="s">
        <v>533</v>
      </c>
      <c r="G197" s="161" t="str">
        <f>G196</f>
        <v>2026-2027</v>
      </c>
      <c r="H197" s="161" t="str">
        <f>CONCATENATE(F197,"-",RIGHT(RIGHT(G197,4),2))</f>
        <v>Mar-27</v>
      </c>
      <c r="I197" s="150"/>
      <c r="J197" s="150"/>
      <c r="K197" s="150"/>
      <c r="L197" s="150"/>
      <c r="M197" s="150"/>
      <c r="N197" s="163">
        <f t="shared" si="110"/>
        <v>0</v>
      </c>
      <c r="O197" s="163">
        <f t="shared" si="115"/>
        <v>171438.92748523285</v>
      </c>
      <c r="P197" s="164">
        <v>7.0999999999999994E-2</v>
      </c>
      <c r="Q197" s="163">
        <f t="shared" si="111"/>
        <v>1014.3469876209609</v>
      </c>
      <c r="R197" s="150" t="s">
        <v>744</v>
      </c>
      <c r="S197" s="150">
        <f t="shared" si="112"/>
        <v>1</v>
      </c>
      <c r="T197" s="150"/>
      <c r="U197" s="150"/>
      <c r="V197" s="150"/>
    </row>
    <row r="198" spans="1:22" x14ac:dyDescent="0.25">
      <c r="A198" s="175"/>
      <c r="B198" s="175"/>
      <c r="C198" s="175"/>
      <c r="D198" s="175"/>
      <c r="E198" s="175"/>
      <c r="F198" s="169"/>
      <c r="G198" s="169" t="str">
        <f>G197</f>
        <v>2026-2027</v>
      </c>
      <c r="H198" s="169"/>
      <c r="I198" s="170">
        <f t="shared" ref="I198:N198" si="116">SUM(I186:I197)</f>
        <v>0</v>
      </c>
      <c r="J198" s="170">
        <f t="shared" si="116"/>
        <v>0</v>
      </c>
      <c r="K198" s="170">
        <f t="shared" si="116"/>
        <v>0</v>
      </c>
      <c r="L198" s="170">
        <f t="shared" si="116"/>
        <v>0</v>
      </c>
      <c r="M198" s="170">
        <f t="shared" si="116"/>
        <v>0</v>
      </c>
      <c r="N198" s="170">
        <f t="shared" si="116"/>
        <v>0</v>
      </c>
      <c r="O198" s="170">
        <f>O197+Q198</f>
        <v>183611.09133668439</v>
      </c>
      <c r="P198" s="171"/>
      <c r="Q198" s="170">
        <f>SUM(Q186:Q197)</f>
        <v>12172.163851451529</v>
      </c>
      <c r="R198" s="169" t="s">
        <v>651</v>
      </c>
      <c r="S198" s="150">
        <f t="shared" si="112"/>
        <v>1</v>
      </c>
      <c r="T198" s="150"/>
      <c r="U198" s="163">
        <f>T198-Q198</f>
        <v>-12172.163851451529</v>
      </c>
      <c r="V198" s="150"/>
    </row>
    <row r="199" spans="1:22" x14ac:dyDescent="0.25">
      <c r="A199" s="150"/>
      <c r="B199" s="150"/>
      <c r="C199" s="155"/>
      <c r="D199" s="150"/>
      <c r="E199" s="155"/>
      <c r="F199" s="161" t="s">
        <v>534</v>
      </c>
      <c r="G199" s="161" t="str">
        <f>CONCATENATE(RIGHT(G186,4),"-",RIGHT(G186,4)+1)</f>
        <v>2027-2028</v>
      </c>
      <c r="H199" s="161" t="str">
        <f>CONCATENATE(F199,"-",RIGHT(LEFT(G199,4),2))</f>
        <v>Apr-27</v>
      </c>
      <c r="I199" s="162"/>
      <c r="J199" s="150"/>
      <c r="K199" s="150"/>
      <c r="L199" s="150"/>
      <c r="M199" s="150"/>
      <c r="N199" s="163">
        <f t="shared" ref="N199:N210" si="117">I199+J199+L199+M199-K199</f>
        <v>0</v>
      </c>
      <c r="O199" s="163">
        <f>O198+N199</f>
        <v>183611.09133668439</v>
      </c>
      <c r="P199" s="164">
        <v>7.0999999999999994E-2</v>
      </c>
      <c r="Q199" s="163">
        <f t="shared" ref="Q199:Q210" si="118">O199*P199/12</f>
        <v>1086.3656237420491</v>
      </c>
      <c r="R199" s="150" t="s">
        <v>744</v>
      </c>
      <c r="S199" s="150">
        <f t="shared" si="112"/>
        <v>1</v>
      </c>
      <c r="T199" s="150"/>
      <c r="U199" s="150"/>
      <c r="V199" s="150"/>
    </row>
    <row r="200" spans="1:22" x14ac:dyDescent="0.25">
      <c r="A200" s="172"/>
      <c r="B200" s="172"/>
      <c r="C200" s="173"/>
      <c r="D200" s="172"/>
      <c r="E200" s="173"/>
      <c r="F200" s="161" t="s">
        <v>520</v>
      </c>
      <c r="G200" s="161" t="str">
        <f t="shared" ref="G200:G209" si="119">G199</f>
        <v>2027-2028</v>
      </c>
      <c r="H200" s="161" t="str">
        <f t="shared" ref="H200:H207" si="120">CONCATENATE(F200,"-",RIGHT(LEFT(G200,4),2))</f>
        <v>May-27</v>
      </c>
      <c r="I200" s="162"/>
      <c r="J200" s="150"/>
      <c r="K200" s="150"/>
      <c r="L200" s="150"/>
      <c r="M200" s="150"/>
      <c r="N200" s="163">
        <f t="shared" si="117"/>
        <v>0</v>
      </c>
      <c r="O200" s="163">
        <f t="shared" ref="O200:O210" si="121">O199+N200</f>
        <v>183611.09133668439</v>
      </c>
      <c r="P200" s="164">
        <v>7.0999999999999994E-2</v>
      </c>
      <c r="Q200" s="163">
        <f t="shared" si="118"/>
        <v>1086.3656237420491</v>
      </c>
      <c r="R200" s="150" t="s">
        <v>744</v>
      </c>
      <c r="S200" s="150">
        <f t="shared" si="112"/>
        <v>1</v>
      </c>
      <c r="T200" s="150"/>
      <c r="U200" s="150"/>
      <c r="V200" s="150"/>
    </row>
    <row r="201" spans="1:22" x14ac:dyDescent="0.25">
      <c r="A201" s="150"/>
      <c r="B201" s="150"/>
      <c r="C201" s="155"/>
      <c r="D201" s="150"/>
      <c r="E201" s="155"/>
      <c r="F201" s="161" t="s">
        <v>535</v>
      </c>
      <c r="G201" s="161" t="str">
        <f t="shared" si="119"/>
        <v>2027-2028</v>
      </c>
      <c r="H201" s="161" t="str">
        <f t="shared" si="120"/>
        <v>Jun-27</v>
      </c>
      <c r="I201" s="162"/>
      <c r="J201" s="150"/>
      <c r="K201" s="150"/>
      <c r="L201" s="150"/>
      <c r="M201" s="150"/>
      <c r="N201" s="163">
        <f t="shared" si="117"/>
        <v>0</v>
      </c>
      <c r="O201" s="163">
        <f t="shared" si="121"/>
        <v>183611.09133668439</v>
      </c>
      <c r="P201" s="164">
        <v>7.0999999999999994E-2</v>
      </c>
      <c r="Q201" s="163">
        <f t="shared" si="118"/>
        <v>1086.3656237420491</v>
      </c>
      <c r="R201" s="150" t="s">
        <v>744</v>
      </c>
      <c r="S201" s="150">
        <f t="shared" si="112"/>
        <v>1</v>
      </c>
      <c r="T201" s="150"/>
      <c r="U201" s="150"/>
      <c r="V201" s="150"/>
    </row>
    <row r="202" spans="1:22" x14ac:dyDescent="0.25">
      <c r="A202" s="150"/>
      <c r="B202" s="150"/>
      <c r="C202" s="155"/>
      <c r="D202" s="150"/>
      <c r="E202" s="155"/>
      <c r="F202" s="161" t="s">
        <v>536</v>
      </c>
      <c r="G202" s="161" t="str">
        <f t="shared" si="119"/>
        <v>2027-2028</v>
      </c>
      <c r="H202" s="161" t="str">
        <f t="shared" si="120"/>
        <v>Jul-27</v>
      </c>
      <c r="I202" s="162"/>
      <c r="J202" s="150"/>
      <c r="K202" s="150"/>
      <c r="L202" s="150"/>
      <c r="M202" s="150"/>
      <c r="N202" s="163">
        <f t="shared" si="117"/>
        <v>0</v>
      </c>
      <c r="O202" s="163">
        <f t="shared" si="121"/>
        <v>183611.09133668439</v>
      </c>
      <c r="P202" s="164">
        <v>7.0999999999999994E-2</v>
      </c>
      <c r="Q202" s="163">
        <f t="shared" si="118"/>
        <v>1086.3656237420491</v>
      </c>
      <c r="R202" s="150" t="s">
        <v>744</v>
      </c>
      <c r="S202" s="150">
        <f t="shared" si="112"/>
        <v>1</v>
      </c>
      <c r="T202" s="150"/>
      <c r="U202" s="150"/>
      <c r="V202" s="150"/>
    </row>
    <row r="203" spans="1:22" x14ac:dyDescent="0.25">
      <c r="A203" s="150"/>
      <c r="B203" s="150"/>
      <c r="C203" s="155"/>
      <c r="D203" s="150"/>
      <c r="E203" s="155"/>
      <c r="F203" s="161" t="s">
        <v>523</v>
      </c>
      <c r="G203" s="161" t="str">
        <f t="shared" si="119"/>
        <v>2027-2028</v>
      </c>
      <c r="H203" s="161" t="str">
        <f t="shared" si="120"/>
        <v>Aug-27</v>
      </c>
      <c r="I203" s="162"/>
      <c r="J203" s="150"/>
      <c r="K203" s="150"/>
      <c r="L203" s="150"/>
      <c r="M203" s="150"/>
      <c r="N203" s="163">
        <f t="shared" si="117"/>
        <v>0</v>
      </c>
      <c r="O203" s="163">
        <f t="shared" si="121"/>
        <v>183611.09133668439</v>
      </c>
      <c r="P203" s="164">
        <v>7.0999999999999994E-2</v>
      </c>
      <c r="Q203" s="163">
        <f t="shared" si="118"/>
        <v>1086.3656237420491</v>
      </c>
      <c r="R203" s="150" t="s">
        <v>744</v>
      </c>
      <c r="S203" s="150">
        <f t="shared" si="112"/>
        <v>1</v>
      </c>
      <c r="T203" s="150"/>
      <c r="U203" s="150"/>
      <c r="V203" s="150"/>
    </row>
    <row r="204" spans="1:22" x14ac:dyDescent="0.25">
      <c r="A204" s="150"/>
      <c r="B204" s="150"/>
      <c r="C204" s="155"/>
      <c r="D204" s="150"/>
      <c r="E204" s="155"/>
      <c r="F204" s="161" t="s">
        <v>537</v>
      </c>
      <c r="G204" s="161" t="str">
        <f t="shared" si="119"/>
        <v>2027-2028</v>
      </c>
      <c r="H204" s="161" t="str">
        <f t="shared" si="120"/>
        <v>Sep-27</v>
      </c>
      <c r="I204" s="162"/>
      <c r="J204" s="150"/>
      <c r="K204" s="150"/>
      <c r="L204" s="150"/>
      <c r="M204" s="150"/>
      <c r="N204" s="163">
        <f t="shared" si="117"/>
        <v>0</v>
      </c>
      <c r="O204" s="163">
        <f t="shared" si="121"/>
        <v>183611.09133668439</v>
      </c>
      <c r="P204" s="164">
        <v>7.0999999999999994E-2</v>
      </c>
      <c r="Q204" s="163">
        <f t="shared" si="118"/>
        <v>1086.3656237420491</v>
      </c>
      <c r="R204" s="150" t="s">
        <v>744</v>
      </c>
      <c r="S204" s="150">
        <f t="shared" si="112"/>
        <v>1</v>
      </c>
      <c r="T204" s="150"/>
      <c r="U204" s="150"/>
      <c r="V204" s="150"/>
    </row>
    <row r="205" spans="1:22" x14ac:dyDescent="0.25">
      <c r="A205" s="150"/>
      <c r="B205" s="150"/>
      <c r="C205" s="155"/>
      <c r="D205" s="150"/>
      <c r="E205" s="155"/>
      <c r="F205" s="161" t="s">
        <v>525</v>
      </c>
      <c r="G205" s="161" t="str">
        <f t="shared" si="119"/>
        <v>2027-2028</v>
      </c>
      <c r="H205" s="161" t="str">
        <f t="shared" si="120"/>
        <v>Oct-27</v>
      </c>
      <c r="I205" s="162"/>
      <c r="J205" s="150"/>
      <c r="K205" s="150"/>
      <c r="L205" s="150"/>
      <c r="M205" s="150"/>
      <c r="N205" s="163">
        <f t="shared" si="117"/>
        <v>0</v>
      </c>
      <c r="O205" s="163">
        <f t="shared" si="121"/>
        <v>183611.09133668439</v>
      </c>
      <c r="P205" s="164">
        <v>7.0999999999999994E-2</v>
      </c>
      <c r="Q205" s="163">
        <f t="shared" si="118"/>
        <v>1086.3656237420491</v>
      </c>
      <c r="R205" s="150" t="s">
        <v>744</v>
      </c>
      <c r="S205" s="150">
        <f t="shared" si="112"/>
        <v>1</v>
      </c>
      <c r="T205" s="150"/>
      <c r="U205" s="150"/>
      <c r="V205" s="150"/>
    </row>
    <row r="206" spans="1:22" x14ac:dyDescent="0.25">
      <c r="A206" s="172"/>
      <c r="B206" s="172"/>
      <c r="C206" s="173"/>
      <c r="D206" s="172"/>
      <c r="E206" s="173"/>
      <c r="F206" s="161" t="s">
        <v>526</v>
      </c>
      <c r="G206" s="161" t="str">
        <f t="shared" si="119"/>
        <v>2027-2028</v>
      </c>
      <c r="H206" s="161" t="str">
        <f t="shared" si="120"/>
        <v>Nov-27</v>
      </c>
      <c r="I206" s="162"/>
      <c r="J206" s="150"/>
      <c r="K206" s="150"/>
      <c r="L206" s="150"/>
      <c r="M206" s="150"/>
      <c r="N206" s="163">
        <f t="shared" si="117"/>
        <v>0</v>
      </c>
      <c r="O206" s="163">
        <f t="shared" si="121"/>
        <v>183611.09133668439</v>
      </c>
      <c r="P206" s="164">
        <v>7.0999999999999994E-2</v>
      </c>
      <c r="Q206" s="163">
        <f t="shared" si="118"/>
        <v>1086.3656237420491</v>
      </c>
      <c r="R206" s="150" t="s">
        <v>744</v>
      </c>
      <c r="S206" s="150">
        <f t="shared" si="112"/>
        <v>1</v>
      </c>
      <c r="T206" s="150"/>
      <c r="U206" s="150"/>
      <c r="V206" s="150"/>
    </row>
    <row r="207" spans="1:22" x14ac:dyDescent="0.25">
      <c r="A207" s="172"/>
      <c r="B207" s="172"/>
      <c r="C207" s="172"/>
      <c r="D207" s="172"/>
      <c r="E207" s="172"/>
      <c r="F207" s="161" t="s">
        <v>527</v>
      </c>
      <c r="G207" s="161" t="str">
        <f t="shared" si="119"/>
        <v>2027-2028</v>
      </c>
      <c r="H207" s="161" t="str">
        <f t="shared" si="120"/>
        <v>Dec-27</v>
      </c>
      <c r="I207" s="162"/>
      <c r="J207" s="150"/>
      <c r="K207" s="150"/>
      <c r="L207" s="150"/>
      <c r="M207" s="150"/>
      <c r="N207" s="163">
        <f t="shared" si="117"/>
        <v>0</v>
      </c>
      <c r="O207" s="163">
        <f t="shared" si="121"/>
        <v>183611.09133668439</v>
      </c>
      <c r="P207" s="164">
        <v>7.0999999999999994E-2</v>
      </c>
      <c r="Q207" s="163">
        <f t="shared" si="118"/>
        <v>1086.3656237420491</v>
      </c>
      <c r="R207" s="150" t="s">
        <v>744</v>
      </c>
      <c r="S207" s="150">
        <f t="shared" si="112"/>
        <v>1</v>
      </c>
      <c r="T207" s="150"/>
      <c r="U207" s="150"/>
      <c r="V207" s="150"/>
    </row>
    <row r="208" spans="1:22" x14ac:dyDescent="0.25">
      <c r="A208" s="150"/>
      <c r="B208" s="172"/>
      <c r="C208" s="155"/>
      <c r="D208" s="172"/>
      <c r="E208" s="155"/>
      <c r="F208" s="161" t="s">
        <v>528</v>
      </c>
      <c r="G208" s="161" t="str">
        <f t="shared" si="119"/>
        <v>2027-2028</v>
      </c>
      <c r="H208" s="161" t="str">
        <f>CONCATENATE(F208,"-",RIGHT(RIGHT(G208,4),2))</f>
        <v>Jan-28</v>
      </c>
      <c r="I208" s="150"/>
      <c r="J208" s="150"/>
      <c r="K208" s="150"/>
      <c r="L208" s="150"/>
      <c r="M208" s="150"/>
      <c r="N208" s="163">
        <f t="shared" si="117"/>
        <v>0</v>
      </c>
      <c r="O208" s="163">
        <f t="shared" si="121"/>
        <v>183611.09133668439</v>
      </c>
      <c r="P208" s="164">
        <v>7.0999999999999994E-2</v>
      </c>
      <c r="Q208" s="163">
        <f t="shared" si="118"/>
        <v>1086.3656237420491</v>
      </c>
      <c r="R208" s="150" t="s">
        <v>744</v>
      </c>
      <c r="S208" s="150">
        <f t="shared" si="112"/>
        <v>1</v>
      </c>
      <c r="T208" s="150"/>
      <c r="U208" s="150"/>
      <c r="V208" s="150"/>
    </row>
    <row r="209" spans="1:22" x14ac:dyDescent="0.25">
      <c r="A209" s="150"/>
      <c r="B209" s="172"/>
      <c r="C209" s="155"/>
      <c r="D209" s="172"/>
      <c r="E209" s="155"/>
      <c r="F209" s="161" t="s">
        <v>529</v>
      </c>
      <c r="G209" s="161" t="str">
        <f t="shared" si="119"/>
        <v>2027-2028</v>
      </c>
      <c r="H209" s="161" t="str">
        <f>CONCATENATE(F209,"-",RIGHT(RIGHT(G209,4),2))</f>
        <v>Feb-28</v>
      </c>
      <c r="I209" s="150"/>
      <c r="J209" s="150"/>
      <c r="K209" s="150"/>
      <c r="L209" s="150"/>
      <c r="M209" s="150"/>
      <c r="N209" s="163">
        <f t="shared" si="117"/>
        <v>0</v>
      </c>
      <c r="O209" s="163">
        <f t="shared" si="121"/>
        <v>183611.09133668439</v>
      </c>
      <c r="P209" s="164">
        <v>7.0999999999999994E-2</v>
      </c>
      <c r="Q209" s="163">
        <f t="shared" si="118"/>
        <v>1086.3656237420491</v>
      </c>
      <c r="R209" s="150" t="s">
        <v>744</v>
      </c>
      <c r="S209" s="150">
        <f t="shared" si="112"/>
        <v>1</v>
      </c>
      <c r="T209" s="150"/>
      <c r="U209" s="150"/>
      <c r="V209" s="150"/>
    </row>
    <row r="210" spans="1:22" x14ac:dyDescent="0.25">
      <c r="A210" s="150"/>
      <c r="B210" s="172"/>
      <c r="C210" s="155"/>
      <c r="D210" s="172"/>
      <c r="E210" s="155"/>
      <c r="F210" s="161" t="s">
        <v>533</v>
      </c>
      <c r="G210" s="161" t="str">
        <f>G209</f>
        <v>2027-2028</v>
      </c>
      <c r="H210" s="161" t="str">
        <f>CONCATENATE(F210,"-",RIGHT(RIGHT(G210,4),2))</f>
        <v>Mar-28</v>
      </c>
      <c r="I210" s="150"/>
      <c r="J210" s="150"/>
      <c r="K210" s="150"/>
      <c r="L210" s="150"/>
      <c r="M210" s="150"/>
      <c r="N210" s="163">
        <f t="shared" si="117"/>
        <v>0</v>
      </c>
      <c r="O210" s="163">
        <f t="shared" si="121"/>
        <v>183611.09133668439</v>
      </c>
      <c r="P210" s="164">
        <v>7.0999999999999994E-2</v>
      </c>
      <c r="Q210" s="163">
        <f t="shared" si="118"/>
        <v>1086.3656237420491</v>
      </c>
      <c r="R210" s="150" t="s">
        <v>744</v>
      </c>
      <c r="S210" s="150">
        <f t="shared" si="112"/>
        <v>1</v>
      </c>
      <c r="T210" s="150"/>
      <c r="U210" s="150"/>
      <c r="V210" s="150"/>
    </row>
    <row r="211" spans="1:22" x14ac:dyDescent="0.25">
      <c r="A211" s="175"/>
      <c r="B211" s="175"/>
      <c r="C211" s="175"/>
      <c r="D211" s="175"/>
      <c r="E211" s="175"/>
      <c r="F211" s="169"/>
      <c r="G211" s="169" t="str">
        <f>G210</f>
        <v>2027-2028</v>
      </c>
      <c r="H211" s="169"/>
      <c r="I211" s="170">
        <f t="shared" ref="I211:N211" si="122">SUM(I199:I210)</f>
        <v>0</v>
      </c>
      <c r="J211" s="170">
        <f t="shared" si="122"/>
        <v>0</v>
      </c>
      <c r="K211" s="170">
        <f t="shared" si="122"/>
        <v>0</v>
      </c>
      <c r="L211" s="170">
        <f t="shared" si="122"/>
        <v>0</v>
      </c>
      <c r="M211" s="170">
        <f t="shared" si="122"/>
        <v>0</v>
      </c>
      <c r="N211" s="170">
        <f t="shared" si="122"/>
        <v>0</v>
      </c>
      <c r="O211" s="170">
        <f>O210+Q211</f>
        <v>196647.47882158897</v>
      </c>
      <c r="P211" s="171"/>
      <c r="Q211" s="170">
        <f>SUM(Q199:Q210)</f>
        <v>13036.38748490459</v>
      </c>
      <c r="R211" s="169" t="s">
        <v>651</v>
      </c>
      <c r="S211" s="150">
        <f t="shared" si="112"/>
        <v>1</v>
      </c>
      <c r="T211" s="150"/>
      <c r="U211" s="163">
        <f>T211-Q211</f>
        <v>-13036.38748490459</v>
      </c>
      <c r="V211" s="150"/>
    </row>
    <row r="212" spans="1:22" x14ac:dyDescent="0.25">
      <c r="A212" s="150"/>
      <c r="B212" s="150"/>
      <c r="C212" s="155"/>
      <c r="D212" s="150"/>
      <c r="E212" s="155"/>
      <c r="F212" s="161" t="s">
        <v>534</v>
      </c>
      <c r="G212" s="161" t="str">
        <f>CONCATENATE(RIGHT(G199,4),"-",RIGHT(G199,4)+1)</f>
        <v>2028-2029</v>
      </c>
      <c r="H212" s="161" t="str">
        <f>CONCATENATE(F212,"-",RIGHT(LEFT(G212,4),2))</f>
        <v>Apr-28</v>
      </c>
      <c r="I212" s="162"/>
      <c r="J212" s="150"/>
      <c r="K212" s="150"/>
      <c r="L212" s="150"/>
      <c r="M212" s="150"/>
      <c r="N212" s="163">
        <f t="shared" ref="N212:N223" si="123">I212+J212+L212+M212-K212</f>
        <v>0</v>
      </c>
      <c r="O212" s="163">
        <f>O211+N212</f>
        <v>196647.47882158897</v>
      </c>
      <c r="P212" s="164">
        <v>7.0999999999999994E-2</v>
      </c>
      <c r="Q212" s="163">
        <f t="shared" ref="Q212:Q223" si="124">O212*P212/12</f>
        <v>1163.4975830277347</v>
      </c>
      <c r="R212" s="150" t="s">
        <v>744</v>
      </c>
      <c r="S212" s="150">
        <f t="shared" si="112"/>
        <v>1</v>
      </c>
      <c r="T212" s="150"/>
      <c r="U212" s="150"/>
      <c r="V212" s="150"/>
    </row>
    <row r="213" spans="1:22" x14ac:dyDescent="0.25">
      <c r="A213" s="172"/>
      <c r="B213" s="172"/>
      <c r="C213" s="173"/>
      <c r="D213" s="172"/>
      <c r="E213" s="173"/>
      <c r="F213" s="161" t="s">
        <v>520</v>
      </c>
      <c r="G213" s="161" t="str">
        <f t="shared" ref="G213:G222" si="125">G212</f>
        <v>2028-2029</v>
      </c>
      <c r="H213" s="161" t="str">
        <f t="shared" ref="H213:H220" si="126">CONCATENATE(F213,"-",RIGHT(LEFT(G213,4),2))</f>
        <v>May-28</v>
      </c>
      <c r="I213" s="162"/>
      <c r="J213" s="150"/>
      <c r="K213" s="150"/>
      <c r="L213" s="150"/>
      <c r="M213" s="150"/>
      <c r="N213" s="163">
        <f t="shared" si="123"/>
        <v>0</v>
      </c>
      <c r="O213" s="163">
        <f t="shared" ref="O213:O223" si="127">O212+N213</f>
        <v>196647.47882158897</v>
      </c>
      <c r="P213" s="164">
        <v>7.0999999999999994E-2</v>
      </c>
      <c r="Q213" s="163">
        <f t="shared" si="124"/>
        <v>1163.4975830277347</v>
      </c>
      <c r="R213" s="150" t="s">
        <v>744</v>
      </c>
      <c r="S213" s="150">
        <f t="shared" si="112"/>
        <v>1</v>
      </c>
      <c r="T213" s="150"/>
      <c r="U213" s="150"/>
      <c r="V213" s="150"/>
    </row>
    <row r="214" spans="1:22" x14ac:dyDescent="0.25">
      <c r="A214" s="150"/>
      <c r="B214" s="150"/>
      <c r="C214" s="155"/>
      <c r="D214" s="150"/>
      <c r="E214" s="155"/>
      <c r="F214" s="161" t="s">
        <v>535</v>
      </c>
      <c r="G214" s="161" t="str">
        <f t="shared" si="125"/>
        <v>2028-2029</v>
      </c>
      <c r="H214" s="161" t="str">
        <f t="shared" si="126"/>
        <v>Jun-28</v>
      </c>
      <c r="I214" s="162"/>
      <c r="J214" s="150"/>
      <c r="K214" s="150"/>
      <c r="L214" s="150"/>
      <c r="M214" s="150"/>
      <c r="N214" s="163">
        <f t="shared" si="123"/>
        <v>0</v>
      </c>
      <c r="O214" s="163">
        <f t="shared" si="127"/>
        <v>196647.47882158897</v>
      </c>
      <c r="P214" s="164">
        <v>7.0999999999999994E-2</v>
      </c>
      <c r="Q214" s="163">
        <f t="shared" si="124"/>
        <v>1163.4975830277347</v>
      </c>
      <c r="R214" s="150" t="s">
        <v>744</v>
      </c>
      <c r="S214" s="150">
        <f t="shared" si="112"/>
        <v>1</v>
      </c>
      <c r="T214" s="150"/>
      <c r="U214" s="150"/>
      <c r="V214" s="150"/>
    </row>
    <row r="215" spans="1:22" x14ac:dyDescent="0.25">
      <c r="A215" s="150"/>
      <c r="B215" s="150"/>
      <c r="C215" s="155"/>
      <c r="D215" s="150"/>
      <c r="E215" s="155"/>
      <c r="F215" s="161" t="s">
        <v>536</v>
      </c>
      <c r="G215" s="161" t="str">
        <f t="shared" si="125"/>
        <v>2028-2029</v>
      </c>
      <c r="H215" s="161" t="str">
        <f t="shared" si="126"/>
        <v>Jul-28</v>
      </c>
      <c r="I215" s="162"/>
      <c r="J215" s="150"/>
      <c r="K215" s="150"/>
      <c r="L215" s="150"/>
      <c r="M215" s="150"/>
      <c r="N215" s="163">
        <f t="shared" si="123"/>
        <v>0</v>
      </c>
      <c r="O215" s="163">
        <f t="shared" si="127"/>
        <v>196647.47882158897</v>
      </c>
      <c r="P215" s="164">
        <v>7.0999999999999994E-2</v>
      </c>
      <c r="Q215" s="163">
        <f t="shared" si="124"/>
        <v>1163.4975830277347</v>
      </c>
      <c r="R215" s="150" t="s">
        <v>744</v>
      </c>
      <c r="S215" s="150">
        <f t="shared" si="112"/>
        <v>1</v>
      </c>
      <c r="T215" s="150"/>
      <c r="U215" s="150"/>
      <c r="V215" s="150"/>
    </row>
    <row r="216" spans="1:22" x14ac:dyDescent="0.25">
      <c r="A216" s="150"/>
      <c r="B216" s="150"/>
      <c r="C216" s="155"/>
      <c r="D216" s="150"/>
      <c r="E216" s="155"/>
      <c r="F216" s="161" t="s">
        <v>523</v>
      </c>
      <c r="G216" s="161" t="str">
        <f t="shared" si="125"/>
        <v>2028-2029</v>
      </c>
      <c r="H216" s="161" t="str">
        <f t="shared" si="126"/>
        <v>Aug-28</v>
      </c>
      <c r="I216" s="162"/>
      <c r="J216" s="150"/>
      <c r="K216" s="150"/>
      <c r="L216" s="150"/>
      <c r="M216" s="150"/>
      <c r="N216" s="163">
        <f t="shared" si="123"/>
        <v>0</v>
      </c>
      <c r="O216" s="163">
        <f t="shared" si="127"/>
        <v>196647.47882158897</v>
      </c>
      <c r="P216" s="164">
        <v>7.0999999999999994E-2</v>
      </c>
      <c r="Q216" s="163">
        <f t="shared" si="124"/>
        <v>1163.4975830277347</v>
      </c>
      <c r="R216" s="150" t="s">
        <v>744</v>
      </c>
      <c r="S216" s="150">
        <f t="shared" si="112"/>
        <v>1</v>
      </c>
      <c r="T216" s="150"/>
      <c r="U216" s="150"/>
      <c r="V216" s="150"/>
    </row>
    <row r="217" spans="1:22" x14ac:dyDescent="0.25">
      <c r="A217" s="150"/>
      <c r="B217" s="150"/>
      <c r="C217" s="155"/>
      <c r="D217" s="150"/>
      <c r="E217" s="155"/>
      <c r="F217" s="161" t="s">
        <v>537</v>
      </c>
      <c r="G217" s="161" t="str">
        <f t="shared" si="125"/>
        <v>2028-2029</v>
      </c>
      <c r="H217" s="161" t="str">
        <f t="shared" si="126"/>
        <v>Sep-28</v>
      </c>
      <c r="I217" s="162"/>
      <c r="J217" s="150"/>
      <c r="K217" s="150"/>
      <c r="L217" s="150"/>
      <c r="M217" s="150"/>
      <c r="N217" s="163">
        <f t="shared" si="123"/>
        <v>0</v>
      </c>
      <c r="O217" s="163">
        <f t="shared" si="127"/>
        <v>196647.47882158897</v>
      </c>
      <c r="P217" s="164">
        <v>7.0999999999999994E-2</v>
      </c>
      <c r="Q217" s="163">
        <f t="shared" si="124"/>
        <v>1163.4975830277347</v>
      </c>
      <c r="R217" s="150" t="s">
        <v>744</v>
      </c>
      <c r="S217" s="150">
        <f t="shared" si="112"/>
        <v>1</v>
      </c>
      <c r="T217" s="150"/>
      <c r="U217" s="150"/>
      <c r="V217" s="150"/>
    </row>
    <row r="218" spans="1:22" x14ac:dyDescent="0.25">
      <c r="A218" s="150"/>
      <c r="B218" s="150"/>
      <c r="C218" s="155"/>
      <c r="D218" s="150"/>
      <c r="E218" s="155"/>
      <c r="F218" s="161" t="s">
        <v>525</v>
      </c>
      <c r="G218" s="161" t="str">
        <f t="shared" si="125"/>
        <v>2028-2029</v>
      </c>
      <c r="H218" s="161" t="str">
        <f t="shared" si="126"/>
        <v>Oct-28</v>
      </c>
      <c r="I218" s="162"/>
      <c r="J218" s="150"/>
      <c r="K218" s="150"/>
      <c r="L218" s="150"/>
      <c r="M218" s="150"/>
      <c r="N218" s="163">
        <f t="shared" si="123"/>
        <v>0</v>
      </c>
      <c r="O218" s="163">
        <f t="shared" si="127"/>
        <v>196647.47882158897</v>
      </c>
      <c r="P218" s="164">
        <v>7.0999999999999994E-2</v>
      </c>
      <c r="Q218" s="163">
        <f t="shared" si="124"/>
        <v>1163.4975830277347</v>
      </c>
      <c r="R218" s="150" t="s">
        <v>744</v>
      </c>
      <c r="S218" s="150">
        <f t="shared" si="112"/>
        <v>1</v>
      </c>
      <c r="T218" s="150"/>
      <c r="U218" s="150"/>
      <c r="V218" s="150"/>
    </row>
    <row r="219" spans="1:22" x14ac:dyDescent="0.25">
      <c r="A219" s="172"/>
      <c r="B219" s="172"/>
      <c r="C219" s="173"/>
      <c r="D219" s="172"/>
      <c r="E219" s="173"/>
      <c r="F219" s="161" t="s">
        <v>526</v>
      </c>
      <c r="G219" s="161" t="str">
        <f t="shared" si="125"/>
        <v>2028-2029</v>
      </c>
      <c r="H219" s="161" t="str">
        <f t="shared" si="126"/>
        <v>Nov-28</v>
      </c>
      <c r="I219" s="162"/>
      <c r="J219" s="150"/>
      <c r="K219" s="150"/>
      <c r="L219" s="150"/>
      <c r="M219" s="150"/>
      <c r="N219" s="163">
        <f t="shared" si="123"/>
        <v>0</v>
      </c>
      <c r="O219" s="163">
        <f t="shared" si="127"/>
        <v>196647.47882158897</v>
      </c>
      <c r="P219" s="164">
        <v>7.0999999999999994E-2</v>
      </c>
      <c r="Q219" s="163">
        <f t="shared" si="124"/>
        <v>1163.4975830277347</v>
      </c>
      <c r="R219" s="150" t="s">
        <v>744</v>
      </c>
      <c r="S219" s="150">
        <f t="shared" si="112"/>
        <v>1</v>
      </c>
      <c r="T219" s="150"/>
      <c r="U219" s="150"/>
      <c r="V219" s="150"/>
    </row>
    <row r="220" spans="1:22" x14ac:dyDescent="0.25">
      <c r="A220" s="172"/>
      <c r="B220" s="172"/>
      <c r="C220" s="172"/>
      <c r="D220" s="172"/>
      <c r="E220" s="172"/>
      <c r="F220" s="161" t="s">
        <v>527</v>
      </c>
      <c r="G220" s="161" t="str">
        <f t="shared" si="125"/>
        <v>2028-2029</v>
      </c>
      <c r="H220" s="161" t="str">
        <f t="shared" si="126"/>
        <v>Dec-28</v>
      </c>
      <c r="I220" s="162"/>
      <c r="J220" s="150"/>
      <c r="K220" s="150"/>
      <c r="L220" s="150"/>
      <c r="M220" s="150"/>
      <c r="N220" s="163">
        <f t="shared" si="123"/>
        <v>0</v>
      </c>
      <c r="O220" s="163">
        <f t="shared" si="127"/>
        <v>196647.47882158897</v>
      </c>
      <c r="P220" s="164">
        <v>7.0999999999999994E-2</v>
      </c>
      <c r="Q220" s="163">
        <f t="shared" si="124"/>
        <v>1163.4975830277347</v>
      </c>
      <c r="R220" s="150" t="s">
        <v>744</v>
      </c>
      <c r="S220" s="150">
        <f t="shared" si="112"/>
        <v>1</v>
      </c>
      <c r="T220" s="150"/>
      <c r="U220" s="150"/>
      <c r="V220" s="150"/>
    </row>
    <row r="221" spans="1:22" x14ac:dyDescent="0.25">
      <c r="A221" s="150"/>
      <c r="B221" s="172"/>
      <c r="C221" s="155"/>
      <c r="D221" s="172"/>
      <c r="E221" s="155"/>
      <c r="F221" s="161" t="s">
        <v>528</v>
      </c>
      <c r="G221" s="161" t="str">
        <f t="shared" si="125"/>
        <v>2028-2029</v>
      </c>
      <c r="H221" s="161" t="str">
        <f>CONCATENATE(F221,"-",RIGHT(RIGHT(G221,4),2))</f>
        <v>Jan-29</v>
      </c>
      <c r="I221" s="150"/>
      <c r="J221" s="150"/>
      <c r="K221" s="150"/>
      <c r="L221" s="150"/>
      <c r="M221" s="150"/>
      <c r="N221" s="163">
        <f t="shared" si="123"/>
        <v>0</v>
      </c>
      <c r="O221" s="163">
        <f t="shared" si="127"/>
        <v>196647.47882158897</v>
      </c>
      <c r="P221" s="164">
        <v>7.0999999999999994E-2</v>
      </c>
      <c r="Q221" s="163">
        <f t="shared" si="124"/>
        <v>1163.4975830277347</v>
      </c>
      <c r="R221" s="150" t="s">
        <v>744</v>
      </c>
      <c r="S221" s="150">
        <f t="shared" si="112"/>
        <v>1</v>
      </c>
      <c r="T221" s="150"/>
      <c r="U221" s="150"/>
      <c r="V221" s="150"/>
    </row>
    <row r="222" spans="1:22" x14ac:dyDescent="0.25">
      <c r="A222" s="150"/>
      <c r="B222" s="172"/>
      <c r="C222" s="155"/>
      <c r="D222" s="172"/>
      <c r="E222" s="155"/>
      <c r="F222" s="161" t="s">
        <v>529</v>
      </c>
      <c r="G222" s="161" t="str">
        <f t="shared" si="125"/>
        <v>2028-2029</v>
      </c>
      <c r="H222" s="161" t="str">
        <f>CONCATENATE(F222,"-",RIGHT(RIGHT(G222,4),2))</f>
        <v>Feb-29</v>
      </c>
      <c r="I222" s="150"/>
      <c r="J222" s="150"/>
      <c r="K222" s="150"/>
      <c r="L222" s="150"/>
      <c r="M222" s="150"/>
      <c r="N222" s="163">
        <f t="shared" si="123"/>
        <v>0</v>
      </c>
      <c r="O222" s="163">
        <f t="shared" si="127"/>
        <v>196647.47882158897</v>
      </c>
      <c r="P222" s="164">
        <v>7.0999999999999994E-2</v>
      </c>
      <c r="Q222" s="163">
        <f t="shared" si="124"/>
        <v>1163.4975830277347</v>
      </c>
      <c r="R222" s="150" t="s">
        <v>744</v>
      </c>
      <c r="S222" s="150">
        <f t="shared" si="112"/>
        <v>1</v>
      </c>
      <c r="T222" s="150"/>
      <c r="U222" s="150"/>
      <c r="V222" s="150"/>
    </row>
    <row r="223" spans="1:22" x14ac:dyDescent="0.25">
      <c r="A223" s="150"/>
      <c r="B223" s="172"/>
      <c r="C223" s="155"/>
      <c r="D223" s="172"/>
      <c r="E223" s="155"/>
      <c r="F223" s="161" t="s">
        <v>533</v>
      </c>
      <c r="G223" s="161" t="str">
        <f>G222</f>
        <v>2028-2029</v>
      </c>
      <c r="H223" s="161" t="str">
        <f>CONCATENATE(F223,"-",RIGHT(RIGHT(G223,4),2))</f>
        <v>Mar-29</v>
      </c>
      <c r="I223" s="150"/>
      <c r="J223" s="150"/>
      <c r="K223" s="150"/>
      <c r="L223" s="150"/>
      <c r="M223" s="150"/>
      <c r="N223" s="163">
        <f t="shared" si="123"/>
        <v>0</v>
      </c>
      <c r="O223" s="163">
        <f t="shared" si="127"/>
        <v>196647.47882158897</v>
      </c>
      <c r="P223" s="164">
        <v>7.0999999999999994E-2</v>
      </c>
      <c r="Q223" s="163">
        <f t="shared" si="124"/>
        <v>1163.4975830277347</v>
      </c>
      <c r="R223" s="150" t="s">
        <v>744</v>
      </c>
      <c r="S223" s="150">
        <f t="shared" si="112"/>
        <v>1</v>
      </c>
      <c r="T223" s="150"/>
      <c r="U223" s="150"/>
      <c r="V223" s="150"/>
    </row>
    <row r="224" spans="1:22" x14ac:dyDescent="0.25">
      <c r="A224" s="175"/>
      <c r="B224" s="175"/>
      <c r="C224" s="175"/>
      <c r="D224" s="175"/>
      <c r="E224" s="175"/>
      <c r="F224" s="169"/>
      <c r="G224" s="169" t="str">
        <f>G223</f>
        <v>2028-2029</v>
      </c>
      <c r="H224" s="169"/>
      <c r="I224" s="170">
        <f t="shared" ref="I224:N224" si="128">SUM(I212:I223)</f>
        <v>0</v>
      </c>
      <c r="J224" s="170">
        <f t="shared" si="128"/>
        <v>0</v>
      </c>
      <c r="K224" s="170">
        <f t="shared" si="128"/>
        <v>0</v>
      </c>
      <c r="L224" s="170">
        <f t="shared" si="128"/>
        <v>0</v>
      </c>
      <c r="M224" s="170">
        <f t="shared" si="128"/>
        <v>0</v>
      </c>
      <c r="N224" s="170">
        <f t="shared" si="128"/>
        <v>0</v>
      </c>
      <c r="O224" s="170">
        <f>O223+Q224</f>
        <v>210609.44981792179</v>
      </c>
      <c r="P224" s="171"/>
      <c r="Q224" s="170">
        <f>SUM(Q212:Q223)</f>
        <v>13961.970996332815</v>
      </c>
      <c r="R224" s="169" t="s">
        <v>651</v>
      </c>
      <c r="S224" s="150">
        <f t="shared" si="112"/>
        <v>1</v>
      </c>
      <c r="T224" s="150"/>
      <c r="U224" s="163">
        <f>T224-Q224</f>
        <v>-13961.970996332815</v>
      </c>
      <c r="V224" s="150"/>
    </row>
    <row r="225" spans="1:22" x14ac:dyDescent="0.25">
      <c r="A225" s="150"/>
      <c r="B225" s="150"/>
      <c r="C225" s="155"/>
      <c r="D225" s="150"/>
      <c r="E225" s="155"/>
      <c r="F225" s="161" t="s">
        <v>534</v>
      </c>
      <c r="G225" s="161" t="str">
        <f>CONCATENATE(RIGHT(G212,4),"-",RIGHT(G212,4)+1)</f>
        <v>2029-2030</v>
      </c>
      <c r="H225" s="161" t="str">
        <f>CONCATENATE(F225,"-",RIGHT(LEFT(G225,4),2))</f>
        <v>Apr-29</v>
      </c>
      <c r="I225" s="162"/>
      <c r="J225" s="150"/>
      <c r="K225" s="150"/>
      <c r="L225" s="150"/>
      <c r="M225" s="150"/>
      <c r="N225" s="163">
        <f t="shared" ref="N225:N236" si="129">I225+J225+L225+M225-K225</f>
        <v>0</v>
      </c>
      <c r="O225" s="163">
        <f>O224+N225</f>
        <v>210609.44981792179</v>
      </c>
      <c r="P225" s="164">
        <v>7.0999999999999994E-2</v>
      </c>
      <c r="Q225" s="163">
        <f t="shared" ref="Q225:Q236" si="130">O225*P225/12</f>
        <v>1246.1059114227039</v>
      </c>
      <c r="R225" s="150" t="s">
        <v>744</v>
      </c>
      <c r="S225" s="150">
        <f t="shared" si="112"/>
        <v>1</v>
      </c>
      <c r="T225" s="150"/>
      <c r="U225" s="150"/>
      <c r="V225" s="150"/>
    </row>
    <row r="226" spans="1:22" x14ac:dyDescent="0.25">
      <c r="A226" s="172"/>
      <c r="B226" s="172"/>
      <c r="C226" s="173"/>
      <c r="D226" s="172"/>
      <c r="E226" s="173"/>
      <c r="F226" s="161" t="s">
        <v>520</v>
      </c>
      <c r="G226" s="161" t="str">
        <f t="shared" ref="G226:G235" si="131">G225</f>
        <v>2029-2030</v>
      </c>
      <c r="H226" s="161" t="str">
        <f t="shared" ref="H226:H233" si="132">CONCATENATE(F226,"-",RIGHT(LEFT(G226,4),2))</f>
        <v>May-29</v>
      </c>
      <c r="I226" s="162"/>
      <c r="J226" s="150"/>
      <c r="K226" s="150"/>
      <c r="L226" s="150"/>
      <c r="M226" s="150"/>
      <c r="N226" s="163">
        <f t="shared" si="129"/>
        <v>0</v>
      </c>
      <c r="O226" s="163">
        <f t="shared" ref="O226:O236" si="133">O225+N226</f>
        <v>210609.44981792179</v>
      </c>
      <c r="P226" s="164">
        <v>7.0999999999999994E-2</v>
      </c>
      <c r="Q226" s="163">
        <f t="shared" si="130"/>
        <v>1246.1059114227039</v>
      </c>
      <c r="R226" s="150" t="s">
        <v>744</v>
      </c>
      <c r="S226" s="150">
        <f t="shared" si="112"/>
        <v>1</v>
      </c>
      <c r="T226" s="150"/>
      <c r="U226" s="150"/>
      <c r="V226" s="150"/>
    </row>
    <row r="227" spans="1:22" x14ac:dyDescent="0.25">
      <c r="A227" s="150"/>
      <c r="B227" s="150"/>
      <c r="C227" s="155"/>
      <c r="D227" s="150"/>
      <c r="E227" s="155"/>
      <c r="F227" s="161" t="s">
        <v>535</v>
      </c>
      <c r="G227" s="161" t="str">
        <f t="shared" si="131"/>
        <v>2029-2030</v>
      </c>
      <c r="H227" s="161" t="str">
        <f t="shared" si="132"/>
        <v>Jun-29</v>
      </c>
      <c r="I227" s="162"/>
      <c r="J227" s="150"/>
      <c r="K227" s="150"/>
      <c r="L227" s="150"/>
      <c r="M227" s="150"/>
      <c r="N227" s="163">
        <f t="shared" si="129"/>
        <v>0</v>
      </c>
      <c r="O227" s="163">
        <f t="shared" si="133"/>
        <v>210609.44981792179</v>
      </c>
      <c r="P227" s="164">
        <v>7.0999999999999994E-2</v>
      </c>
      <c r="Q227" s="163">
        <f t="shared" si="130"/>
        <v>1246.1059114227039</v>
      </c>
      <c r="R227" s="150" t="s">
        <v>744</v>
      </c>
      <c r="S227" s="150">
        <f t="shared" si="112"/>
        <v>1</v>
      </c>
      <c r="T227" s="150"/>
      <c r="U227" s="150"/>
      <c r="V227" s="150"/>
    </row>
    <row r="228" spans="1:22" x14ac:dyDescent="0.25">
      <c r="A228" s="150"/>
      <c r="B228" s="150"/>
      <c r="C228" s="155"/>
      <c r="D228" s="150"/>
      <c r="E228" s="155"/>
      <c r="F228" s="161" t="s">
        <v>536</v>
      </c>
      <c r="G228" s="161" t="str">
        <f t="shared" si="131"/>
        <v>2029-2030</v>
      </c>
      <c r="H228" s="161" t="str">
        <f t="shared" si="132"/>
        <v>Jul-29</v>
      </c>
      <c r="I228" s="162"/>
      <c r="J228" s="150"/>
      <c r="K228" s="150"/>
      <c r="L228" s="150"/>
      <c r="M228" s="150"/>
      <c r="N228" s="163">
        <f t="shared" si="129"/>
        <v>0</v>
      </c>
      <c r="O228" s="163">
        <f t="shared" si="133"/>
        <v>210609.44981792179</v>
      </c>
      <c r="P228" s="164">
        <v>7.0999999999999994E-2</v>
      </c>
      <c r="Q228" s="163">
        <f t="shared" si="130"/>
        <v>1246.1059114227039</v>
      </c>
      <c r="R228" s="150" t="s">
        <v>744</v>
      </c>
      <c r="S228" s="150">
        <f t="shared" si="112"/>
        <v>1</v>
      </c>
      <c r="T228" s="150"/>
      <c r="U228" s="150"/>
      <c r="V228" s="150"/>
    </row>
    <row r="229" spans="1:22" x14ac:dyDescent="0.25">
      <c r="A229" s="150"/>
      <c r="B229" s="150"/>
      <c r="C229" s="155"/>
      <c r="D229" s="150"/>
      <c r="E229" s="155"/>
      <c r="F229" s="161" t="s">
        <v>523</v>
      </c>
      <c r="G229" s="161" t="str">
        <f t="shared" si="131"/>
        <v>2029-2030</v>
      </c>
      <c r="H229" s="161" t="str">
        <f t="shared" si="132"/>
        <v>Aug-29</v>
      </c>
      <c r="I229" s="162"/>
      <c r="J229" s="150"/>
      <c r="K229" s="150"/>
      <c r="L229" s="150"/>
      <c r="M229" s="150"/>
      <c r="N229" s="163">
        <f t="shared" si="129"/>
        <v>0</v>
      </c>
      <c r="O229" s="163">
        <f t="shared" si="133"/>
        <v>210609.44981792179</v>
      </c>
      <c r="P229" s="164">
        <v>7.0999999999999994E-2</v>
      </c>
      <c r="Q229" s="163">
        <f t="shared" si="130"/>
        <v>1246.1059114227039</v>
      </c>
      <c r="R229" s="150" t="s">
        <v>744</v>
      </c>
      <c r="S229" s="150">
        <f t="shared" si="112"/>
        <v>1</v>
      </c>
      <c r="T229" s="150"/>
      <c r="U229" s="150"/>
      <c r="V229" s="150"/>
    </row>
    <row r="230" spans="1:22" x14ac:dyDescent="0.25">
      <c r="A230" s="150"/>
      <c r="B230" s="150"/>
      <c r="C230" s="155"/>
      <c r="D230" s="150"/>
      <c r="E230" s="155"/>
      <c r="F230" s="161" t="s">
        <v>537</v>
      </c>
      <c r="G230" s="161" t="str">
        <f t="shared" si="131"/>
        <v>2029-2030</v>
      </c>
      <c r="H230" s="161" t="str">
        <f t="shared" si="132"/>
        <v>Sep-29</v>
      </c>
      <c r="I230" s="162"/>
      <c r="J230" s="150"/>
      <c r="K230" s="150"/>
      <c r="L230" s="150"/>
      <c r="M230" s="150"/>
      <c r="N230" s="163">
        <f t="shared" si="129"/>
        <v>0</v>
      </c>
      <c r="O230" s="163">
        <f t="shared" si="133"/>
        <v>210609.44981792179</v>
      </c>
      <c r="P230" s="164">
        <v>7.0999999999999994E-2</v>
      </c>
      <c r="Q230" s="163">
        <f t="shared" si="130"/>
        <v>1246.1059114227039</v>
      </c>
      <c r="R230" s="150" t="s">
        <v>744</v>
      </c>
      <c r="S230" s="150">
        <f t="shared" si="112"/>
        <v>1</v>
      </c>
      <c r="T230" s="150"/>
      <c r="U230" s="150"/>
      <c r="V230" s="150"/>
    </row>
    <row r="231" spans="1:22" x14ac:dyDescent="0.25">
      <c r="A231" s="150"/>
      <c r="B231" s="150"/>
      <c r="C231" s="155"/>
      <c r="D231" s="150"/>
      <c r="E231" s="155"/>
      <c r="F231" s="161" t="s">
        <v>525</v>
      </c>
      <c r="G231" s="161" t="str">
        <f t="shared" si="131"/>
        <v>2029-2030</v>
      </c>
      <c r="H231" s="161" t="str">
        <f t="shared" si="132"/>
        <v>Oct-29</v>
      </c>
      <c r="I231" s="162"/>
      <c r="J231" s="150"/>
      <c r="K231" s="150"/>
      <c r="L231" s="150"/>
      <c r="M231" s="150"/>
      <c r="N231" s="163">
        <f t="shared" si="129"/>
        <v>0</v>
      </c>
      <c r="O231" s="163">
        <f t="shared" si="133"/>
        <v>210609.44981792179</v>
      </c>
      <c r="P231" s="164">
        <v>7.0999999999999994E-2</v>
      </c>
      <c r="Q231" s="163">
        <f t="shared" si="130"/>
        <v>1246.1059114227039</v>
      </c>
      <c r="R231" s="150" t="s">
        <v>744</v>
      </c>
      <c r="S231" s="150">
        <f t="shared" si="112"/>
        <v>1</v>
      </c>
      <c r="T231" s="150"/>
      <c r="U231" s="150"/>
      <c r="V231" s="150"/>
    </row>
    <row r="232" spans="1:22" x14ac:dyDescent="0.25">
      <c r="A232" s="172"/>
      <c r="B232" s="172"/>
      <c r="C232" s="173"/>
      <c r="D232" s="172"/>
      <c r="E232" s="173"/>
      <c r="F232" s="161" t="s">
        <v>526</v>
      </c>
      <c r="G232" s="161" t="str">
        <f t="shared" si="131"/>
        <v>2029-2030</v>
      </c>
      <c r="H232" s="161" t="str">
        <f t="shared" si="132"/>
        <v>Nov-29</v>
      </c>
      <c r="I232" s="162"/>
      <c r="J232" s="150"/>
      <c r="K232" s="150"/>
      <c r="L232" s="150"/>
      <c r="M232" s="150"/>
      <c r="N232" s="163">
        <f t="shared" si="129"/>
        <v>0</v>
      </c>
      <c r="O232" s="163">
        <f t="shared" si="133"/>
        <v>210609.44981792179</v>
      </c>
      <c r="P232" s="164">
        <v>7.0999999999999994E-2</v>
      </c>
      <c r="Q232" s="163">
        <f t="shared" si="130"/>
        <v>1246.1059114227039</v>
      </c>
      <c r="R232" s="150" t="s">
        <v>744</v>
      </c>
      <c r="S232" s="150">
        <f t="shared" si="112"/>
        <v>1</v>
      </c>
      <c r="T232" s="150"/>
      <c r="U232" s="150"/>
      <c r="V232" s="150"/>
    </row>
    <row r="233" spans="1:22" x14ac:dyDescent="0.25">
      <c r="A233" s="172"/>
      <c r="B233" s="172"/>
      <c r="C233" s="172"/>
      <c r="D233" s="172"/>
      <c r="E233" s="172"/>
      <c r="F233" s="161" t="s">
        <v>527</v>
      </c>
      <c r="G233" s="161" t="str">
        <f t="shared" si="131"/>
        <v>2029-2030</v>
      </c>
      <c r="H233" s="161" t="str">
        <f t="shared" si="132"/>
        <v>Dec-29</v>
      </c>
      <c r="I233" s="162"/>
      <c r="J233" s="150"/>
      <c r="K233" s="150"/>
      <c r="L233" s="150"/>
      <c r="M233" s="150"/>
      <c r="N233" s="163">
        <f t="shared" si="129"/>
        <v>0</v>
      </c>
      <c r="O233" s="163">
        <f t="shared" si="133"/>
        <v>210609.44981792179</v>
      </c>
      <c r="P233" s="164">
        <v>7.0999999999999994E-2</v>
      </c>
      <c r="Q233" s="163">
        <f t="shared" si="130"/>
        <v>1246.1059114227039</v>
      </c>
      <c r="R233" s="150" t="s">
        <v>744</v>
      </c>
      <c r="S233" s="150">
        <f t="shared" si="112"/>
        <v>1</v>
      </c>
      <c r="T233" s="150"/>
      <c r="U233" s="150"/>
      <c r="V233" s="150"/>
    </row>
    <row r="234" spans="1:22" x14ac:dyDescent="0.25">
      <c r="A234" s="150"/>
      <c r="B234" s="172"/>
      <c r="C234" s="155"/>
      <c r="D234" s="172"/>
      <c r="E234" s="155"/>
      <c r="F234" s="161" t="s">
        <v>528</v>
      </c>
      <c r="G234" s="161" t="str">
        <f t="shared" si="131"/>
        <v>2029-2030</v>
      </c>
      <c r="H234" s="161" t="str">
        <f>CONCATENATE(F234,"-",RIGHT(RIGHT(G234,4),2))</f>
        <v>Jan-30</v>
      </c>
      <c r="I234" s="150"/>
      <c r="J234" s="150"/>
      <c r="K234" s="150"/>
      <c r="L234" s="150"/>
      <c r="M234" s="150"/>
      <c r="N234" s="163">
        <f t="shared" si="129"/>
        <v>0</v>
      </c>
      <c r="O234" s="163">
        <f t="shared" si="133"/>
        <v>210609.44981792179</v>
      </c>
      <c r="P234" s="164">
        <v>7.0999999999999994E-2</v>
      </c>
      <c r="Q234" s="163">
        <f t="shared" si="130"/>
        <v>1246.1059114227039</v>
      </c>
      <c r="R234" s="150" t="s">
        <v>744</v>
      </c>
      <c r="S234" s="150">
        <f t="shared" si="112"/>
        <v>1</v>
      </c>
      <c r="T234" s="150"/>
      <c r="U234" s="150"/>
      <c r="V234" s="150"/>
    </row>
    <row r="235" spans="1:22" x14ac:dyDescent="0.25">
      <c r="A235" s="150"/>
      <c r="B235" s="172"/>
      <c r="C235" s="155"/>
      <c r="D235" s="172"/>
      <c r="E235" s="155"/>
      <c r="F235" s="161" t="s">
        <v>529</v>
      </c>
      <c r="G235" s="161" t="str">
        <f t="shared" si="131"/>
        <v>2029-2030</v>
      </c>
      <c r="H235" s="161" t="str">
        <f>CONCATENATE(F235,"-",RIGHT(RIGHT(G235,4),2))</f>
        <v>Feb-30</v>
      </c>
      <c r="I235" s="150"/>
      <c r="J235" s="150"/>
      <c r="K235" s="150"/>
      <c r="L235" s="150"/>
      <c r="M235" s="150"/>
      <c r="N235" s="163">
        <f t="shared" si="129"/>
        <v>0</v>
      </c>
      <c r="O235" s="163">
        <f t="shared" si="133"/>
        <v>210609.44981792179</v>
      </c>
      <c r="P235" s="164">
        <v>7.0999999999999994E-2</v>
      </c>
      <c r="Q235" s="163">
        <f t="shared" si="130"/>
        <v>1246.1059114227039</v>
      </c>
      <c r="R235" s="150" t="s">
        <v>744</v>
      </c>
      <c r="S235" s="150">
        <f t="shared" si="112"/>
        <v>1</v>
      </c>
      <c r="T235" s="150"/>
      <c r="U235" s="150"/>
      <c r="V235" s="150"/>
    </row>
    <row r="236" spans="1:22" x14ac:dyDescent="0.25">
      <c r="A236" s="150"/>
      <c r="B236" s="172"/>
      <c r="C236" s="155"/>
      <c r="D236" s="172"/>
      <c r="E236" s="155"/>
      <c r="F236" s="161" t="s">
        <v>533</v>
      </c>
      <c r="G236" s="161" t="str">
        <f>G235</f>
        <v>2029-2030</v>
      </c>
      <c r="H236" s="161" t="str">
        <f>CONCATENATE(F236,"-",RIGHT(RIGHT(G236,4),2))</f>
        <v>Mar-30</v>
      </c>
      <c r="I236" s="150"/>
      <c r="J236" s="150"/>
      <c r="K236" s="150"/>
      <c r="L236" s="150"/>
      <c r="M236" s="150"/>
      <c r="N236" s="163">
        <f t="shared" si="129"/>
        <v>0</v>
      </c>
      <c r="O236" s="163">
        <f t="shared" si="133"/>
        <v>210609.44981792179</v>
      </c>
      <c r="P236" s="164">
        <v>7.0999999999999994E-2</v>
      </c>
      <c r="Q236" s="163">
        <f t="shared" si="130"/>
        <v>1246.1059114227039</v>
      </c>
      <c r="R236" s="150" t="s">
        <v>744</v>
      </c>
      <c r="S236" s="150">
        <f t="shared" si="112"/>
        <v>1</v>
      </c>
      <c r="T236" s="150"/>
      <c r="U236" s="150"/>
      <c r="V236" s="150"/>
    </row>
    <row r="237" spans="1:22" x14ac:dyDescent="0.25">
      <c r="A237" s="175"/>
      <c r="B237" s="175"/>
      <c r="C237" s="175"/>
      <c r="D237" s="175"/>
      <c r="E237" s="175"/>
      <c r="F237" s="169"/>
      <c r="G237" s="169" t="str">
        <f>G236</f>
        <v>2029-2030</v>
      </c>
      <c r="H237" s="169"/>
      <c r="I237" s="170">
        <f t="shared" ref="I237:N237" si="134">SUM(I225:I236)</f>
        <v>0</v>
      </c>
      <c r="J237" s="170">
        <f t="shared" si="134"/>
        <v>0</v>
      </c>
      <c r="K237" s="170">
        <f t="shared" si="134"/>
        <v>0</v>
      </c>
      <c r="L237" s="170">
        <f t="shared" si="134"/>
        <v>0</v>
      </c>
      <c r="M237" s="170">
        <f t="shared" si="134"/>
        <v>0</v>
      </c>
      <c r="N237" s="170">
        <f t="shared" si="134"/>
        <v>0</v>
      </c>
      <c r="O237" s="170">
        <f>O236+Q237</f>
        <v>225562.72075499425</v>
      </c>
      <c r="P237" s="171"/>
      <c r="Q237" s="170">
        <f>SUM(Q225:Q236)</f>
        <v>14953.27093707245</v>
      </c>
      <c r="R237" s="169" t="s">
        <v>651</v>
      </c>
      <c r="S237" s="150">
        <f t="shared" si="112"/>
        <v>1</v>
      </c>
      <c r="T237" s="150"/>
      <c r="U237" s="163">
        <f>T237-Q237</f>
        <v>-14953.27093707245</v>
      </c>
      <c r="V237" s="150"/>
    </row>
  </sheetData>
  <mergeCells count="3">
    <mergeCell ref="A2:E2"/>
    <mergeCell ref="F2:N2"/>
    <mergeCell ref="O2:R2"/>
  </mergeCells>
  <conditionalFormatting sqref="D129">
    <cfRule type="duplicateValues" dxfId="489" priority="96"/>
  </conditionalFormatting>
  <conditionalFormatting sqref="D129">
    <cfRule type="duplicateValues" dxfId="488" priority="97"/>
  </conditionalFormatting>
  <conditionalFormatting sqref="D127:D128">
    <cfRule type="duplicateValues" dxfId="487" priority="94"/>
  </conditionalFormatting>
  <conditionalFormatting sqref="D127:D128">
    <cfRule type="duplicateValues" dxfId="486" priority="95"/>
  </conditionalFormatting>
  <conditionalFormatting sqref="D115">
    <cfRule type="duplicateValues" dxfId="485" priority="92"/>
  </conditionalFormatting>
  <conditionalFormatting sqref="D115">
    <cfRule type="duplicateValues" dxfId="484" priority="93"/>
  </conditionalFormatting>
  <conditionalFormatting sqref="AB4:AO5 AP17 AP4:AR4 AS5 AB6:AB17">
    <cfRule type="cellIs" dxfId="483" priority="91" operator="equal">
      <formula>0</formula>
    </cfRule>
  </conditionalFormatting>
  <conditionalFormatting sqref="AP5:AP16">
    <cfRule type="cellIs" dxfId="482" priority="90" operator="equal">
      <formula>0</formula>
    </cfRule>
  </conditionalFormatting>
  <conditionalFormatting sqref="AS6:AS19">
    <cfRule type="cellIs" dxfId="481" priority="87" operator="equal">
      <formula>0</formula>
    </cfRule>
  </conditionalFormatting>
  <conditionalFormatting pivot="1" sqref="AR6:AR19">
    <cfRule type="cellIs" dxfId="480" priority="86" operator="equal">
      <formula>0</formula>
    </cfRule>
  </conditionalFormatting>
  <conditionalFormatting sqref="D135:D136">
    <cfRule type="duplicateValues" dxfId="479" priority="83"/>
  </conditionalFormatting>
  <conditionalFormatting sqref="D135:D136">
    <cfRule type="duplicateValues" dxfId="478" priority="84"/>
  </conditionalFormatting>
  <conditionalFormatting sqref="D135:D136">
    <cfRule type="duplicateValues" dxfId="477" priority="85"/>
  </conditionalFormatting>
  <conditionalFormatting sqref="D136:D137">
    <cfRule type="duplicateValues" dxfId="476" priority="80"/>
  </conditionalFormatting>
  <conditionalFormatting sqref="D136:D137">
    <cfRule type="duplicateValues" dxfId="475" priority="81"/>
  </conditionalFormatting>
  <conditionalFormatting sqref="D136:D137">
    <cfRule type="duplicateValues" dxfId="474" priority="82"/>
  </conditionalFormatting>
  <conditionalFormatting sqref="D137">
    <cfRule type="duplicateValues" dxfId="473" priority="78"/>
  </conditionalFormatting>
  <conditionalFormatting sqref="D137">
    <cfRule type="duplicateValues" dxfId="472" priority="79"/>
  </conditionalFormatting>
  <conditionalFormatting sqref="D138">
    <cfRule type="duplicateValues" dxfId="471" priority="76"/>
  </conditionalFormatting>
  <conditionalFormatting sqref="D138">
    <cfRule type="duplicateValues" dxfId="470" priority="77"/>
  </conditionalFormatting>
  <conditionalFormatting sqref="D139">
    <cfRule type="duplicateValues" dxfId="469" priority="74"/>
  </conditionalFormatting>
  <conditionalFormatting sqref="D139">
    <cfRule type="duplicateValues" dxfId="468" priority="75"/>
  </conditionalFormatting>
  <conditionalFormatting sqref="D140">
    <cfRule type="duplicateValues" dxfId="467" priority="72"/>
  </conditionalFormatting>
  <conditionalFormatting sqref="D140">
    <cfRule type="duplicateValues" dxfId="466" priority="73"/>
  </conditionalFormatting>
  <conditionalFormatting sqref="D141:D142">
    <cfRule type="duplicateValues" dxfId="465" priority="70"/>
  </conditionalFormatting>
  <conditionalFormatting sqref="D141:D142">
    <cfRule type="duplicateValues" dxfId="464" priority="71"/>
  </conditionalFormatting>
  <conditionalFormatting sqref="D143">
    <cfRule type="duplicateValues" dxfId="463" priority="68"/>
  </conditionalFormatting>
  <conditionalFormatting sqref="D143">
    <cfRule type="duplicateValues" dxfId="462" priority="69"/>
  </conditionalFormatting>
  <conditionalFormatting sqref="D151">
    <cfRule type="duplicateValues" dxfId="461" priority="38"/>
  </conditionalFormatting>
  <conditionalFormatting sqref="D151">
    <cfRule type="duplicateValues" dxfId="460" priority="39"/>
  </conditionalFormatting>
  <conditionalFormatting sqref="D144:D145">
    <cfRule type="duplicateValues" dxfId="459" priority="28"/>
  </conditionalFormatting>
  <conditionalFormatting sqref="D144:D145">
    <cfRule type="duplicateValues" dxfId="458" priority="29"/>
  </conditionalFormatting>
  <conditionalFormatting sqref="D147:D150">
    <cfRule type="duplicateValues" dxfId="457" priority="26"/>
  </conditionalFormatting>
  <conditionalFormatting sqref="D147:D150">
    <cfRule type="duplicateValues" dxfId="456" priority="27"/>
  </conditionalFormatting>
  <conditionalFormatting sqref="D152:D158">
    <cfRule type="duplicateValues" dxfId="455" priority="24"/>
  </conditionalFormatting>
  <conditionalFormatting sqref="D152:D158">
    <cfRule type="duplicateValues" dxfId="454" priority="25"/>
  </conditionalFormatting>
  <conditionalFormatting sqref="D160:D167">
    <cfRule type="duplicateValues" dxfId="453" priority="20"/>
  </conditionalFormatting>
  <conditionalFormatting sqref="D160:D167">
    <cfRule type="duplicateValues" dxfId="452" priority="21"/>
  </conditionalFormatting>
  <conditionalFormatting sqref="D177:D180">
    <cfRule type="duplicateValues" dxfId="451" priority="14"/>
  </conditionalFormatting>
  <conditionalFormatting sqref="D177:D180">
    <cfRule type="duplicateValues" dxfId="450" priority="15"/>
  </conditionalFormatting>
  <conditionalFormatting sqref="D186:D193">
    <cfRule type="duplicateValues" dxfId="449" priority="12"/>
  </conditionalFormatting>
  <conditionalFormatting sqref="D186:D193">
    <cfRule type="duplicateValues" dxfId="448" priority="13"/>
  </conditionalFormatting>
  <conditionalFormatting sqref="D199:D206">
    <cfRule type="duplicateValues" dxfId="447" priority="10"/>
  </conditionalFormatting>
  <conditionalFormatting sqref="D199:D206">
    <cfRule type="duplicateValues" dxfId="446" priority="11"/>
  </conditionalFormatting>
  <conditionalFormatting sqref="D212:D219">
    <cfRule type="duplicateValues" dxfId="445" priority="8"/>
  </conditionalFormatting>
  <conditionalFormatting sqref="D212:D219">
    <cfRule type="duplicateValues" dxfId="444" priority="9"/>
  </conditionalFormatting>
  <conditionalFormatting sqref="D225:D232">
    <cfRule type="duplicateValues" dxfId="443" priority="6"/>
  </conditionalFormatting>
  <conditionalFormatting sqref="D225:D232">
    <cfRule type="duplicateValues" dxfId="442" priority="7"/>
  </conditionalFormatting>
  <pageMargins left="0.7" right="0.7" top="0.75" bottom="0.75" header="0.3" footer="0.3"/>
  <pageSetup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27200-1617-4E96-A870-731DA4B0EA4F}">
  <dimension ref="A1:DI125"/>
  <sheetViews>
    <sheetView topLeftCell="CF1" workbookViewId="0">
      <selection activeCell="AV1" sqref="AV1"/>
    </sheetView>
  </sheetViews>
  <sheetFormatPr defaultColWidth="6.5703125" defaultRowHeight="15" x14ac:dyDescent="0.25"/>
  <cols>
    <col min="1" max="1" width="9.7109375" bestFit="1" customWidth="1"/>
    <col min="2" max="3" width="8.28515625" bestFit="1" customWidth="1"/>
    <col min="4" max="6" width="11.140625" bestFit="1" customWidth="1"/>
    <col min="7" max="7" width="8.28515625" bestFit="1" customWidth="1"/>
    <col min="8" max="8" width="11.140625" bestFit="1" customWidth="1"/>
    <col min="9" max="10" width="8.28515625" bestFit="1" customWidth="1"/>
    <col min="11" max="12" width="11.140625" bestFit="1" customWidth="1"/>
    <col min="13" max="15" width="8.28515625" bestFit="1" customWidth="1"/>
    <col min="16" max="16" width="11.140625" style="187" bestFit="1" customWidth="1"/>
    <col min="17" max="17" width="11.140625" style="1" bestFit="1" customWidth="1"/>
    <col min="18" max="18" width="16.85546875" style="128" bestFit="1" customWidth="1"/>
    <col min="19" max="20" width="14" style="128" bestFit="1" customWidth="1"/>
    <col min="21" max="21" width="14" style="128" customWidth="1"/>
    <col min="22" max="22" width="20.85546875" bestFit="1" customWidth="1"/>
    <col min="23" max="23" width="8.28515625" bestFit="1" customWidth="1"/>
    <col min="24" max="24" width="31.28515625" bestFit="1" customWidth="1"/>
    <col min="25" max="40" width="8.28515625" bestFit="1" customWidth="1"/>
    <col min="42" max="42" width="23.140625" bestFit="1" customWidth="1"/>
    <col min="43" max="46" width="6" bestFit="1" customWidth="1"/>
    <col min="47" max="47" width="7" bestFit="1" customWidth="1"/>
    <col min="48" max="54" width="6" bestFit="1" customWidth="1"/>
    <col min="55" max="55" width="7" bestFit="1" customWidth="1"/>
    <col min="58" max="58" width="3.7109375" bestFit="1" customWidth="1"/>
    <col min="59" max="59" width="9.7109375" bestFit="1" customWidth="1"/>
    <col min="60" max="60" width="6.7109375" bestFit="1" customWidth="1"/>
    <col min="61" max="61" width="7.7109375" bestFit="1" customWidth="1"/>
    <col min="62" max="71" width="6.7109375" bestFit="1" customWidth="1"/>
    <col min="72" max="72" width="7.7109375" bestFit="1" customWidth="1"/>
    <col min="73" max="74" width="3.7109375" bestFit="1" customWidth="1"/>
    <col min="76" max="76" width="6.28515625" bestFit="1" customWidth="1"/>
    <col min="80" max="80" width="13.140625" bestFit="1" customWidth="1"/>
    <col min="81" max="81" width="8.28515625" bestFit="1" customWidth="1"/>
    <col min="82" max="84" width="6" bestFit="1" customWidth="1"/>
    <col min="85" max="85" width="7" bestFit="1" customWidth="1"/>
    <col min="86" max="92" width="6" bestFit="1" customWidth="1"/>
    <col min="93" max="93" width="11.28515625" bestFit="1" customWidth="1"/>
    <col min="97" max="97" width="11.28515625" bestFit="1" customWidth="1"/>
    <col min="98" max="107" width="6" bestFit="1" customWidth="1"/>
    <col min="108" max="108" width="6.7109375" bestFit="1" customWidth="1"/>
    <col min="109" max="109" width="6" bestFit="1" customWidth="1"/>
    <col min="110" max="110" width="11.28515625" bestFit="1" customWidth="1"/>
    <col min="113" max="113" width="3.7109375" bestFit="1" customWidth="1"/>
  </cols>
  <sheetData>
    <row r="1" spans="1:113" x14ac:dyDescent="0.25">
      <c r="A1" s="357" t="s">
        <v>512</v>
      </c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57"/>
      <c r="P1" s="357"/>
      <c r="Q1" s="357"/>
      <c r="R1" s="139" t="s">
        <v>1054</v>
      </c>
      <c r="S1" s="86">
        <f>BX4</f>
        <v>2</v>
      </c>
      <c r="V1" s="133" t="s">
        <v>628</v>
      </c>
      <c r="W1" s="134">
        <v>46110</v>
      </c>
      <c r="CS1" s="359" t="s">
        <v>655</v>
      </c>
      <c r="CT1" s="359"/>
      <c r="CU1" s="359"/>
      <c r="CV1" s="359"/>
      <c r="CW1" s="359"/>
      <c r="CX1" s="359"/>
      <c r="CY1" s="359"/>
      <c r="CZ1" s="359"/>
      <c r="DA1" s="359"/>
      <c r="DB1" s="359"/>
    </row>
    <row r="2" spans="1:113" x14ac:dyDescent="0.25">
      <c r="A2" s="357"/>
      <c r="B2" s="357"/>
      <c r="C2" s="357"/>
      <c r="D2" s="357"/>
      <c r="E2" s="357"/>
      <c r="F2" s="357"/>
      <c r="G2" s="357"/>
      <c r="H2" s="357"/>
      <c r="I2" s="357"/>
      <c r="J2" s="357"/>
      <c r="K2" s="357"/>
      <c r="L2" s="357"/>
      <c r="M2" s="357"/>
      <c r="N2" s="357"/>
      <c r="O2" s="357"/>
      <c r="P2" s="357"/>
      <c r="Q2" s="357"/>
      <c r="R2" s="139" t="s">
        <v>1055</v>
      </c>
      <c r="S2" s="86">
        <f>DI5</f>
        <v>0</v>
      </c>
      <c r="AP2" t="s">
        <v>539</v>
      </c>
      <c r="BF2" s="358" t="s">
        <v>540</v>
      </c>
      <c r="BG2" s="358"/>
      <c r="BH2" s="358"/>
      <c r="BI2" s="358"/>
      <c r="BJ2" s="358"/>
      <c r="BK2" s="358"/>
      <c r="BL2" s="358"/>
      <c r="BM2" s="358"/>
      <c r="BN2" s="358"/>
      <c r="BO2" s="358"/>
      <c r="BP2" s="358"/>
      <c r="BQ2" s="358"/>
      <c r="BR2" s="358"/>
      <c r="BS2" s="358"/>
      <c r="BT2" s="358"/>
      <c r="BU2" s="358"/>
      <c r="BV2" s="358"/>
      <c r="CB2" t="s">
        <v>561</v>
      </c>
      <c r="CS2" s="359"/>
      <c r="CT2" s="359"/>
      <c r="CU2" s="359"/>
      <c r="CV2" s="359"/>
      <c r="CW2" s="359"/>
      <c r="CX2" s="359"/>
      <c r="CY2" s="359"/>
      <c r="CZ2" s="359"/>
      <c r="DA2" s="359"/>
      <c r="DB2" s="359"/>
    </row>
    <row r="3" spans="1:113" x14ac:dyDescent="0.25">
      <c r="E3">
        <f>SUM(Table2[Premium Usual])</f>
        <v>472000</v>
      </c>
      <c r="F3">
        <f>SUM(Table2[Incremental Premium])</f>
        <v>0</v>
      </c>
      <c r="G3">
        <f>SUM(Table2[Arrear Usual])</f>
        <v>5000</v>
      </c>
      <c r="H3">
        <f>SUM(Table2[Loan Installment])</f>
        <v>65178</v>
      </c>
      <c r="I3">
        <f>SUM(Table2[Loan Interest])</f>
        <v>0</v>
      </c>
      <c r="J3">
        <f>SUM(Table2[Service Tax])</f>
        <v>0</v>
      </c>
      <c r="K3">
        <f>SUM(Table2[Recovery Amount])</f>
        <v>0</v>
      </c>
      <c r="L3">
        <f>SUM(Table2[Total Premium])</f>
        <v>542178</v>
      </c>
      <c r="M3">
        <f>SUM(Table2[Loan])</f>
        <v>434500</v>
      </c>
      <c r="N3">
        <f>SUM(Table2[Claim])</f>
        <v>0</v>
      </c>
      <c r="O3">
        <f>SUM(Table2[Refund])</f>
        <v>0</v>
      </c>
      <c r="P3" s="187">
        <f>SUM(Table2[Check Status with ga 55])</f>
        <v>0</v>
      </c>
      <c r="Q3" s="1">
        <f>SUM(Table2[CORRECTION NEEDED])</f>
        <v>1</v>
      </c>
      <c r="X3" t="s">
        <v>538</v>
      </c>
      <c r="AP3" s="101" t="s">
        <v>1053</v>
      </c>
      <c r="AQ3" s="101" t="s">
        <v>65</v>
      </c>
      <c r="BX3" s="138" t="s">
        <v>645</v>
      </c>
      <c r="CS3" s="359"/>
      <c r="CT3" s="359"/>
      <c r="CU3" s="359"/>
      <c r="CV3" s="359"/>
      <c r="CW3" s="359"/>
      <c r="CX3" s="359"/>
      <c r="CY3" s="359"/>
      <c r="CZ3" s="359"/>
      <c r="DA3" s="359"/>
      <c r="DB3" s="359"/>
    </row>
    <row r="4" spans="1:113" s="141" customFormat="1" ht="75.75" thickBot="1" x14ac:dyDescent="0.3">
      <c r="A4" s="141" t="s">
        <v>430</v>
      </c>
      <c r="B4" s="141" t="s">
        <v>57</v>
      </c>
      <c r="C4" s="141" t="s">
        <v>507</v>
      </c>
      <c r="D4" s="141" t="s">
        <v>508</v>
      </c>
      <c r="E4" s="141" t="s">
        <v>509</v>
      </c>
      <c r="F4" s="141" t="s">
        <v>806</v>
      </c>
      <c r="G4" s="141" t="s">
        <v>510</v>
      </c>
      <c r="H4" s="141" t="s">
        <v>807</v>
      </c>
      <c r="I4" s="141" t="s">
        <v>808</v>
      </c>
      <c r="J4" s="141" t="s">
        <v>511</v>
      </c>
      <c r="K4" s="141" t="s">
        <v>809</v>
      </c>
      <c r="L4" s="141" t="s">
        <v>46</v>
      </c>
      <c r="M4" s="141" t="s">
        <v>531</v>
      </c>
      <c r="N4" s="141" t="s">
        <v>532</v>
      </c>
      <c r="O4" s="141" t="s">
        <v>810</v>
      </c>
      <c r="P4" s="188" t="s">
        <v>455</v>
      </c>
      <c r="Q4" s="141" t="s">
        <v>506</v>
      </c>
      <c r="R4" s="189" t="s">
        <v>559</v>
      </c>
      <c r="S4" s="189" t="s">
        <v>558</v>
      </c>
      <c r="T4" s="189" t="s">
        <v>560</v>
      </c>
      <c r="U4" s="342" t="s">
        <v>1052</v>
      </c>
      <c r="W4" s="190" t="s">
        <v>517</v>
      </c>
      <c r="X4" s="191" t="s">
        <v>518</v>
      </c>
      <c r="Y4" s="191" t="s">
        <v>519</v>
      </c>
      <c r="Z4" s="191" t="s">
        <v>520</v>
      </c>
      <c r="AA4" s="191" t="s">
        <v>521</v>
      </c>
      <c r="AB4" s="191" t="s">
        <v>522</v>
      </c>
      <c r="AC4" s="191" t="s">
        <v>523</v>
      </c>
      <c r="AD4" s="191" t="s">
        <v>524</v>
      </c>
      <c r="AE4" s="191" t="s">
        <v>525</v>
      </c>
      <c r="AF4" s="191" t="s">
        <v>526</v>
      </c>
      <c r="AG4" s="191" t="s">
        <v>527</v>
      </c>
      <c r="AH4" s="191" t="s">
        <v>528</v>
      </c>
      <c r="AI4" s="191" t="s">
        <v>529</v>
      </c>
      <c r="AJ4" s="191" t="s">
        <v>530</v>
      </c>
      <c r="AK4" s="191" t="s">
        <v>2</v>
      </c>
      <c r="AL4" s="191" t="s">
        <v>531</v>
      </c>
      <c r="AM4" s="191" t="s">
        <v>532</v>
      </c>
      <c r="AN4" s="192" t="s">
        <v>775</v>
      </c>
      <c r="AP4" s="193" t="s">
        <v>431</v>
      </c>
      <c r="AQ4" s="141" t="s">
        <v>528</v>
      </c>
      <c r="AR4" s="141" t="s">
        <v>529</v>
      </c>
      <c r="AS4" s="141" t="s">
        <v>533</v>
      </c>
      <c r="AT4" s="141" t="s">
        <v>534</v>
      </c>
      <c r="AU4" s="141" t="s">
        <v>520</v>
      </c>
      <c r="AV4" s="141" t="s">
        <v>535</v>
      </c>
      <c r="AW4" s="141" t="s">
        <v>536</v>
      </c>
      <c r="AX4" s="141" t="s">
        <v>523</v>
      </c>
      <c r="AY4" s="141" t="s">
        <v>537</v>
      </c>
      <c r="AZ4" s="141" t="s">
        <v>525</v>
      </c>
      <c r="BA4" s="141" t="s">
        <v>526</v>
      </c>
      <c r="BB4" s="141" t="s">
        <v>527</v>
      </c>
      <c r="BC4" s="141" t="s">
        <v>432</v>
      </c>
      <c r="BF4" s="144" t="s">
        <v>517</v>
      </c>
      <c r="BG4" s="144" t="s">
        <v>518</v>
      </c>
      <c r="BH4" s="144" t="s">
        <v>519</v>
      </c>
      <c r="BI4" s="144" t="s">
        <v>520</v>
      </c>
      <c r="BJ4" s="144" t="s">
        <v>521</v>
      </c>
      <c r="BK4" s="144" t="s">
        <v>522</v>
      </c>
      <c r="BL4" s="144" t="s">
        <v>523</v>
      </c>
      <c r="BM4" s="144" t="s">
        <v>524</v>
      </c>
      <c r="BN4" s="144" t="s">
        <v>525</v>
      </c>
      <c r="BO4" s="144" t="s">
        <v>526</v>
      </c>
      <c r="BP4" s="144" t="s">
        <v>527</v>
      </c>
      <c r="BQ4" s="144" t="s">
        <v>528</v>
      </c>
      <c r="BR4" s="144" t="s">
        <v>529</v>
      </c>
      <c r="BS4" s="144" t="s">
        <v>530</v>
      </c>
      <c r="BT4" s="144" t="s">
        <v>2</v>
      </c>
      <c r="BU4" s="144" t="s">
        <v>531</v>
      </c>
      <c r="BV4" s="144" t="s">
        <v>532</v>
      </c>
      <c r="BX4" s="194">
        <f>SUM(BX5:BX11)</f>
        <v>2</v>
      </c>
      <c r="CB4" s="193" t="s">
        <v>449</v>
      </c>
      <c r="CC4" s="193" t="s">
        <v>562</v>
      </c>
      <c r="CS4" s="188" t="s">
        <v>642</v>
      </c>
      <c r="DI4" s="195" t="s">
        <v>644</v>
      </c>
    </row>
    <row r="5" spans="1:113" ht="15.75" thickBot="1" x14ac:dyDescent="0.3">
      <c r="A5" t="s">
        <v>23</v>
      </c>
      <c r="B5" s="126">
        <v>42614</v>
      </c>
      <c r="C5">
        <v>201610</v>
      </c>
      <c r="D5" t="s">
        <v>27</v>
      </c>
      <c r="E5">
        <v>2200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2200</v>
      </c>
      <c r="M5">
        <v>0</v>
      </c>
      <c r="N5">
        <v>0</v>
      </c>
      <c r="O5">
        <v>0</v>
      </c>
      <c r="P5" s="187" t="s">
        <v>501</v>
      </c>
      <c r="Q5" s="1">
        <f>IF(Table2[[#This Row],[Check Status with ga 55]]="ok",0,1)</f>
        <v>0</v>
      </c>
      <c r="R5" s="128" t="str">
        <f t="shared" ref="R5:R16" si="0">IFERROR(CONCATENATE(TEXT(RIGHT(C5,2)*29,"mmm"),"-",RIGHT(LEFT(C5,4),2)),"")</f>
        <v>Oct-16</v>
      </c>
      <c r="S5" s="128" t="str">
        <f t="shared" ref="S5:S16" si="1">IFERROR((TEXT(RIGHT(C5,2)*29,"mmm")),"")</f>
        <v>Oct</v>
      </c>
      <c r="T5" s="128" t="str">
        <f t="shared" ref="T5:T16" si="2">IFERROR(RIGHT(LEFT(C5,4),2),"")</f>
        <v>16</v>
      </c>
      <c r="U5" s="181">
        <f>Table2[[#This Row],[Total Premium]]+Table2[[#This Row],[Loan]]</f>
        <v>2200</v>
      </c>
      <c r="W5" s="321">
        <v>1</v>
      </c>
      <c r="X5" s="322" t="s">
        <v>569</v>
      </c>
      <c r="Y5" s="323">
        <v>5000</v>
      </c>
      <c r="Z5" s="323">
        <v>5000</v>
      </c>
      <c r="AA5" s="323">
        <v>5000</v>
      </c>
      <c r="AB5" s="323">
        <v>12242</v>
      </c>
      <c r="AC5" s="323">
        <v>12242</v>
      </c>
      <c r="AD5" s="323">
        <v>12242</v>
      </c>
      <c r="AE5" s="323">
        <v>12242</v>
      </c>
      <c r="AF5" s="323">
        <v>12242</v>
      </c>
      <c r="AG5" s="323">
        <v>12242</v>
      </c>
      <c r="AH5" s="323">
        <v>12242</v>
      </c>
      <c r="AI5" s="323">
        <v>12242</v>
      </c>
      <c r="AJ5" s="323">
        <v>12242</v>
      </c>
      <c r="AK5" s="323">
        <v>125178</v>
      </c>
      <c r="AL5" s="323">
        <v>434500</v>
      </c>
      <c r="AM5" s="323">
        <v>0</v>
      </c>
      <c r="AN5" s="323">
        <v>0</v>
      </c>
      <c r="AP5" s="91" t="s">
        <v>569</v>
      </c>
      <c r="AQ5" s="179">
        <v>12242</v>
      </c>
      <c r="AR5" s="179">
        <v>12242</v>
      </c>
      <c r="AS5" s="179">
        <v>12242</v>
      </c>
      <c r="AT5" s="179">
        <v>5000</v>
      </c>
      <c r="AU5" s="179">
        <v>439500</v>
      </c>
      <c r="AV5" s="179">
        <v>5000</v>
      </c>
      <c r="AW5" s="179">
        <v>12242</v>
      </c>
      <c r="AX5" s="179">
        <v>12242</v>
      </c>
      <c r="AY5" s="179">
        <v>12242</v>
      </c>
      <c r="AZ5" s="179">
        <v>12242</v>
      </c>
      <c r="BA5" s="179">
        <v>12242</v>
      </c>
      <c r="BB5" s="179">
        <v>12242</v>
      </c>
      <c r="BC5" s="179">
        <v>559678</v>
      </c>
      <c r="BF5" s="86">
        <f>IFERROR(Table5[[#This Row],[Sr No.]],"")</f>
        <v>1</v>
      </c>
      <c r="BG5" s="86" t="str">
        <f>IFERROR(Table5[[#This Row],[Financial Year]],"")</f>
        <v>2025-2026</v>
      </c>
      <c r="BH5" s="86">
        <f t="shared" ref="BH5:BH14" si="3">Y5-AT5</f>
        <v>0</v>
      </c>
      <c r="BI5" s="86">
        <f t="shared" ref="BI5:BI14" si="4">Z5-AU5</f>
        <v>-434500</v>
      </c>
      <c r="BJ5" s="86">
        <f t="shared" ref="BJ5:BJ14" si="5">AA5-AV5</f>
        <v>0</v>
      </c>
      <c r="BK5" s="86">
        <f t="shared" ref="BK5:BK14" si="6">AB5-AW5</f>
        <v>0</v>
      </c>
      <c r="BL5" s="86">
        <f t="shared" ref="BL5:BL14" si="7">AC5-AX5</f>
        <v>0</v>
      </c>
      <c r="BM5" s="86">
        <f t="shared" ref="BM5:BM14" si="8">AD5-AY5</f>
        <v>0</v>
      </c>
      <c r="BN5" s="86">
        <f t="shared" ref="BN5:BN14" si="9">AE5-AZ5</f>
        <v>0</v>
      </c>
      <c r="BO5" s="86">
        <f t="shared" ref="BO5:BO14" si="10">AF5-BA5</f>
        <v>0</v>
      </c>
      <c r="BP5" s="86">
        <f t="shared" ref="BP5:BP14" si="11">AG5-BB5</f>
        <v>0</v>
      </c>
      <c r="BQ5" s="86">
        <f t="shared" ref="BQ5:BQ14" si="12">AH5-AQ5</f>
        <v>0</v>
      </c>
      <c r="BR5" s="86">
        <f t="shared" ref="BR5:BR14" si="13">AI5-AR5</f>
        <v>0</v>
      </c>
      <c r="BS5" s="86">
        <f t="shared" ref="BS5:BS14" si="14">AJ5-AS5</f>
        <v>0</v>
      </c>
      <c r="BT5" s="86">
        <f t="shared" ref="BT5:BT16" si="15">AK5-BC5</f>
        <v>-434500</v>
      </c>
      <c r="BU5" s="86"/>
      <c r="BV5" s="86"/>
      <c r="BX5">
        <f t="shared" ref="BX5:BX16" si="16">13-COUNTIF(BH5:BT5,0)</f>
        <v>2</v>
      </c>
      <c r="CB5" s="101" t="s">
        <v>431</v>
      </c>
      <c r="CC5" t="s">
        <v>528</v>
      </c>
      <c r="CD5" t="s">
        <v>529</v>
      </c>
      <c r="CE5" t="s">
        <v>533</v>
      </c>
      <c r="CF5" t="s">
        <v>534</v>
      </c>
      <c r="CG5" t="s">
        <v>520</v>
      </c>
      <c r="CH5" t="s">
        <v>535</v>
      </c>
      <c r="CI5" t="s">
        <v>536</v>
      </c>
      <c r="CJ5" t="s">
        <v>523</v>
      </c>
      <c r="CK5" t="s">
        <v>537</v>
      </c>
      <c r="CL5" t="s">
        <v>525</v>
      </c>
      <c r="CM5" t="s">
        <v>526</v>
      </c>
      <c r="CN5" t="s">
        <v>527</v>
      </c>
      <c r="CO5" t="s">
        <v>432</v>
      </c>
      <c r="CS5" s="136" t="s">
        <v>643</v>
      </c>
      <c r="CT5" s="136" t="str">
        <f t="shared" ref="CT5:DF5" si="17">CC5</f>
        <v>Jan</v>
      </c>
      <c r="CU5" s="136" t="str">
        <f t="shared" si="17"/>
        <v>Feb</v>
      </c>
      <c r="CV5" s="136" t="str">
        <f t="shared" si="17"/>
        <v>Mar</v>
      </c>
      <c r="CW5" s="136" t="str">
        <f t="shared" si="17"/>
        <v>Apr</v>
      </c>
      <c r="CX5" s="136" t="str">
        <f t="shared" si="17"/>
        <v>May</v>
      </c>
      <c r="CY5" s="136" t="str">
        <f t="shared" si="17"/>
        <v>Jun</v>
      </c>
      <c r="CZ5" s="136" t="str">
        <f t="shared" si="17"/>
        <v>Jul</v>
      </c>
      <c r="DA5" s="136" t="str">
        <f t="shared" si="17"/>
        <v>Aug</v>
      </c>
      <c r="DB5" s="136" t="str">
        <f t="shared" si="17"/>
        <v>Sep</v>
      </c>
      <c r="DC5" s="136" t="str">
        <f t="shared" si="17"/>
        <v>Oct</v>
      </c>
      <c r="DD5" s="136" t="str">
        <f t="shared" si="17"/>
        <v>Nov</v>
      </c>
      <c r="DE5" s="136" t="str">
        <f t="shared" si="17"/>
        <v>Dec</v>
      </c>
      <c r="DF5" s="136" t="str">
        <f t="shared" si="17"/>
        <v>Grand Total</v>
      </c>
      <c r="DI5" s="137">
        <f>SUM(DI6:DI29)</f>
        <v>0</v>
      </c>
    </row>
    <row r="6" spans="1:113" ht="15.75" thickBot="1" x14ac:dyDescent="0.3">
      <c r="A6" t="s">
        <v>23</v>
      </c>
      <c r="B6" s="126">
        <v>42430</v>
      </c>
      <c r="C6">
        <v>201604</v>
      </c>
      <c r="D6" t="s">
        <v>541</v>
      </c>
      <c r="E6">
        <v>1100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1100</v>
      </c>
      <c r="M6">
        <v>0</v>
      </c>
      <c r="N6">
        <v>0</v>
      </c>
      <c r="O6">
        <v>0</v>
      </c>
      <c r="P6" s="187" t="s">
        <v>501</v>
      </c>
      <c r="Q6" s="1">
        <f>IF(Table2[[#This Row],[Check Status with ga 55]]="ok",0,"Correction Needed")</f>
        <v>0</v>
      </c>
      <c r="R6" s="128" t="str">
        <f t="shared" si="0"/>
        <v>Apr-16</v>
      </c>
      <c r="S6" s="128" t="str">
        <f t="shared" si="1"/>
        <v>Apr</v>
      </c>
      <c r="T6" s="128" t="str">
        <f t="shared" si="2"/>
        <v>16</v>
      </c>
      <c r="U6" s="181">
        <f>Table2[[#This Row],[Total Premium]]+Table2[[#This Row],[Loan]]</f>
        <v>1100</v>
      </c>
      <c r="W6" s="321">
        <v>2</v>
      </c>
      <c r="X6" s="322" t="s">
        <v>568</v>
      </c>
      <c r="Y6" s="323">
        <v>5000</v>
      </c>
      <c r="Z6" s="323">
        <v>5000</v>
      </c>
      <c r="AA6" s="323">
        <v>5000</v>
      </c>
      <c r="AB6" s="323">
        <v>5000</v>
      </c>
      <c r="AC6" s="323">
        <v>5000</v>
      </c>
      <c r="AD6" s="323">
        <v>5000</v>
      </c>
      <c r="AE6" s="323">
        <v>10000</v>
      </c>
      <c r="AF6" s="323">
        <v>0</v>
      </c>
      <c r="AG6" s="323">
        <v>5000</v>
      </c>
      <c r="AH6" s="323">
        <v>5000</v>
      </c>
      <c r="AI6" s="323">
        <v>5000</v>
      </c>
      <c r="AJ6" s="323">
        <v>5000</v>
      </c>
      <c r="AK6" s="323">
        <v>60000</v>
      </c>
      <c r="AL6" s="323">
        <v>0</v>
      </c>
      <c r="AM6" s="323">
        <v>0</v>
      </c>
      <c r="AN6" s="323">
        <v>0</v>
      </c>
      <c r="AP6" s="91" t="s">
        <v>568</v>
      </c>
      <c r="AQ6" s="179">
        <v>5000</v>
      </c>
      <c r="AR6" s="179">
        <v>5000</v>
      </c>
      <c r="AS6" s="179">
        <v>5000</v>
      </c>
      <c r="AT6" s="179">
        <v>5000</v>
      </c>
      <c r="AU6" s="179">
        <v>5000</v>
      </c>
      <c r="AV6" s="179">
        <v>5000</v>
      </c>
      <c r="AW6" s="179">
        <v>5000</v>
      </c>
      <c r="AX6" s="179">
        <v>5000</v>
      </c>
      <c r="AY6" s="179">
        <v>5000</v>
      </c>
      <c r="AZ6" s="179">
        <v>10000</v>
      </c>
      <c r="BA6" s="179"/>
      <c r="BB6" s="179">
        <v>5000</v>
      </c>
      <c r="BC6" s="179">
        <v>60000</v>
      </c>
      <c r="BF6" s="86">
        <f>IFERROR(Table5[[#This Row],[Sr No.]],"")</f>
        <v>2</v>
      </c>
      <c r="BG6" s="86" t="str">
        <f>IFERROR(Table5[[#This Row],[Financial Year]],"")</f>
        <v>2024-2025</v>
      </c>
      <c r="BH6" s="86">
        <f t="shared" si="3"/>
        <v>0</v>
      </c>
      <c r="BI6" s="86">
        <f t="shared" si="4"/>
        <v>0</v>
      </c>
      <c r="BJ6" s="86">
        <f t="shared" si="5"/>
        <v>0</v>
      </c>
      <c r="BK6" s="86">
        <f t="shared" si="6"/>
        <v>0</v>
      </c>
      <c r="BL6" s="86">
        <f t="shared" si="7"/>
        <v>0</v>
      </c>
      <c r="BM6" s="86">
        <f t="shared" si="8"/>
        <v>0</v>
      </c>
      <c r="BN6" s="86">
        <f t="shared" si="9"/>
        <v>0</v>
      </c>
      <c r="BO6" s="86">
        <f t="shared" si="10"/>
        <v>0</v>
      </c>
      <c r="BP6" s="86">
        <f t="shared" si="11"/>
        <v>0</v>
      </c>
      <c r="BQ6" s="86">
        <f t="shared" si="12"/>
        <v>0</v>
      </c>
      <c r="BR6" s="86">
        <f t="shared" si="13"/>
        <v>0</v>
      </c>
      <c r="BS6" s="86">
        <f t="shared" si="14"/>
        <v>0</v>
      </c>
      <c r="BT6" s="86">
        <f t="shared" si="15"/>
        <v>0</v>
      </c>
      <c r="BU6" s="86"/>
      <c r="BV6" s="86"/>
      <c r="BX6">
        <f t="shared" si="16"/>
        <v>0</v>
      </c>
      <c r="CB6" s="91" t="s">
        <v>569</v>
      </c>
      <c r="CC6" s="179">
        <v>12242</v>
      </c>
      <c r="CD6" s="179">
        <v>12242</v>
      </c>
      <c r="CE6" s="179">
        <v>12242</v>
      </c>
      <c r="CF6" s="179">
        <v>5000</v>
      </c>
      <c r="CG6" s="179">
        <v>439500</v>
      </c>
      <c r="CH6" s="179">
        <v>5000</v>
      </c>
      <c r="CI6" s="179">
        <v>12242</v>
      </c>
      <c r="CJ6" s="179">
        <v>12242</v>
      </c>
      <c r="CK6" s="179">
        <v>12242</v>
      </c>
      <c r="CL6" s="179">
        <v>12242</v>
      </c>
      <c r="CM6" s="179">
        <v>12242</v>
      </c>
      <c r="CN6" s="179">
        <v>12242</v>
      </c>
      <c r="CO6" s="179">
        <v>559678</v>
      </c>
      <c r="CS6" s="136" t="str">
        <f t="shared" ref="CS6:CS15" si="18">CB6</f>
        <v>2025-2026</v>
      </c>
      <c r="CT6" s="86">
        <f>CC6-AQ5</f>
        <v>0</v>
      </c>
      <c r="CU6" s="86">
        <f t="shared" ref="CU6:DF12" si="19">CD6-AR5</f>
        <v>0</v>
      </c>
      <c r="CV6" s="86">
        <f t="shared" si="19"/>
        <v>0</v>
      </c>
      <c r="CW6" s="86">
        <f t="shared" si="19"/>
        <v>0</v>
      </c>
      <c r="CX6" s="86">
        <f t="shared" si="19"/>
        <v>0</v>
      </c>
      <c r="CY6" s="86">
        <f t="shared" si="19"/>
        <v>0</v>
      </c>
      <c r="CZ6" s="86">
        <f t="shared" si="19"/>
        <v>0</v>
      </c>
      <c r="DA6" s="86">
        <f t="shared" si="19"/>
        <v>0</v>
      </c>
      <c r="DB6" s="86">
        <f t="shared" si="19"/>
        <v>0</v>
      </c>
      <c r="DC6" s="86">
        <f t="shared" si="19"/>
        <v>0</v>
      </c>
      <c r="DD6" s="86">
        <f t="shared" si="19"/>
        <v>0</v>
      </c>
      <c r="DE6" s="86">
        <f t="shared" si="19"/>
        <v>0</v>
      </c>
      <c r="DF6" s="136">
        <f t="shared" si="19"/>
        <v>0</v>
      </c>
      <c r="DI6" s="136">
        <f t="shared" ref="DI6:DI15" si="20">13-COUNTIF(CT6:DF6,0)</f>
        <v>0</v>
      </c>
    </row>
    <row r="7" spans="1:113" ht="15.75" thickBot="1" x14ac:dyDescent="0.3">
      <c r="A7" t="s">
        <v>23</v>
      </c>
      <c r="B7" s="126">
        <v>42461</v>
      </c>
      <c r="C7">
        <v>201605</v>
      </c>
      <c r="D7" t="s">
        <v>541</v>
      </c>
      <c r="E7">
        <v>1100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1100</v>
      </c>
      <c r="M7">
        <v>0</v>
      </c>
      <c r="N7">
        <v>0</v>
      </c>
      <c r="O7">
        <v>0</v>
      </c>
      <c r="P7" s="187" t="s">
        <v>501</v>
      </c>
      <c r="Q7" s="1">
        <f>IF(Table2[[#This Row],[Check Status with ga 55]]="ok",0,1)</f>
        <v>0</v>
      </c>
      <c r="R7" s="128" t="str">
        <f t="shared" si="0"/>
        <v>May-16</v>
      </c>
      <c r="S7" s="128" t="str">
        <f t="shared" si="1"/>
        <v>May</v>
      </c>
      <c r="T7" s="128" t="str">
        <f t="shared" si="2"/>
        <v>16</v>
      </c>
      <c r="U7" s="181">
        <f>Table2[[#This Row],[Total Premium]]+Table2[[#This Row],[Loan]]</f>
        <v>1100</v>
      </c>
      <c r="W7" s="321">
        <v>3</v>
      </c>
      <c r="X7" s="322" t="s">
        <v>654</v>
      </c>
      <c r="Y7" s="323">
        <v>5000</v>
      </c>
      <c r="Z7" s="323">
        <v>5000</v>
      </c>
      <c r="AA7" s="323">
        <v>5000</v>
      </c>
      <c r="AB7" s="323">
        <v>5000</v>
      </c>
      <c r="AC7" s="323">
        <v>5000</v>
      </c>
      <c r="AD7" s="323">
        <v>5000</v>
      </c>
      <c r="AE7" s="323">
        <v>5000</v>
      </c>
      <c r="AF7" s="323">
        <v>5000</v>
      </c>
      <c r="AG7" s="323">
        <v>5000</v>
      </c>
      <c r="AH7" s="323">
        <v>5000</v>
      </c>
      <c r="AI7" s="323">
        <v>5000</v>
      </c>
      <c r="AJ7" s="323">
        <v>5000</v>
      </c>
      <c r="AK7" s="323">
        <v>60000</v>
      </c>
      <c r="AL7" s="323">
        <v>0</v>
      </c>
      <c r="AM7" s="323">
        <v>0</v>
      </c>
      <c r="AN7" s="323">
        <v>0</v>
      </c>
      <c r="AP7" s="91" t="s">
        <v>654</v>
      </c>
      <c r="AQ7" s="179">
        <v>5000</v>
      </c>
      <c r="AR7" s="179">
        <v>5000</v>
      </c>
      <c r="AS7" s="179">
        <v>5000</v>
      </c>
      <c r="AT7" s="179">
        <v>5000</v>
      </c>
      <c r="AU7" s="179">
        <v>5000</v>
      </c>
      <c r="AV7" s="179">
        <v>5000</v>
      </c>
      <c r="AW7" s="179">
        <v>5000</v>
      </c>
      <c r="AX7" s="179">
        <v>5000</v>
      </c>
      <c r="AY7" s="179">
        <v>5000</v>
      </c>
      <c r="AZ7" s="179">
        <v>5000</v>
      </c>
      <c r="BA7" s="179">
        <v>5000</v>
      </c>
      <c r="BB7" s="179">
        <v>5000</v>
      </c>
      <c r="BC7" s="179">
        <v>60000</v>
      </c>
      <c r="BF7" s="86">
        <f>IFERROR(Table5[[#This Row],[Sr No.]],"")</f>
        <v>3</v>
      </c>
      <c r="BG7" s="86" t="str">
        <f>IFERROR(Table5[[#This Row],[Financial Year]],"")</f>
        <v>2023-2024</v>
      </c>
      <c r="BH7" s="86">
        <f t="shared" si="3"/>
        <v>0</v>
      </c>
      <c r="BI7" s="86">
        <f t="shared" si="4"/>
        <v>0</v>
      </c>
      <c r="BJ7" s="86">
        <f t="shared" si="5"/>
        <v>0</v>
      </c>
      <c r="BK7" s="86">
        <f t="shared" si="6"/>
        <v>0</v>
      </c>
      <c r="BL7" s="86">
        <f t="shared" si="7"/>
        <v>0</v>
      </c>
      <c r="BM7" s="86">
        <f t="shared" si="8"/>
        <v>0</v>
      </c>
      <c r="BN7" s="86">
        <f t="shared" si="9"/>
        <v>0</v>
      </c>
      <c r="BO7" s="86">
        <f t="shared" si="10"/>
        <v>0</v>
      </c>
      <c r="BP7" s="86">
        <f t="shared" si="11"/>
        <v>0</v>
      </c>
      <c r="BQ7" s="86">
        <f t="shared" si="12"/>
        <v>0</v>
      </c>
      <c r="BR7" s="86">
        <f t="shared" si="13"/>
        <v>0</v>
      </c>
      <c r="BS7" s="86">
        <f t="shared" si="14"/>
        <v>0</v>
      </c>
      <c r="BT7" s="86">
        <f t="shared" si="15"/>
        <v>0</v>
      </c>
      <c r="BU7" s="86"/>
      <c r="BV7" s="86"/>
      <c r="BX7">
        <f t="shared" si="16"/>
        <v>0</v>
      </c>
      <c r="CB7" s="91" t="s">
        <v>568</v>
      </c>
      <c r="CC7" s="179">
        <v>5000</v>
      </c>
      <c r="CD7" s="179">
        <v>5000</v>
      </c>
      <c r="CE7" s="179">
        <v>5000</v>
      </c>
      <c r="CF7" s="179">
        <v>5000</v>
      </c>
      <c r="CG7" s="179">
        <v>5000</v>
      </c>
      <c r="CH7" s="179">
        <v>5000</v>
      </c>
      <c r="CI7" s="179">
        <v>5000</v>
      </c>
      <c r="CJ7" s="179">
        <v>5000</v>
      </c>
      <c r="CK7" s="179">
        <v>5000</v>
      </c>
      <c r="CL7" s="179">
        <v>10000</v>
      </c>
      <c r="CM7" s="179"/>
      <c r="CN7" s="179">
        <v>5000</v>
      </c>
      <c r="CO7" s="179">
        <v>60000</v>
      </c>
      <c r="CS7" s="136" t="str">
        <f t="shared" si="18"/>
        <v>2024-2025</v>
      </c>
      <c r="CT7" s="86">
        <f t="shared" ref="CT7:CT12" si="21">CC7-AQ6</f>
        <v>0</v>
      </c>
      <c r="CU7" s="86">
        <f t="shared" si="19"/>
        <v>0</v>
      </c>
      <c r="CV7" s="86">
        <f t="shared" si="19"/>
        <v>0</v>
      </c>
      <c r="CW7" s="86">
        <f t="shared" si="19"/>
        <v>0</v>
      </c>
      <c r="CX7" s="86">
        <f t="shared" si="19"/>
        <v>0</v>
      </c>
      <c r="CY7" s="86">
        <f t="shared" si="19"/>
        <v>0</v>
      </c>
      <c r="CZ7" s="86">
        <f t="shared" si="19"/>
        <v>0</v>
      </c>
      <c r="DA7" s="86">
        <f t="shared" si="19"/>
        <v>0</v>
      </c>
      <c r="DB7" s="86">
        <f t="shared" si="19"/>
        <v>0</v>
      </c>
      <c r="DC7" s="86">
        <f t="shared" si="19"/>
        <v>0</v>
      </c>
      <c r="DD7" s="86">
        <f t="shared" si="19"/>
        <v>0</v>
      </c>
      <c r="DE7" s="86">
        <f t="shared" si="19"/>
        <v>0</v>
      </c>
      <c r="DF7" s="136">
        <f t="shared" si="19"/>
        <v>0</v>
      </c>
      <c r="DI7" s="136">
        <f t="shared" si="20"/>
        <v>0</v>
      </c>
    </row>
    <row r="8" spans="1:113" ht="15.75" thickBot="1" x14ac:dyDescent="0.3">
      <c r="A8" t="s">
        <v>23</v>
      </c>
      <c r="B8" s="126">
        <v>42491</v>
      </c>
      <c r="C8">
        <v>201606</v>
      </c>
      <c r="D8" t="s">
        <v>541</v>
      </c>
      <c r="E8">
        <v>1100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1100</v>
      </c>
      <c r="M8">
        <v>0</v>
      </c>
      <c r="N8">
        <v>0</v>
      </c>
      <c r="O8">
        <v>0</v>
      </c>
      <c r="P8" s="187" t="s">
        <v>501</v>
      </c>
      <c r="Q8" s="1">
        <f>IF(Table2[[#This Row],[Check Status with ga 55]]="ok",0,1)</f>
        <v>0</v>
      </c>
      <c r="R8" s="128" t="str">
        <f t="shared" si="0"/>
        <v>Jun-16</v>
      </c>
      <c r="S8" s="128" t="str">
        <f t="shared" si="1"/>
        <v>Jun</v>
      </c>
      <c r="T8" s="128" t="str">
        <f t="shared" si="2"/>
        <v>16</v>
      </c>
      <c r="U8" s="181">
        <f>Table2[[#This Row],[Total Premium]]+Table2[[#This Row],[Loan]]</f>
        <v>1100</v>
      </c>
      <c r="W8" s="321">
        <v>4</v>
      </c>
      <c r="X8" s="322" t="s">
        <v>516</v>
      </c>
      <c r="Y8" s="323">
        <v>5000</v>
      </c>
      <c r="Z8" s="323">
        <v>5000</v>
      </c>
      <c r="AA8" s="323">
        <v>5000</v>
      </c>
      <c r="AB8" s="323">
        <v>5000</v>
      </c>
      <c r="AC8" s="323">
        <v>5000</v>
      </c>
      <c r="AD8" s="323">
        <v>5000</v>
      </c>
      <c r="AE8" s="323">
        <v>5000</v>
      </c>
      <c r="AF8" s="323">
        <v>5000</v>
      </c>
      <c r="AG8" s="323">
        <v>5000</v>
      </c>
      <c r="AH8" s="323">
        <v>5000</v>
      </c>
      <c r="AI8" s="323">
        <v>5000</v>
      </c>
      <c r="AJ8" s="323">
        <v>5000</v>
      </c>
      <c r="AK8" s="323">
        <v>60000</v>
      </c>
      <c r="AL8" s="323">
        <v>0</v>
      </c>
      <c r="AM8" s="323">
        <v>0</v>
      </c>
      <c r="AN8" s="323">
        <v>0</v>
      </c>
      <c r="AP8" s="91" t="s">
        <v>516</v>
      </c>
      <c r="AQ8" s="179">
        <v>5000</v>
      </c>
      <c r="AR8" s="179">
        <v>5000</v>
      </c>
      <c r="AS8" s="179">
        <v>5000</v>
      </c>
      <c r="AT8" s="179">
        <v>5000</v>
      </c>
      <c r="AU8" s="179">
        <v>5000</v>
      </c>
      <c r="AV8" s="179">
        <v>5000</v>
      </c>
      <c r="AW8" s="179">
        <v>5000</v>
      </c>
      <c r="AX8" s="179">
        <v>5000</v>
      </c>
      <c r="AY8" s="179">
        <v>5000</v>
      </c>
      <c r="AZ8" s="179">
        <v>5000</v>
      </c>
      <c r="BA8" s="179">
        <v>5000</v>
      </c>
      <c r="BB8" s="179">
        <v>5000</v>
      </c>
      <c r="BC8" s="179">
        <v>60000</v>
      </c>
      <c r="BF8" s="86">
        <f>IFERROR(Table5[[#This Row],[Sr No.]],"")</f>
        <v>4</v>
      </c>
      <c r="BG8" s="86" t="str">
        <f>IFERROR(Table5[[#This Row],[Financial Year]],"")</f>
        <v>2022-2023</v>
      </c>
      <c r="BH8" s="86">
        <f t="shared" si="3"/>
        <v>0</v>
      </c>
      <c r="BI8" s="86">
        <f t="shared" si="4"/>
        <v>0</v>
      </c>
      <c r="BJ8" s="86">
        <f t="shared" si="5"/>
        <v>0</v>
      </c>
      <c r="BK8" s="86">
        <f t="shared" si="6"/>
        <v>0</v>
      </c>
      <c r="BL8" s="86">
        <f t="shared" si="7"/>
        <v>0</v>
      </c>
      <c r="BM8" s="86">
        <f t="shared" si="8"/>
        <v>0</v>
      </c>
      <c r="BN8" s="86">
        <f t="shared" si="9"/>
        <v>0</v>
      </c>
      <c r="BO8" s="86">
        <f t="shared" si="10"/>
        <v>0</v>
      </c>
      <c r="BP8" s="86">
        <f t="shared" si="11"/>
        <v>0</v>
      </c>
      <c r="BQ8" s="86">
        <f t="shared" si="12"/>
        <v>0</v>
      </c>
      <c r="BR8" s="86">
        <f t="shared" si="13"/>
        <v>0</v>
      </c>
      <c r="BS8" s="86">
        <f t="shared" si="14"/>
        <v>0</v>
      </c>
      <c r="BT8" s="86">
        <f t="shared" si="15"/>
        <v>0</v>
      </c>
      <c r="BU8" s="86"/>
      <c r="BV8" s="86"/>
      <c r="BX8">
        <f t="shared" si="16"/>
        <v>0</v>
      </c>
      <c r="CB8" s="91" t="s">
        <v>654</v>
      </c>
      <c r="CC8" s="179">
        <v>5000</v>
      </c>
      <c r="CD8" s="179">
        <v>5000</v>
      </c>
      <c r="CE8" s="179">
        <v>5000</v>
      </c>
      <c r="CF8" s="179">
        <v>5000</v>
      </c>
      <c r="CG8" s="179">
        <v>5000</v>
      </c>
      <c r="CH8" s="179">
        <v>5000</v>
      </c>
      <c r="CI8" s="179">
        <v>5000</v>
      </c>
      <c r="CJ8" s="179">
        <v>5000</v>
      </c>
      <c r="CK8" s="179">
        <v>5000</v>
      </c>
      <c r="CL8" s="179">
        <v>5000</v>
      </c>
      <c r="CM8" s="179">
        <v>5000</v>
      </c>
      <c r="CN8" s="179">
        <v>5000</v>
      </c>
      <c r="CO8" s="179">
        <v>60000</v>
      </c>
      <c r="CS8" s="136" t="str">
        <f t="shared" si="18"/>
        <v>2023-2024</v>
      </c>
      <c r="CT8" s="86">
        <f t="shared" si="21"/>
        <v>0</v>
      </c>
      <c r="CU8" s="86">
        <f t="shared" si="19"/>
        <v>0</v>
      </c>
      <c r="CV8" s="86">
        <f t="shared" si="19"/>
        <v>0</v>
      </c>
      <c r="CW8" s="86">
        <f t="shared" si="19"/>
        <v>0</v>
      </c>
      <c r="CX8" s="86">
        <f t="shared" si="19"/>
        <v>0</v>
      </c>
      <c r="CY8" s="86">
        <f t="shared" si="19"/>
        <v>0</v>
      </c>
      <c r="CZ8" s="86">
        <f t="shared" si="19"/>
        <v>0</v>
      </c>
      <c r="DA8" s="86">
        <f t="shared" si="19"/>
        <v>0</v>
      </c>
      <c r="DB8" s="86">
        <f t="shared" si="19"/>
        <v>0</v>
      </c>
      <c r="DC8" s="86">
        <f t="shared" si="19"/>
        <v>0</v>
      </c>
      <c r="DD8" s="86">
        <f t="shared" si="19"/>
        <v>0</v>
      </c>
      <c r="DE8" s="86">
        <f t="shared" si="19"/>
        <v>0</v>
      </c>
      <c r="DF8" s="136">
        <f t="shared" si="19"/>
        <v>0</v>
      </c>
      <c r="DI8" s="136">
        <f t="shared" si="20"/>
        <v>0</v>
      </c>
    </row>
    <row r="9" spans="1:113" ht="15.75" thickBot="1" x14ac:dyDescent="0.3">
      <c r="A9" t="s">
        <v>23</v>
      </c>
      <c r="B9" s="126">
        <v>42522</v>
      </c>
      <c r="C9">
        <v>201607</v>
      </c>
      <c r="D9" t="s">
        <v>541</v>
      </c>
      <c r="E9">
        <v>1100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1100</v>
      </c>
      <c r="M9">
        <v>0</v>
      </c>
      <c r="N9">
        <v>0</v>
      </c>
      <c r="O9">
        <v>0</v>
      </c>
      <c r="P9" s="187" t="s">
        <v>501</v>
      </c>
      <c r="Q9" s="1">
        <f>IF(Table2[[#This Row],[Check Status with ga 55]]="ok",0,1)</f>
        <v>0</v>
      </c>
      <c r="R9" s="128" t="str">
        <f t="shared" si="0"/>
        <v>Jul-16</v>
      </c>
      <c r="S9" s="128" t="str">
        <f t="shared" si="1"/>
        <v>Jul</v>
      </c>
      <c r="T9" s="128" t="str">
        <f t="shared" si="2"/>
        <v>16</v>
      </c>
      <c r="U9" s="181">
        <f>Table2[[#This Row],[Total Premium]]+Table2[[#This Row],[Loan]]</f>
        <v>1100</v>
      </c>
      <c r="W9" s="321">
        <v>5</v>
      </c>
      <c r="X9" s="322" t="s">
        <v>416</v>
      </c>
      <c r="Y9" s="323">
        <v>5000</v>
      </c>
      <c r="Z9" s="323">
        <v>5000</v>
      </c>
      <c r="AA9" s="323">
        <v>5000</v>
      </c>
      <c r="AB9" s="323">
        <v>5000</v>
      </c>
      <c r="AC9" s="323">
        <v>5000</v>
      </c>
      <c r="AD9" s="323">
        <v>5000</v>
      </c>
      <c r="AE9" s="323">
        <v>5000</v>
      </c>
      <c r="AF9" s="323">
        <v>5000</v>
      </c>
      <c r="AG9" s="323">
        <v>5000</v>
      </c>
      <c r="AH9" s="323">
        <v>5000</v>
      </c>
      <c r="AI9" s="323">
        <v>5000</v>
      </c>
      <c r="AJ9" s="323">
        <v>5000</v>
      </c>
      <c r="AK9" s="323">
        <v>60000</v>
      </c>
      <c r="AL9" s="323">
        <v>0</v>
      </c>
      <c r="AM9" s="323">
        <v>0</v>
      </c>
      <c r="AN9" s="323">
        <v>0</v>
      </c>
      <c r="AP9" s="91" t="s">
        <v>416</v>
      </c>
      <c r="AQ9" s="179">
        <v>5000</v>
      </c>
      <c r="AR9" s="179">
        <v>5000</v>
      </c>
      <c r="AS9" s="179">
        <v>5000</v>
      </c>
      <c r="AT9" s="179">
        <v>5000</v>
      </c>
      <c r="AU9" s="179">
        <v>5000</v>
      </c>
      <c r="AV9" s="179">
        <v>5000</v>
      </c>
      <c r="AW9" s="179">
        <v>5000</v>
      </c>
      <c r="AX9" s="179">
        <v>5000</v>
      </c>
      <c r="AY9" s="179">
        <v>5000</v>
      </c>
      <c r="AZ9" s="179">
        <v>5000</v>
      </c>
      <c r="BA9" s="179">
        <v>5000</v>
      </c>
      <c r="BB9" s="179">
        <v>5000</v>
      </c>
      <c r="BC9" s="179">
        <v>60000</v>
      </c>
      <c r="BF9" s="86">
        <f>IFERROR(Table5[[#This Row],[Sr No.]],"")</f>
        <v>5</v>
      </c>
      <c r="BG9" s="86" t="str">
        <f>IFERROR(Table5[[#This Row],[Financial Year]],"")</f>
        <v>2021-2022</v>
      </c>
      <c r="BH9" s="86">
        <f t="shared" si="3"/>
        <v>0</v>
      </c>
      <c r="BI9" s="86">
        <f t="shared" si="4"/>
        <v>0</v>
      </c>
      <c r="BJ9" s="86">
        <f t="shared" si="5"/>
        <v>0</v>
      </c>
      <c r="BK9" s="86">
        <f t="shared" si="6"/>
        <v>0</v>
      </c>
      <c r="BL9" s="86">
        <f t="shared" si="7"/>
        <v>0</v>
      </c>
      <c r="BM9" s="86">
        <f t="shared" si="8"/>
        <v>0</v>
      </c>
      <c r="BN9" s="86">
        <f t="shared" si="9"/>
        <v>0</v>
      </c>
      <c r="BO9" s="86">
        <f t="shared" si="10"/>
        <v>0</v>
      </c>
      <c r="BP9" s="86">
        <f t="shared" si="11"/>
        <v>0</v>
      </c>
      <c r="BQ9" s="86">
        <f t="shared" si="12"/>
        <v>0</v>
      </c>
      <c r="BR9" s="86">
        <f t="shared" si="13"/>
        <v>0</v>
      </c>
      <c r="BS9" s="86">
        <f t="shared" si="14"/>
        <v>0</v>
      </c>
      <c r="BT9" s="86">
        <f t="shared" si="15"/>
        <v>0</v>
      </c>
      <c r="BU9" s="86"/>
      <c r="BV9" s="86"/>
      <c r="BX9">
        <f t="shared" si="16"/>
        <v>0</v>
      </c>
      <c r="CB9" s="91" t="s">
        <v>516</v>
      </c>
      <c r="CC9" s="179">
        <v>5000</v>
      </c>
      <c r="CD9" s="179">
        <v>5000</v>
      </c>
      <c r="CE9" s="179">
        <v>5000</v>
      </c>
      <c r="CF9" s="179">
        <v>5000</v>
      </c>
      <c r="CG9" s="179">
        <v>5000</v>
      </c>
      <c r="CH9" s="179">
        <v>5000</v>
      </c>
      <c r="CI9" s="179">
        <v>5000</v>
      </c>
      <c r="CJ9" s="179">
        <v>5000</v>
      </c>
      <c r="CK9" s="179">
        <v>5000</v>
      </c>
      <c r="CL9" s="179">
        <v>5000</v>
      </c>
      <c r="CM9" s="179">
        <v>5000</v>
      </c>
      <c r="CN9" s="179">
        <v>5000</v>
      </c>
      <c r="CO9" s="179">
        <v>60000</v>
      </c>
      <c r="CS9" s="136" t="str">
        <f t="shared" si="18"/>
        <v>2022-2023</v>
      </c>
      <c r="CT9" s="86">
        <f t="shared" si="21"/>
        <v>0</v>
      </c>
      <c r="CU9" s="86">
        <f t="shared" si="19"/>
        <v>0</v>
      </c>
      <c r="CV9" s="86">
        <f t="shared" si="19"/>
        <v>0</v>
      </c>
      <c r="CW9" s="86">
        <f t="shared" si="19"/>
        <v>0</v>
      </c>
      <c r="CX9" s="86">
        <f t="shared" si="19"/>
        <v>0</v>
      </c>
      <c r="CY9" s="86">
        <f t="shared" si="19"/>
        <v>0</v>
      </c>
      <c r="CZ9" s="86">
        <f t="shared" si="19"/>
        <v>0</v>
      </c>
      <c r="DA9" s="86">
        <f t="shared" si="19"/>
        <v>0</v>
      </c>
      <c r="DB9" s="86">
        <f t="shared" si="19"/>
        <v>0</v>
      </c>
      <c r="DC9" s="86">
        <f t="shared" si="19"/>
        <v>0</v>
      </c>
      <c r="DD9" s="86">
        <f t="shared" si="19"/>
        <v>0</v>
      </c>
      <c r="DE9" s="86">
        <f t="shared" si="19"/>
        <v>0</v>
      </c>
      <c r="DF9" s="136">
        <f t="shared" si="19"/>
        <v>0</v>
      </c>
      <c r="DI9" s="136">
        <f t="shared" si="20"/>
        <v>0</v>
      </c>
    </row>
    <row r="10" spans="1:113" ht="15.75" thickBot="1" x14ac:dyDescent="0.3">
      <c r="A10" t="s">
        <v>23</v>
      </c>
      <c r="B10" s="126">
        <v>42552</v>
      </c>
      <c r="C10">
        <v>201608</v>
      </c>
      <c r="D10" t="s">
        <v>541</v>
      </c>
      <c r="E10">
        <v>1100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1100</v>
      </c>
      <c r="M10">
        <v>0</v>
      </c>
      <c r="N10">
        <v>0</v>
      </c>
      <c r="O10">
        <v>0</v>
      </c>
      <c r="P10" s="187" t="s">
        <v>501</v>
      </c>
      <c r="Q10" s="1">
        <f>IF(Table2[[#This Row],[Check Status with ga 55]]="ok",0,1)</f>
        <v>0</v>
      </c>
      <c r="R10" s="128" t="str">
        <f t="shared" si="0"/>
        <v>Aug-16</v>
      </c>
      <c r="S10" s="128" t="str">
        <f t="shared" si="1"/>
        <v>Aug</v>
      </c>
      <c r="T10" s="128" t="str">
        <f t="shared" si="2"/>
        <v>16</v>
      </c>
      <c r="U10" s="181">
        <f>Table2[[#This Row],[Total Premium]]+Table2[[#This Row],[Loan]]</f>
        <v>1100</v>
      </c>
      <c r="W10" s="321">
        <v>6</v>
      </c>
      <c r="X10" s="322" t="s">
        <v>342</v>
      </c>
      <c r="Y10" s="323">
        <v>0</v>
      </c>
      <c r="Z10" s="323">
        <v>5000</v>
      </c>
      <c r="AA10" s="323">
        <v>10000</v>
      </c>
      <c r="AB10" s="323">
        <v>5000</v>
      </c>
      <c r="AC10" s="323">
        <v>5000</v>
      </c>
      <c r="AD10" s="323">
        <v>5000</v>
      </c>
      <c r="AE10" s="323">
        <v>5000</v>
      </c>
      <c r="AF10" s="323">
        <v>5000</v>
      </c>
      <c r="AG10" s="323">
        <v>5000</v>
      </c>
      <c r="AH10" s="323">
        <v>5000</v>
      </c>
      <c r="AI10" s="323">
        <v>5000</v>
      </c>
      <c r="AJ10" s="323">
        <v>5000</v>
      </c>
      <c r="AK10" s="323">
        <v>60000</v>
      </c>
      <c r="AL10" s="323">
        <v>0</v>
      </c>
      <c r="AM10" s="323">
        <v>0</v>
      </c>
      <c r="AN10" s="323">
        <v>0</v>
      </c>
      <c r="AP10" s="91" t="s">
        <v>342</v>
      </c>
      <c r="AQ10" s="179">
        <v>5000</v>
      </c>
      <c r="AR10" s="179">
        <v>5000</v>
      </c>
      <c r="AS10" s="179">
        <v>5000</v>
      </c>
      <c r="AT10" s="179">
        <v>0</v>
      </c>
      <c r="AU10" s="179">
        <v>5000</v>
      </c>
      <c r="AV10" s="179">
        <v>10000</v>
      </c>
      <c r="AW10" s="179">
        <v>5000</v>
      </c>
      <c r="AX10" s="179">
        <v>5000</v>
      </c>
      <c r="AY10" s="179">
        <v>5000</v>
      </c>
      <c r="AZ10" s="179">
        <v>5000</v>
      </c>
      <c r="BA10" s="179">
        <v>5000</v>
      </c>
      <c r="BB10" s="179">
        <v>5000</v>
      </c>
      <c r="BC10" s="179">
        <v>60000</v>
      </c>
      <c r="BF10" s="86">
        <f>IFERROR(Table5[[#This Row],[Sr No.]],"")</f>
        <v>6</v>
      </c>
      <c r="BG10" s="86" t="str">
        <f>IFERROR(Table5[[#This Row],[Financial Year]],"")</f>
        <v>2020-2021</v>
      </c>
      <c r="BH10" s="86">
        <f t="shared" si="3"/>
        <v>0</v>
      </c>
      <c r="BI10" s="86">
        <f t="shared" si="4"/>
        <v>0</v>
      </c>
      <c r="BJ10" s="86">
        <f t="shared" si="5"/>
        <v>0</v>
      </c>
      <c r="BK10" s="86">
        <f t="shared" si="6"/>
        <v>0</v>
      </c>
      <c r="BL10" s="86">
        <f t="shared" si="7"/>
        <v>0</v>
      </c>
      <c r="BM10" s="86">
        <f t="shared" si="8"/>
        <v>0</v>
      </c>
      <c r="BN10" s="86">
        <f t="shared" si="9"/>
        <v>0</v>
      </c>
      <c r="BO10" s="86">
        <f t="shared" si="10"/>
        <v>0</v>
      </c>
      <c r="BP10" s="86">
        <f t="shared" si="11"/>
        <v>0</v>
      </c>
      <c r="BQ10" s="86">
        <f t="shared" si="12"/>
        <v>0</v>
      </c>
      <c r="BR10" s="86">
        <f t="shared" si="13"/>
        <v>0</v>
      </c>
      <c r="BS10" s="86">
        <f t="shared" si="14"/>
        <v>0</v>
      </c>
      <c r="BT10" s="86">
        <f t="shared" si="15"/>
        <v>0</v>
      </c>
      <c r="BU10" s="86"/>
      <c r="BV10" s="86"/>
      <c r="BX10">
        <f t="shared" si="16"/>
        <v>0</v>
      </c>
      <c r="CB10" s="91" t="s">
        <v>416</v>
      </c>
      <c r="CC10" s="179">
        <v>5000</v>
      </c>
      <c r="CD10" s="179">
        <v>5000</v>
      </c>
      <c r="CE10" s="179">
        <v>5000</v>
      </c>
      <c r="CF10" s="179">
        <v>5000</v>
      </c>
      <c r="CG10" s="179">
        <v>5000</v>
      </c>
      <c r="CH10" s="179">
        <v>5000</v>
      </c>
      <c r="CI10" s="179">
        <v>5000</v>
      </c>
      <c r="CJ10" s="179">
        <v>5000</v>
      </c>
      <c r="CK10" s="179">
        <v>5000</v>
      </c>
      <c r="CL10" s="179">
        <v>5000</v>
      </c>
      <c r="CM10" s="179">
        <v>5000</v>
      </c>
      <c r="CN10" s="179">
        <v>5000</v>
      </c>
      <c r="CO10" s="179">
        <v>60000</v>
      </c>
      <c r="CS10" s="136" t="str">
        <f t="shared" si="18"/>
        <v>2021-2022</v>
      </c>
      <c r="CT10" s="86">
        <f t="shared" si="21"/>
        <v>0</v>
      </c>
      <c r="CU10" s="86">
        <f t="shared" si="19"/>
        <v>0</v>
      </c>
      <c r="CV10" s="86">
        <f t="shared" si="19"/>
        <v>0</v>
      </c>
      <c r="CW10" s="86">
        <f t="shared" si="19"/>
        <v>0</v>
      </c>
      <c r="CX10" s="86">
        <f t="shared" si="19"/>
        <v>0</v>
      </c>
      <c r="CY10" s="86">
        <f t="shared" si="19"/>
        <v>0</v>
      </c>
      <c r="CZ10" s="86">
        <f t="shared" si="19"/>
        <v>0</v>
      </c>
      <c r="DA10" s="86">
        <f t="shared" si="19"/>
        <v>0</v>
      </c>
      <c r="DB10" s="86">
        <f t="shared" si="19"/>
        <v>0</v>
      </c>
      <c r="DC10" s="86">
        <f t="shared" si="19"/>
        <v>0</v>
      </c>
      <c r="DD10" s="86">
        <f t="shared" si="19"/>
        <v>0</v>
      </c>
      <c r="DE10" s="86">
        <f t="shared" si="19"/>
        <v>0</v>
      </c>
      <c r="DF10" s="136">
        <f t="shared" si="19"/>
        <v>0</v>
      </c>
      <c r="DI10" s="136">
        <f t="shared" si="20"/>
        <v>0</v>
      </c>
    </row>
    <row r="11" spans="1:113" ht="15.75" thickBot="1" x14ac:dyDescent="0.3">
      <c r="A11" t="s">
        <v>23</v>
      </c>
      <c r="B11" s="126">
        <v>42583</v>
      </c>
      <c r="C11">
        <v>201609</v>
      </c>
      <c r="D11" t="s">
        <v>541</v>
      </c>
      <c r="E11">
        <v>1100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1100</v>
      </c>
      <c r="M11">
        <v>0</v>
      </c>
      <c r="N11">
        <v>0</v>
      </c>
      <c r="O11">
        <v>0</v>
      </c>
      <c r="P11" s="187" t="s">
        <v>501</v>
      </c>
      <c r="Q11" s="1">
        <f>IF(Table2[[#This Row],[Check Status with ga 55]]="ok",0,1)</f>
        <v>0</v>
      </c>
      <c r="R11" s="128" t="str">
        <f t="shared" si="0"/>
        <v>Sep-16</v>
      </c>
      <c r="S11" s="128" t="str">
        <f t="shared" si="1"/>
        <v>Sep</v>
      </c>
      <c r="T11" s="128" t="str">
        <f t="shared" si="2"/>
        <v>16</v>
      </c>
      <c r="U11" s="181">
        <f>Table2[[#This Row],[Total Premium]]+Table2[[#This Row],[Loan]]</f>
        <v>1100</v>
      </c>
      <c r="W11" s="321">
        <v>7</v>
      </c>
      <c r="X11" s="322" t="s">
        <v>246</v>
      </c>
      <c r="Y11" s="323">
        <v>3000</v>
      </c>
      <c r="Z11" s="323">
        <v>3000</v>
      </c>
      <c r="AA11" s="323">
        <v>3000</v>
      </c>
      <c r="AB11" s="323">
        <v>3000</v>
      </c>
      <c r="AC11" s="323">
        <v>3000</v>
      </c>
      <c r="AD11" s="323">
        <v>3000</v>
      </c>
      <c r="AE11" s="323">
        <v>3000</v>
      </c>
      <c r="AF11" s="323">
        <v>3000</v>
      </c>
      <c r="AG11" s="323">
        <v>3000</v>
      </c>
      <c r="AH11" s="323">
        <v>3000</v>
      </c>
      <c r="AI11" s="323">
        <v>3000</v>
      </c>
      <c r="AJ11" s="323">
        <v>3000</v>
      </c>
      <c r="AK11" s="323">
        <v>36000</v>
      </c>
      <c r="AL11" s="323">
        <v>0</v>
      </c>
      <c r="AM11" s="323">
        <v>0</v>
      </c>
      <c r="AN11" s="323">
        <v>0</v>
      </c>
      <c r="AP11" s="91" t="s">
        <v>246</v>
      </c>
      <c r="AQ11" s="179">
        <v>3000</v>
      </c>
      <c r="AR11" s="179">
        <v>3000</v>
      </c>
      <c r="AS11" s="179">
        <v>3000</v>
      </c>
      <c r="AT11" s="179">
        <v>3000</v>
      </c>
      <c r="AU11" s="179">
        <v>3000</v>
      </c>
      <c r="AV11" s="179">
        <v>3000</v>
      </c>
      <c r="AW11" s="179">
        <v>3000</v>
      </c>
      <c r="AX11" s="179">
        <v>3000</v>
      </c>
      <c r="AY11" s="179">
        <v>3000</v>
      </c>
      <c r="AZ11" s="179">
        <v>3000</v>
      </c>
      <c r="BA11" s="179">
        <v>3000</v>
      </c>
      <c r="BB11" s="179">
        <v>3000</v>
      </c>
      <c r="BC11" s="179">
        <v>36000</v>
      </c>
      <c r="BF11" s="86">
        <f>IFERROR(Table5[[#This Row],[Sr No.]],"")</f>
        <v>7</v>
      </c>
      <c r="BG11" s="86" t="str">
        <f>IFERROR(Table5[[#This Row],[Financial Year]],"")</f>
        <v>2019-2020</v>
      </c>
      <c r="BH11" s="86">
        <f t="shared" si="3"/>
        <v>0</v>
      </c>
      <c r="BI11" s="86">
        <f t="shared" si="4"/>
        <v>0</v>
      </c>
      <c r="BJ11" s="86">
        <f t="shared" si="5"/>
        <v>0</v>
      </c>
      <c r="BK11" s="86">
        <f t="shared" si="6"/>
        <v>0</v>
      </c>
      <c r="BL11" s="86">
        <f t="shared" si="7"/>
        <v>0</v>
      </c>
      <c r="BM11" s="86">
        <f t="shared" si="8"/>
        <v>0</v>
      </c>
      <c r="BN11" s="86">
        <f t="shared" si="9"/>
        <v>0</v>
      </c>
      <c r="BO11" s="86">
        <f t="shared" si="10"/>
        <v>0</v>
      </c>
      <c r="BP11" s="86">
        <f t="shared" si="11"/>
        <v>0</v>
      </c>
      <c r="BQ11" s="86">
        <f t="shared" si="12"/>
        <v>0</v>
      </c>
      <c r="BR11" s="86">
        <f t="shared" si="13"/>
        <v>0</v>
      </c>
      <c r="BS11" s="86">
        <f t="shared" si="14"/>
        <v>0</v>
      </c>
      <c r="BT11" s="86">
        <f t="shared" si="15"/>
        <v>0</v>
      </c>
      <c r="BU11" s="86"/>
      <c r="BV11" s="86"/>
      <c r="BX11">
        <f t="shared" si="16"/>
        <v>0</v>
      </c>
      <c r="CB11" s="91" t="s">
        <v>342</v>
      </c>
      <c r="CC11" s="179">
        <v>5000</v>
      </c>
      <c r="CD11" s="179">
        <v>5000</v>
      </c>
      <c r="CE11" s="179">
        <v>5000</v>
      </c>
      <c r="CF11" s="179"/>
      <c r="CG11" s="179">
        <v>5000</v>
      </c>
      <c r="CH11" s="179">
        <v>10000</v>
      </c>
      <c r="CI11" s="179">
        <v>5000</v>
      </c>
      <c r="CJ11" s="179">
        <v>5000</v>
      </c>
      <c r="CK11" s="179">
        <v>5000</v>
      </c>
      <c r="CL11" s="179">
        <v>5000</v>
      </c>
      <c r="CM11" s="179">
        <v>5000</v>
      </c>
      <c r="CN11" s="179">
        <v>5000</v>
      </c>
      <c r="CO11" s="179">
        <v>60000</v>
      </c>
      <c r="CS11" s="136" t="str">
        <f t="shared" si="18"/>
        <v>2020-2021</v>
      </c>
      <c r="CT11" s="86">
        <f t="shared" si="21"/>
        <v>0</v>
      </c>
      <c r="CU11" s="86">
        <f t="shared" si="19"/>
        <v>0</v>
      </c>
      <c r="CV11" s="86">
        <f t="shared" si="19"/>
        <v>0</v>
      </c>
      <c r="CW11" s="86">
        <f t="shared" si="19"/>
        <v>0</v>
      </c>
      <c r="CX11" s="86">
        <f t="shared" si="19"/>
        <v>0</v>
      </c>
      <c r="CY11" s="86">
        <f t="shared" si="19"/>
        <v>0</v>
      </c>
      <c r="CZ11" s="86">
        <f t="shared" si="19"/>
        <v>0</v>
      </c>
      <c r="DA11" s="86">
        <f t="shared" si="19"/>
        <v>0</v>
      </c>
      <c r="DB11" s="86">
        <f t="shared" si="19"/>
        <v>0</v>
      </c>
      <c r="DC11" s="86">
        <f t="shared" si="19"/>
        <v>0</v>
      </c>
      <c r="DD11" s="86">
        <f t="shared" si="19"/>
        <v>0</v>
      </c>
      <c r="DE11" s="86">
        <f t="shared" si="19"/>
        <v>0</v>
      </c>
      <c r="DF11" s="136">
        <f t="shared" si="19"/>
        <v>0</v>
      </c>
      <c r="DI11" s="136">
        <f t="shared" si="20"/>
        <v>0</v>
      </c>
    </row>
    <row r="12" spans="1:113" ht="15.75" thickBot="1" x14ac:dyDescent="0.3">
      <c r="A12" t="s">
        <v>23</v>
      </c>
      <c r="B12" s="127">
        <v>42644</v>
      </c>
      <c r="D12" t="s">
        <v>27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s="187" t="s">
        <v>501</v>
      </c>
      <c r="Q12" s="1">
        <f>IF(Table2[[#This Row],[Check Status with ga 55]]="ok",0,1)</f>
        <v>0</v>
      </c>
      <c r="R12" s="128" t="str">
        <f t="shared" si="0"/>
        <v/>
      </c>
      <c r="S12" s="128" t="str">
        <f t="shared" si="1"/>
        <v/>
      </c>
      <c r="T12" s="128" t="str">
        <f t="shared" si="2"/>
        <v/>
      </c>
      <c r="U12" s="181">
        <f>Table2[[#This Row],[Total Premium]]+Table2[[#This Row],[Loan]]</f>
        <v>0</v>
      </c>
      <c r="W12" s="321">
        <v>8</v>
      </c>
      <c r="X12" s="322" t="s">
        <v>192</v>
      </c>
      <c r="Y12" s="323">
        <v>3000</v>
      </c>
      <c r="Z12" s="323">
        <v>3000</v>
      </c>
      <c r="AA12" s="323">
        <v>3000</v>
      </c>
      <c r="AB12" s="323">
        <v>3000</v>
      </c>
      <c r="AC12" s="323">
        <v>3000</v>
      </c>
      <c r="AD12" s="323">
        <v>3000</v>
      </c>
      <c r="AE12" s="323">
        <v>3000</v>
      </c>
      <c r="AF12" s="323">
        <v>3000</v>
      </c>
      <c r="AG12" s="323">
        <v>0</v>
      </c>
      <c r="AH12" s="323">
        <v>3000</v>
      </c>
      <c r="AI12" s="323">
        <v>6000</v>
      </c>
      <c r="AJ12" s="323">
        <v>3000</v>
      </c>
      <c r="AK12" s="323">
        <v>36000</v>
      </c>
      <c r="AL12" s="323">
        <v>0</v>
      </c>
      <c r="AM12" s="323">
        <v>0</v>
      </c>
      <c r="AN12" s="323">
        <v>0</v>
      </c>
      <c r="AP12" s="91" t="s">
        <v>192</v>
      </c>
      <c r="AQ12" s="179">
        <v>3000</v>
      </c>
      <c r="AR12" s="179">
        <v>6000</v>
      </c>
      <c r="AS12" s="179">
        <v>3000</v>
      </c>
      <c r="AT12" s="179">
        <v>3000</v>
      </c>
      <c r="AU12" s="179">
        <v>3000</v>
      </c>
      <c r="AV12" s="179">
        <v>3000</v>
      </c>
      <c r="AW12" s="179">
        <v>3000</v>
      </c>
      <c r="AX12" s="179">
        <v>3000</v>
      </c>
      <c r="AY12" s="179">
        <v>3000</v>
      </c>
      <c r="AZ12" s="179">
        <v>3000</v>
      </c>
      <c r="BA12" s="179">
        <v>3000</v>
      </c>
      <c r="BB12" s="179"/>
      <c r="BC12" s="179">
        <v>36000</v>
      </c>
      <c r="BF12" s="86">
        <f>IFERROR(Table5[[#This Row],[Sr No.]],"")</f>
        <v>8</v>
      </c>
      <c r="BG12" s="86" t="str">
        <f>IFERROR(Table5[[#This Row],[Financial Year]],"")</f>
        <v>2018-2019</v>
      </c>
      <c r="BH12" s="86">
        <f t="shared" si="3"/>
        <v>0</v>
      </c>
      <c r="BI12" s="86">
        <f t="shared" si="4"/>
        <v>0</v>
      </c>
      <c r="BJ12" s="86">
        <f t="shared" si="5"/>
        <v>0</v>
      </c>
      <c r="BK12" s="86">
        <f t="shared" si="6"/>
        <v>0</v>
      </c>
      <c r="BL12" s="86">
        <f t="shared" si="7"/>
        <v>0</v>
      </c>
      <c r="BM12" s="86">
        <f t="shared" si="8"/>
        <v>0</v>
      </c>
      <c r="BN12" s="86">
        <f t="shared" si="9"/>
        <v>0</v>
      </c>
      <c r="BO12" s="86">
        <f t="shared" si="10"/>
        <v>0</v>
      </c>
      <c r="BP12" s="86">
        <f t="shared" si="11"/>
        <v>0</v>
      </c>
      <c r="BQ12" s="86">
        <f t="shared" si="12"/>
        <v>0</v>
      </c>
      <c r="BR12" s="86">
        <f t="shared" si="13"/>
        <v>0</v>
      </c>
      <c r="BS12" s="86">
        <f t="shared" si="14"/>
        <v>0</v>
      </c>
      <c r="BT12" s="86">
        <f t="shared" si="15"/>
        <v>0</v>
      </c>
      <c r="BU12" s="86"/>
      <c r="BV12" s="86"/>
      <c r="BX12">
        <f t="shared" si="16"/>
        <v>0</v>
      </c>
      <c r="CB12" s="91" t="s">
        <v>246</v>
      </c>
      <c r="CC12" s="179">
        <v>3000</v>
      </c>
      <c r="CD12" s="179">
        <v>3000</v>
      </c>
      <c r="CE12" s="179">
        <v>3000</v>
      </c>
      <c r="CF12" s="179">
        <v>3000</v>
      </c>
      <c r="CG12" s="179">
        <v>3000</v>
      </c>
      <c r="CH12" s="179">
        <v>3000</v>
      </c>
      <c r="CI12" s="179">
        <v>3000</v>
      </c>
      <c r="CJ12" s="179">
        <v>3000</v>
      </c>
      <c r="CK12" s="179">
        <v>3000</v>
      </c>
      <c r="CL12" s="179">
        <v>3000</v>
      </c>
      <c r="CM12" s="179">
        <v>3000</v>
      </c>
      <c r="CN12" s="179">
        <v>3000</v>
      </c>
      <c r="CO12" s="179">
        <v>36000</v>
      </c>
      <c r="CS12" s="136" t="str">
        <f t="shared" si="18"/>
        <v>2019-2020</v>
      </c>
      <c r="CT12" s="86">
        <f t="shared" si="21"/>
        <v>0</v>
      </c>
      <c r="CU12" s="86">
        <f t="shared" si="19"/>
        <v>0</v>
      </c>
      <c r="CV12" s="86">
        <f t="shared" si="19"/>
        <v>0</v>
      </c>
      <c r="CW12" s="86">
        <f t="shared" si="19"/>
        <v>0</v>
      </c>
      <c r="CX12" s="86">
        <f t="shared" si="19"/>
        <v>0</v>
      </c>
      <c r="CY12" s="86">
        <f t="shared" si="19"/>
        <v>0</v>
      </c>
      <c r="CZ12" s="86">
        <f t="shared" si="19"/>
        <v>0</v>
      </c>
      <c r="DA12" s="86">
        <f t="shared" si="19"/>
        <v>0</v>
      </c>
      <c r="DB12" s="86">
        <f t="shared" si="19"/>
        <v>0</v>
      </c>
      <c r="DC12" s="86">
        <f t="shared" si="19"/>
        <v>0</v>
      </c>
      <c r="DD12" s="86">
        <f t="shared" si="19"/>
        <v>0</v>
      </c>
      <c r="DE12" s="86">
        <f t="shared" si="19"/>
        <v>0</v>
      </c>
      <c r="DF12" s="136">
        <f t="shared" si="19"/>
        <v>0</v>
      </c>
      <c r="DI12" s="136">
        <f t="shared" si="20"/>
        <v>0</v>
      </c>
    </row>
    <row r="13" spans="1:113" ht="15.75" thickBot="1" x14ac:dyDescent="0.3">
      <c r="A13" t="s">
        <v>23</v>
      </c>
      <c r="B13" s="127">
        <v>42675</v>
      </c>
      <c r="C13">
        <v>201612</v>
      </c>
      <c r="D13" t="s">
        <v>541</v>
      </c>
      <c r="E13">
        <v>1100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1100</v>
      </c>
      <c r="M13">
        <v>0</v>
      </c>
      <c r="N13">
        <v>0</v>
      </c>
      <c r="O13">
        <v>0</v>
      </c>
      <c r="P13" s="187" t="s">
        <v>501</v>
      </c>
      <c r="Q13" s="1">
        <f>IF(Table2[[#This Row],[Check Status with ga 55]]="ok",0,1)</f>
        <v>0</v>
      </c>
      <c r="R13" s="128" t="str">
        <f t="shared" si="0"/>
        <v>Dec-16</v>
      </c>
      <c r="S13" s="128" t="str">
        <f t="shared" si="1"/>
        <v>Dec</v>
      </c>
      <c r="T13" s="128" t="str">
        <f t="shared" si="2"/>
        <v>16</v>
      </c>
      <c r="U13" s="181">
        <f>Table2[[#This Row],[Total Premium]]+Table2[[#This Row],[Loan]]</f>
        <v>1100</v>
      </c>
      <c r="W13" s="321">
        <v>9</v>
      </c>
      <c r="X13" s="322" t="s">
        <v>24</v>
      </c>
      <c r="Y13" s="323">
        <v>2650</v>
      </c>
      <c r="Z13" s="323">
        <v>2650</v>
      </c>
      <c r="AA13" s="323">
        <v>2650</v>
      </c>
      <c r="AB13" s="323">
        <v>2650</v>
      </c>
      <c r="AC13" s="323">
        <v>2650</v>
      </c>
      <c r="AD13" s="323">
        <v>2650</v>
      </c>
      <c r="AE13" s="323">
        <v>2650</v>
      </c>
      <c r="AF13" s="323">
        <v>2650</v>
      </c>
      <c r="AG13" s="323">
        <v>2650</v>
      </c>
      <c r="AH13" s="323">
        <v>2650</v>
      </c>
      <c r="AI13" s="323">
        <v>2650</v>
      </c>
      <c r="AJ13" s="323">
        <v>2650</v>
      </c>
      <c r="AK13" s="323">
        <v>31800</v>
      </c>
      <c r="AL13" s="323">
        <v>0</v>
      </c>
      <c r="AM13" s="323">
        <v>0</v>
      </c>
      <c r="AN13" s="323">
        <v>0</v>
      </c>
      <c r="AP13" s="91" t="s">
        <v>24</v>
      </c>
      <c r="AQ13" s="179">
        <v>2650</v>
      </c>
      <c r="AR13" s="179">
        <v>2650</v>
      </c>
      <c r="AS13" s="179">
        <v>2650</v>
      </c>
      <c r="AT13" s="179">
        <v>2650</v>
      </c>
      <c r="AU13" s="179">
        <v>2650</v>
      </c>
      <c r="AV13" s="179">
        <v>2650</v>
      </c>
      <c r="AW13" s="179">
        <v>2650</v>
      </c>
      <c r="AX13" s="179">
        <v>2650</v>
      </c>
      <c r="AY13" s="179">
        <v>2650</v>
      </c>
      <c r="AZ13" s="179">
        <v>2650</v>
      </c>
      <c r="BA13" s="179">
        <v>2650</v>
      </c>
      <c r="BB13" s="179">
        <v>2650</v>
      </c>
      <c r="BC13" s="179">
        <v>31800</v>
      </c>
      <c r="BF13" s="86">
        <f>IFERROR(Table5[[#This Row],[Sr No.]],"")</f>
        <v>9</v>
      </c>
      <c r="BG13" s="86" t="str">
        <f>IFERROR(Table5[[#This Row],[Financial Year]],"")</f>
        <v>2017-2018</v>
      </c>
      <c r="BH13" s="86">
        <f t="shared" si="3"/>
        <v>0</v>
      </c>
      <c r="BI13" s="86">
        <f t="shared" si="4"/>
        <v>0</v>
      </c>
      <c r="BJ13" s="86">
        <f t="shared" si="5"/>
        <v>0</v>
      </c>
      <c r="BK13" s="86">
        <f t="shared" si="6"/>
        <v>0</v>
      </c>
      <c r="BL13" s="86">
        <f t="shared" si="7"/>
        <v>0</v>
      </c>
      <c r="BM13" s="86">
        <f t="shared" si="8"/>
        <v>0</v>
      </c>
      <c r="BN13" s="86">
        <f t="shared" si="9"/>
        <v>0</v>
      </c>
      <c r="BO13" s="86">
        <f t="shared" si="10"/>
        <v>0</v>
      </c>
      <c r="BP13" s="86">
        <f t="shared" si="11"/>
        <v>0</v>
      </c>
      <c r="BQ13" s="86">
        <f t="shared" si="12"/>
        <v>0</v>
      </c>
      <c r="BR13" s="86">
        <f t="shared" si="13"/>
        <v>0</v>
      </c>
      <c r="BS13" s="86">
        <f t="shared" si="14"/>
        <v>0</v>
      </c>
      <c r="BT13" s="86">
        <f t="shared" si="15"/>
        <v>0</v>
      </c>
      <c r="BU13" s="86"/>
      <c r="BV13" s="86"/>
      <c r="BX13">
        <f t="shared" si="16"/>
        <v>0</v>
      </c>
      <c r="CB13" s="91" t="s">
        <v>192</v>
      </c>
      <c r="CC13" s="179">
        <v>3000</v>
      </c>
      <c r="CD13" s="179">
        <v>6000</v>
      </c>
      <c r="CE13" s="179">
        <v>3000</v>
      </c>
      <c r="CF13" s="179">
        <v>3000</v>
      </c>
      <c r="CG13" s="179">
        <v>3000</v>
      </c>
      <c r="CH13" s="179">
        <v>3000</v>
      </c>
      <c r="CI13" s="179">
        <v>3000</v>
      </c>
      <c r="CJ13" s="179">
        <v>3000</v>
      </c>
      <c r="CK13" s="179">
        <v>3000</v>
      </c>
      <c r="CL13" s="179">
        <v>3000</v>
      </c>
      <c r="CM13" s="179">
        <v>3000</v>
      </c>
      <c r="CN13" s="179"/>
      <c r="CO13" s="179">
        <v>36000</v>
      </c>
      <c r="CS13" s="136" t="str">
        <f t="shared" si="18"/>
        <v>2018-2019</v>
      </c>
      <c r="CT13" s="86">
        <f t="shared" ref="CT13:CT15" si="22">CC13-AQ12</f>
        <v>0</v>
      </c>
      <c r="CU13" s="86">
        <f t="shared" ref="CU13:CU15" si="23">CD13-AR12</f>
        <v>0</v>
      </c>
      <c r="CV13" s="86">
        <f t="shared" ref="CV13:CV15" si="24">CE13-AS12</f>
        <v>0</v>
      </c>
      <c r="CW13" s="86">
        <f t="shared" ref="CW13:CW15" si="25">CF13-AT12</f>
        <v>0</v>
      </c>
      <c r="CX13" s="86">
        <f t="shared" ref="CX13:CX15" si="26">CG13-AU12</f>
        <v>0</v>
      </c>
      <c r="CY13" s="86">
        <f t="shared" ref="CY13:CY15" si="27">CH13-AV12</f>
        <v>0</v>
      </c>
      <c r="CZ13" s="86">
        <f t="shared" ref="CZ13:CZ15" si="28">CI13-AW12</f>
        <v>0</v>
      </c>
      <c r="DA13" s="86">
        <f t="shared" ref="DA13:DA15" si="29">CJ13-AX12</f>
        <v>0</v>
      </c>
      <c r="DB13" s="86">
        <f t="shared" ref="DB13:DB15" si="30">CK13-AY12</f>
        <v>0</v>
      </c>
      <c r="DC13" s="86">
        <f t="shared" ref="DC13:DC15" si="31">CL13-AZ12</f>
        <v>0</v>
      </c>
      <c r="DD13" s="86">
        <f t="shared" ref="DD13:DD15" si="32">CM13-BA12</f>
        <v>0</v>
      </c>
      <c r="DE13" s="86">
        <f t="shared" ref="DE13:DE15" si="33">CN13-BB12</f>
        <v>0</v>
      </c>
      <c r="DF13" s="136">
        <f t="shared" ref="DF13:DF15" si="34">CO13-BC12</f>
        <v>0</v>
      </c>
      <c r="DI13" s="136">
        <f t="shared" si="20"/>
        <v>0</v>
      </c>
    </row>
    <row r="14" spans="1:113" ht="15.75" customHeight="1" thickBot="1" x14ac:dyDescent="0.3">
      <c r="A14" t="s">
        <v>23</v>
      </c>
      <c r="B14" s="127">
        <v>42705</v>
      </c>
      <c r="C14">
        <v>201701</v>
      </c>
      <c r="D14" t="s">
        <v>541</v>
      </c>
      <c r="E14">
        <v>1100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1100</v>
      </c>
      <c r="M14">
        <v>0</v>
      </c>
      <c r="N14">
        <v>0</v>
      </c>
      <c r="O14">
        <v>0</v>
      </c>
      <c r="P14" s="187" t="s">
        <v>501</v>
      </c>
      <c r="Q14" s="1">
        <f>IF(Table2[[#This Row],[Check Status with ga 55]]="ok",0,1)</f>
        <v>0</v>
      </c>
      <c r="R14" s="128" t="str">
        <f t="shared" si="0"/>
        <v>Jan-17</v>
      </c>
      <c r="S14" s="128" t="str">
        <f t="shared" si="1"/>
        <v>Jan</v>
      </c>
      <c r="T14" s="128" t="str">
        <f t="shared" si="2"/>
        <v>17</v>
      </c>
      <c r="U14" s="181">
        <f>Table2[[#This Row],[Total Premium]]+Table2[[#This Row],[Loan]]</f>
        <v>1100</v>
      </c>
      <c r="W14" s="321">
        <v>10</v>
      </c>
      <c r="X14" s="322" t="s">
        <v>23</v>
      </c>
      <c r="Y14" s="323">
        <v>1100</v>
      </c>
      <c r="Z14" s="323">
        <v>1100</v>
      </c>
      <c r="AA14" s="323">
        <v>1100</v>
      </c>
      <c r="AB14" s="323">
        <v>1100</v>
      </c>
      <c r="AC14" s="323">
        <v>1100</v>
      </c>
      <c r="AD14" s="323">
        <v>1100</v>
      </c>
      <c r="AE14" s="323">
        <v>2200</v>
      </c>
      <c r="AF14" s="323">
        <v>0</v>
      </c>
      <c r="AG14" s="323">
        <v>1100</v>
      </c>
      <c r="AH14" s="323">
        <v>1100</v>
      </c>
      <c r="AI14" s="323">
        <v>1100</v>
      </c>
      <c r="AJ14" s="323">
        <v>1100</v>
      </c>
      <c r="AK14" s="323">
        <v>13200</v>
      </c>
      <c r="AL14" s="323">
        <v>0</v>
      </c>
      <c r="AM14" s="323">
        <v>0</v>
      </c>
      <c r="AN14" s="323">
        <v>0</v>
      </c>
      <c r="AP14" s="91" t="s">
        <v>23</v>
      </c>
      <c r="AQ14" s="179">
        <v>1100</v>
      </c>
      <c r="AR14" s="179">
        <v>1100</v>
      </c>
      <c r="AS14" s="179">
        <v>1100</v>
      </c>
      <c r="AT14" s="179">
        <v>1100</v>
      </c>
      <c r="AU14" s="179">
        <v>1100</v>
      </c>
      <c r="AV14" s="179">
        <v>1100</v>
      </c>
      <c r="AW14" s="179">
        <v>1100</v>
      </c>
      <c r="AX14" s="179">
        <v>1100</v>
      </c>
      <c r="AY14" s="179">
        <v>1100</v>
      </c>
      <c r="AZ14" s="179">
        <v>2200</v>
      </c>
      <c r="BA14" s="179"/>
      <c r="BB14" s="179">
        <v>1100</v>
      </c>
      <c r="BC14" s="179">
        <v>13200</v>
      </c>
      <c r="BF14" s="86">
        <f>IFERROR(Table5[[#This Row],[Sr No.]],"")</f>
        <v>10</v>
      </c>
      <c r="BG14" s="86" t="str">
        <f>IFERROR(Table5[[#This Row],[Financial Year]],"")</f>
        <v>2016-2017</v>
      </c>
      <c r="BH14" s="86">
        <f t="shared" si="3"/>
        <v>0</v>
      </c>
      <c r="BI14" s="86">
        <f t="shared" si="4"/>
        <v>0</v>
      </c>
      <c r="BJ14" s="86">
        <f t="shared" si="5"/>
        <v>0</v>
      </c>
      <c r="BK14" s="86">
        <f t="shared" si="6"/>
        <v>0</v>
      </c>
      <c r="BL14" s="86">
        <f t="shared" si="7"/>
        <v>0</v>
      </c>
      <c r="BM14" s="86">
        <f t="shared" si="8"/>
        <v>0</v>
      </c>
      <c r="BN14" s="86">
        <f t="shared" si="9"/>
        <v>0</v>
      </c>
      <c r="BO14" s="86">
        <f t="shared" si="10"/>
        <v>0</v>
      </c>
      <c r="BP14" s="86">
        <f t="shared" si="11"/>
        <v>0</v>
      </c>
      <c r="BQ14" s="86">
        <f t="shared" si="12"/>
        <v>0</v>
      </c>
      <c r="BR14" s="86">
        <f t="shared" si="13"/>
        <v>0</v>
      </c>
      <c r="BS14" s="86">
        <f t="shared" si="14"/>
        <v>0</v>
      </c>
      <c r="BT14" s="86">
        <f t="shared" si="15"/>
        <v>0</v>
      </c>
      <c r="BU14" s="86"/>
      <c r="BV14" s="86"/>
      <c r="BX14">
        <f t="shared" si="16"/>
        <v>0</v>
      </c>
      <c r="CB14" s="91" t="s">
        <v>24</v>
      </c>
      <c r="CC14" s="179">
        <v>2650</v>
      </c>
      <c r="CD14" s="179">
        <v>2650</v>
      </c>
      <c r="CE14" s="179">
        <v>2650</v>
      </c>
      <c r="CF14" s="179">
        <v>2650</v>
      </c>
      <c r="CG14" s="179">
        <v>2650</v>
      </c>
      <c r="CH14" s="179">
        <v>2650</v>
      </c>
      <c r="CI14" s="179">
        <v>2650</v>
      </c>
      <c r="CJ14" s="179">
        <v>2650</v>
      </c>
      <c r="CK14" s="179">
        <v>2650</v>
      </c>
      <c r="CL14" s="179">
        <v>2650</v>
      </c>
      <c r="CM14" s="179">
        <v>2650</v>
      </c>
      <c r="CN14" s="179">
        <v>2650</v>
      </c>
      <c r="CO14" s="179">
        <v>31800</v>
      </c>
      <c r="CS14" s="136" t="str">
        <f t="shared" si="18"/>
        <v>2017-2018</v>
      </c>
      <c r="CT14" s="86">
        <f t="shared" si="22"/>
        <v>0</v>
      </c>
      <c r="CU14" s="86">
        <f t="shared" si="23"/>
        <v>0</v>
      </c>
      <c r="CV14" s="86">
        <f t="shared" si="24"/>
        <v>0</v>
      </c>
      <c r="CW14" s="86">
        <f t="shared" si="25"/>
        <v>0</v>
      </c>
      <c r="CX14" s="86">
        <f t="shared" si="26"/>
        <v>0</v>
      </c>
      <c r="CY14" s="86">
        <f t="shared" si="27"/>
        <v>0</v>
      </c>
      <c r="CZ14" s="86">
        <f t="shared" si="28"/>
        <v>0</v>
      </c>
      <c r="DA14" s="86">
        <f t="shared" si="29"/>
        <v>0</v>
      </c>
      <c r="DB14" s="86">
        <f t="shared" si="30"/>
        <v>0</v>
      </c>
      <c r="DC14" s="86">
        <f t="shared" si="31"/>
        <v>0</v>
      </c>
      <c r="DD14" s="86">
        <f t="shared" si="32"/>
        <v>0</v>
      </c>
      <c r="DE14" s="86">
        <f t="shared" si="33"/>
        <v>0</v>
      </c>
      <c r="DF14" s="136">
        <f t="shared" si="34"/>
        <v>0</v>
      </c>
      <c r="DI14" s="136">
        <f t="shared" si="20"/>
        <v>0</v>
      </c>
    </row>
    <row r="15" spans="1:113" x14ac:dyDescent="0.25">
      <c r="A15" t="s">
        <v>23</v>
      </c>
      <c r="B15" s="127">
        <v>42736</v>
      </c>
      <c r="C15">
        <v>201702</v>
      </c>
      <c r="D15" t="s">
        <v>541</v>
      </c>
      <c r="E15">
        <v>1100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1100</v>
      </c>
      <c r="M15">
        <v>0</v>
      </c>
      <c r="N15">
        <v>0</v>
      </c>
      <c r="O15">
        <v>0</v>
      </c>
      <c r="P15" s="187" t="s">
        <v>501</v>
      </c>
      <c r="Q15" s="1">
        <f>IF(Table2[[#This Row],[Check Status with ga 55]]="ok",0,1)</f>
        <v>0</v>
      </c>
      <c r="R15" s="128" t="str">
        <f t="shared" si="0"/>
        <v>Feb-17</v>
      </c>
      <c r="S15" s="128" t="str">
        <f t="shared" si="1"/>
        <v>Feb</v>
      </c>
      <c r="T15" s="128" t="str">
        <f t="shared" si="2"/>
        <v>17</v>
      </c>
      <c r="U15" s="181">
        <f>Table2[[#This Row],[Total Premium]]+Table2[[#This Row],[Loan]]</f>
        <v>1100</v>
      </c>
      <c r="Y15">
        <f>SUM(Y5:Y14)</f>
        <v>34750</v>
      </c>
      <c r="Z15">
        <f t="shared" ref="Z15:AN15" si="35">SUM(Z5:Z14)</f>
        <v>39750</v>
      </c>
      <c r="AA15">
        <f t="shared" si="35"/>
        <v>44750</v>
      </c>
      <c r="AB15">
        <f t="shared" si="35"/>
        <v>46992</v>
      </c>
      <c r="AC15">
        <f t="shared" si="35"/>
        <v>46992</v>
      </c>
      <c r="AD15">
        <f t="shared" si="35"/>
        <v>46992</v>
      </c>
      <c r="AE15">
        <f t="shared" si="35"/>
        <v>53092</v>
      </c>
      <c r="AF15">
        <f t="shared" si="35"/>
        <v>40892</v>
      </c>
      <c r="AG15">
        <f t="shared" si="35"/>
        <v>43992</v>
      </c>
      <c r="AH15">
        <f t="shared" si="35"/>
        <v>46992</v>
      </c>
      <c r="AI15">
        <f t="shared" si="35"/>
        <v>49992</v>
      </c>
      <c r="AJ15">
        <f t="shared" si="35"/>
        <v>46992</v>
      </c>
      <c r="AK15">
        <f t="shared" si="35"/>
        <v>542178</v>
      </c>
      <c r="AL15">
        <f t="shared" si="35"/>
        <v>434500</v>
      </c>
      <c r="AM15">
        <f t="shared" si="35"/>
        <v>0</v>
      </c>
      <c r="AN15">
        <f t="shared" si="35"/>
        <v>0</v>
      </c>
      <c r="AP15" s="91" t="s">
        <v>432</v>
      </c>
      <c r="AQ15" s="179">
        <v>46992</v>
      </c>
      <c r="AR15" s="179">
        <v>49992</v>
      </c>
      <c r="AS15" s="179">
        <v>46992</v>
      </c>
      <c r="AT15" s="179">
        <v>34750</v>
      </c>
      <c r="AU15" s="179">
        <v>474250</v>
      </c>
      <c r="AV15" s="179">
        <v>44750</v>
      </c>
      <c r="AW15" s="179">
        <v>46992</v>
      </c>
      <c r="AX15" s="179">
        <v>46992</v>
      </c>
      <c r="AY15" s="179">
        <v>46992</v>
      </c>
      <c r="AZ15" s="179">
        <v>53092</v>
      </c>
      <c r="BA15" s="179">
        <v>40892</v>
      </c>
      <c r="BB15" s="179">
        <v>43992</v>
      </c>
      <c r="BC15" s="179">
        <v>976678</v>
      </c>
      <c r="BF15" s="86" t="str">
        <f>IFERROR(Table5[[#This Row],[Sr No.]],"")</f>
        <v/>
      </c>
      <c r="BG15" s="86" t="str">
        <f>IFERROR(Table5[[#This Row],[Financial Year]],"")</f>
        <v/>
      </c>
      <c r="BH15" s="86">
        <f t="shared" ref="BH15:BP16" si="36">Y15-AT15</f>
        <v>0</v>
      </c>
      <c r="BI15" s="86">
        <f t="shared" si="36"/>
        <v>-434500</v>
      </c>
      <c r="BJ15" s="86">
        <f t="shared" si="36"/>
        <v>0</v>
      </c>
      <c r="BK15" s="86">
        <f t="shared" si="36"/>
        <v>0</v>
      </c>
      <c r="BL15" s="86">
        <f t="shared" si="36"/>
        <v>0</v>
      </c>
      <c r="BM15" s="86">
        <f t="shared" si="36"/>
        <v>0</v>
      </c>
      <c r="BN15" s="86">
        <f t="shared" si="36"/>
        <v>0</v>
      </c>
      <c r="BO15" s="86">
        <f t="shared" si="36"/>
        <v>0</v>
      </c>
      <c r="BP15" s="86">
        <f t="shared" si="36"/>
        <v>0</v>
      </c>
      <c r="BQ15" s="86">
        <f t="shared" ref="BQ15:BS16" si="37">AH15-AQ15</f>
        <v>0</v>
      </c>
      <c r="BR15" s="86">
        <f t="shared" si="37"/>
        <v>0</v>
      </c>
      <c r="BS15" s="86">
        <f t="shared" si="37"/>
        <v>0</v>
      </c>
      <c r="BT15" s="86">
        <f t="shared" si="15"/>
        <v>-434500</v>
      </c>
      <c r="BU15" s="86"/>
      <c r="BV15" s="86"/>
      <c r="BX15">
        <f t="shared" si="16"/>
        <v>2</v>
      </c>
      <c r="CB15" s="91" t="s">
        <v>23</v>
      </c>
      <c r="CC15" s="179">
        <v>1100</v>
      </c>
      <c r="CD15" s="179">
        <v>1100</v>
      </c>
      <c r="CE15" s="179">
        <v>1100</v>
      </c>
      <c r="CF15" s="179">
        <v>1100</v>
      </c>
      <c r="CG15" s="179">
        <v>1100</v>
      </c>
      <c r="CH15" s="179">
        <v>1100</v>
      </c>
      <c r="CI15" s="179">
        <v>1100</v>
      </c>
      <c r="CJ15" s="179">
        <v>1100</v>
      </c>
      <c r="CK15" s="179">
        <v>1100</v>
      </c>
      <c r="CL15" s="179">
        <v>2200</v>
      </c>
      <c r="CM15" s="179"/>
      <c r="CN15" s="179">
        <v>1100</v>
      </c>
      <c r="CO15" s="179">
        <v>13200</v>
      </c>
      <c r="CS15" s="136" t="str">
        <f t="shared" si="18"/>
        <v>2016-2017</v>
      </c>
      <c r="CT15" s="86">
        <f t="shared" si="22"/>
        <v>0</v>
      </c>
      <c r="CU15" s="86">
        <f t="shared" si="23"/>
        <v>0</v>
      </c>
      <c r="CV15" s="86">
        <f t="shared" si="24"/>
        <v>0</v>
      </c>
      <c r="CW15" s="86">
        <f t="shared" si="25"/>
        <v>0</v>
      </c>
      <c r="CX15" s="86">
        <f t="shared" si="26"/>
        <v>0</v>
      </c>
      <c r="CY15" s="86">
        <f t="shared" si="27"/>
        <v>0</v>
      </c>
      <c r="CZ15" s="86">
        <f t="shared" si="28"/>
        <v>0</v>
      </c>
      <c r="DA15" s="86">
        <f t="shared" si="29"/>
        <v>0</v>
      </c>
      <c r="DB15" s="86">
        <f t="shared" si="30"/>
        <v>0</v>
      </c>
      <c r="DC15" s="86">
        <f t="shared" si="31"/>
        <v>0</v>
      </c>
      <c r="DD15" s="86">
        <f t="shared" si="32"/>
        <v>0</v>
      </c>
      <c r="DE15" s="86">
        <f t="shared" si="33"/>
        <v>0</v>
      </c>
      <c r="DF15" s="136">
        <f t="shared" si="34"/>
        <v>0</v>
      </c>
      <c r="DI15" s="136">
        <f t="shared" si="20"/>
        <v>0</v>
      </c>
    </row>
    <row r="16" spans="1:113" x14ac:dyDescent="0.25">
      <c r="A16" t="s">
        <v>23</v>
      </c>
      <c r="B16" s="127">
        <v>42767</v>
      </c>
      <c r="C16">
        <v>201703</v>
      </c>
      <c r="D16" t="s">
        <v>541</v>
      </c>
      <c r="E16">
        <v>1100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1100</v>
      </c>
      <c r="M16">
        <v>0</v>
      </c>
      <c r="N16">
        <v>0</v>
      </c>
      <c r="O16">
        <v>0</v>
      </c>
      <c r="P16" s="187" t="s">
        <v>501</v>
      </c>
      <c r="Q16" s="1">
        <f>IF(Table2[[#This Row],[Check Status with ga 55]]="ok",0,1)</f>
        <v>0</v>
      </c>
      <c r="R16" s="128" t="str">
        <f t="shared" si="0"/>
        <v>Mar-17</v>
      </c>
      <c r="S16" s="128" t="str">
        <f t="shared" si="1"/>
        <v>Mar</v>
      </c>
      <c r="T16" s="128" t="str">
        <f t="shared" si="2"/>
        <v>17</v>
      </c>
      <c r="U16" s="181">
        <f>Table2[[#This Row],[Total Premium]]+Table2[[#This Row],[Loan]]</f>
        <v>1100</v>
      </c>
      <c r="BF16" s="86" t="str">
        <f>IFERROR(Table5[[#This Row],[Sr No.]],"")</f>
        <v/>
      </c>
      <c r="BG16" s="86" t="str">
        <f>IFERROR(Table5[[#This Row],[Financial Year]],"")</f>
        <v/>
      </c>
      <c r="BH16" s="86">
        <f t="shared" si="36"/>
        <v>0</v>
      </c>
      <c r="BI16" s="86">
        <f t="shared" si="36"/>
        <v>0</v>
      </c>
      <c r="BJ16" s="86">
        <f t="shared" si="36"/>
        <v>0</v>
      </c>
      <c r="BK16" s="86">
        <f t="shared" si="36"/>
        <v>0</v>
      </c>
      <c r="BL16" s="86">
        <f t="shared" si="36"/>
        <v>0</v>
      </c>
      <c r="BM16" s="86">
        <f t="shared" si="36"/>
        <v>0</v>
      </c>
      <c r="BN16" s="86">
        <f t="shared" si="36"/>
        <v>0</v>
      </c>
      <c r="BO16" s="86">
        <f t="shared" si="36"/>
        <v>0</v>
      </c>
      <c r="BP16" s="86">
        <f t="shared" si="36"/>
        <v>0</v>
      </c>
      <c r="BQ16" s="86">
        <f t="shared" si="37"/>
        <v>0</v>
      </c>
      <c r="BR16" s="86">
        <f t="shared" si="37"/>
        <v>0</v>
      </c>
      <c r="BS16" s="86">
        <f t="shared" si="37"/>
        <v>0</v>
      </c>
      <c r="BT16" s="86">
        <f t="shared" si="15"/>
        <v>0</v>
      </c>
      <c r="BU16" s="86"/>
      <c r="BV16" s="86"/>
      <c r="BX16">
        <f t="shared" si="16"/>
        <v>0</v>
      </c>
      <c r="CB16" s="182" t="s">
        <v>432</v>
      </c>
      <c r="CC16" s="181">
        <v>46992</v>
      </c>
      <c r="CD16" s="181">
        <v>49992</v>
      </c>
      <c r="CE16" s="181">
        <v>46992</v>
      </c>
      <c r="CF16" s="181">
        <v>34750</v>
      </c>
      <c r="CG16" s="181">
        <v>474250</v>
      </c>
      <c r="CH16" s="181">
        <v>44750</v>
      </c>
      <c r="CI16" s="181">
        <v>46992</v>
      </c>
      <c r="CJ16" s="181">
        <v>46992</v>
      </c>
      <c r="CK16" s="181">
        <v>46992</v>
      </c>
      <c r="CL16" s="181">
        <v>53092</v>
      </c>
      <c r="CM16" s="181">
        <v>40892</v>
      </c>
      <c r="CN16" s="181">
        <v>43992</v>
      </c>
      <c r="CO16" s="181">
        <v>976678</v>
      </c>
    </row>
    <row r="17" spans="1:40" x14ac:dyDescent="0.25">
      <c r="A17" t="s">
        <v>24</v>
      </c>
      <c r="B17" s="127">
        <v>42795</v>
      </c>
      <c r="C17">
        <v>201704</v>
      </c>
      <c r="D17" t="s">
        <v>541</v>
      </c>
      <c r="E17">
        <v>2650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2650</v>
      </c>
      <c r="M17">
        <v>0</v>
      </c>
      <c r="N17">
        <v>0</v>
      </c>
      <c r="O17">
        <v>0</v>
      </c>
      <c r="P17" s="187" t="s">
        <v>501</v>
      </c>
      <c r="Q17" s="1">
        <f>IF(Table2[[#This Row],[Check Status with ga 55]]="ok",0,1)</f>
        <v>0</v>
      </c>
      <c r="R17" s="128" t="str">
        <f t="shared" ref="R17:R36" si="38">IFERROR(CONCATENATE(TEXT(RIGHT(C17,2)*29,"mmm"),"-",RIGHT(LEFT(C17,4),2)),"")</f>
        <v>Apr-17</v>
      </c>
      <c r="S17" s="128" t="str">
        <f t="shared" ref="S17:S36" si="39">IFERROR((TEXT(RIGHT(C17,2)*29,"mmm")),"")</f>
        <v>Apr</v>
      </c>
      <c r="T17" s="128" t="str">
        <f t="shared" ref="T17:T36" si="40">IFERROR(RIGHT(LEFT(C17,4),2),"")</f>
        <v>17</v>
      </c>
      <c r="U17" s="181">
        <f>Table2[[#This Row],[Total Premium]]+Table2[[#This Row],[Loan]]</f>
        <v>2650</v>
      </c>
      <c r="W17" s="324"/>
      <c r="X17" s="324"/>
      <c r="Y17" s="325"/>
      <c r="Z17" s="325"/>
      <c r="AA17" s="325"/>
      <c r="AB17" s="325"/>
      <c r="AC17" s="325"/>
      <c r="AD17" s="325"/>
      <c r="AE17" s="325"/>
      <c r="AF17" s="325"/>
      <c r="AG17" s="325"/>
      <c r="AH17" s="325"/>
      <c r="AI17" s="325"/>
      <c r="AJ17" s="325"/>
      <c r="AK17" s="325"/>
      <c r="AL17" s="325"/>
      <c r="AM17" s="325"/>
      <c r="AN17" s="325"/>
    </row>
    <row r="18" spans="1:40" x14ac:dyDescent="0.25">
      <c r="A18" t="s">
        <v>24</v>
      </c>
      <c r="B18" s="127">
        <v>42826</v>
      </c>
      <c r="C18">
        <v>201705</v>
      </c>
      <c r="D18" t="s">
        <v>541</v>
      </c>
      <c r="E18">
        <v>2650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2650</v>
      </c>
      <c r="M18">
        <v>0</v>
      </c>
      <c r="N18">
        <v>0</v>
      </c>
      <c r="O18">
        <v>0</v>
      </c>
      <c r="P18" s="187" t="s">
        <v>501</v>
      </c>
      <c r="Q18" s="1">
        <f>IF(Table2[[#This Row],[Check Status with ga 55]]="ok",0,1)</f>
        <v>0</v>
      </c>
      <c r="R18" s="128" t="str">
        <f t="shared" si="38"/>
        <v>May-17</v>
      </c>
      <c r="S18" s="128" t="str">
        <f t="shared" si="39"/>
        <v>May</v>
      </c>
      <c r="T18" s="128" t="str">
        <f t="shared" si="40"/>
        <v>17</v>
      </c>
      <c r="U18" s="181">
        <f>Table2[[#This Row],[Total Premium]]+Table2[[#This Row],[Loan]]</f>
        <v>2650</v>
      </c>
      <c r="W18" s="326"/>
      <c r="X18" s="327"/>
      <c r="Y18" s="328"/>
      <c r="Z18" s="328"/>
      <c r="AA18" s="328"/>
      <c r="AB18" s="328"/>
      <c r="AC18" s="328"/>
      <c r="AD18" s="328"/>
      <c r="AE18" s="328"/>
      <c r="AF18" s="328"/>
      <c r="AG18" s="328"/>
      <c r="AH18" s="328"/>
      <c r="AI18" s="328"/>
      <c r="AJ18" s="328"/>
      <c r="AK18" s="328"/>
      <c r="AL18" s="328"/>
      <c r="AM18" s="328"/>
      <c r="AN18" s="328"/>
    </row>
    <row r="19" spans="1:40" x14ac:dyDescent="0.25">
      <c r="A19" t="s">
        <v>24</v>
      </c>
      <c r="B19" s="127">
        <v>42856</v>
      </c>
      <c r="C19">
        <v>201706</v>
      </c>
      <c r="D19" t="s">
        <v>541</v>
      </c>
      <c r="E19">
        <v>2650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2650</v>
      </c>
      <c r="M19">
        <v>0</v>
      </c>
      <c r="N19">
        <v>0</v>
      </c>
      <c r="O19">
        <v>0</v>
      </c>
      <c r="P19" s="187" t="s">
        <v>501</v>
      </c>
      <c r="Q19" s="1">
        <f>IF(Table2[[#This Row],[Check Status with ga 55]]="ok",0,1)</f>
        <v>0</v>
      </c>
      <c r="R19" s="128" t="str">
        <f t="shared" si="38"/>
        <v>Jun-17</v>
      </c>
      <c r="S19" s="128" t="str">
        <f t="shared" si="39"/>
        <v>Jun</v>
      </c>
      <c r="T19" s="128" t="str">
        <f t="shared" si="40"/>
        <v>17</v>
      </c>
      <c r="U19" s="181">
        <f>Table2[[#This Row],[Total Premium]]+Table2[[#This Row],[Loan]]</f>
        <v>2650</v>
      </c>
      <c r="W19" s="326"/>
      <c r="X19" s="327"/>
      <c r="Y19" s="328"/>
      <c r="Z19" s="328"/>
      <c r="AA19" s="328"/>
      <c r="AB19" s="328"/>
      <c r="AC19" s="328"/>
      <c r="AD19" s="328"/>
      <c r="AE19" s="328"/>
      <c r="AF19" s="328"/>
      <c r="AG19" s="328"/>
      <c r="AH19" s="328"/>
      <c r="AI19" s="328"/>
      <c r="AJ19" s="328"/>
      <c r="AK19" s="328"/>
      <c r="AL19" s="328"/>
      <c r="AM19" s="328"/>
      <c r="AN19" s="328"/>
    </row>
    <row r="20" spans="1:40" x14ac:dyDescent="0.25">
      <c r="A20" t="s">
        <v>24</v>
      </c>
      <c r="B20" s="127">
        <v>42887</v>
      </c>
      <c r="C20">
        <v>201707</v>
      </c>
      <c r="D20" t="s">
        <v>541</v>
      </c>
      <c r="E20">
        <v>2650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2650</v>
      </c>
      <c r="M20">
        <v>0</v>
      </c>
      <c r="N20">
        <v>0</v>
      </c>
      <c r="O20">
        <v>0</v>
      </c>
      <c r="P20" s="187" t="s">
        <v>501</v>
      </c>
      <c r="Q20" s="1">
        <f>IF(Table2[[#This Row],[Check Status with ga 55]]="ok",0,1)</f>
        <v>0</v>
      </c>
      <c r="R20" s="128" t="str">
        <f t="shared" si="38"/>
        <v>Jul-17</v>
      </c>
      <c r="S20" s="128" t="str">
        <f t="shared" si="39"/>
        <v>Jul</v>
      </c>
      <c r="T20" s="128" t="str">
        <f t="shared" si="40"/>
        <v>17</v>
      </c>
      <c r="U20" s="181">
        <f>Table2[[#This Row],[Total Premium]]+Table2[[#This Row],[Loan]]</f>
        <v>2650</v>
      </c>
      <c r="W20" s="326"/>
      <c r="X20" s="327"/>
      <c r="Y20" s="328"/>
      <c r="Z20" s="328"/>
      <c r="AA20" s="328"/>
      <c r="AB20" s="328"/>
      <c r="AC20" s="328"/>
      <c r="AD20" s="328"/>
      <c r="AE20" s="328"/>
      <c r="AF20" s="328"/>
      <c r="AG20" s="328"/>
      <c r="AH20" s="328"/>
      <c r="AI20" s="328"/>
      <c r="AJ20" s="328"/>
      <c r="AK20" s="328"/>
      <c r="AL20" s="328"/>
      <c r="AM20" s="328"/>
      <c r="AN20" s="328"/>
    </row>
    <row r="21" spans="1:40" x14ac:dyDescent="0.25">
      <c r="A21" t="s">
        <v>24</v>
      </c>
      <c r="B21" s="127">
        <v>42917</v>
      </c>
      <c r="C21">
        <v>201708</v>
      </c>
      <c r="D21" t="s">
        <v>541</v>
      </c>
      <c r="E21">
        <v>2650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2650</v>
      </c>
      <c r="M21">
        <v>0</v>
      </c>
      <c r="N21">
        <v>0</v>
      </c>
      <c r="O21">
        <v>0</v>
      </c>
      <c r="P21" s="187" t="s">
        <v>501</v>
      </c>
      <c r="Q21" s="1">
        <f>IF(Table2[[#This Row],[Check Status with ga 55]]="ok",0,1)</f>
        <v>0</v>
      </c>
      <c r="R21" s="128" t="str">
        <f t="shared" si="38"/>
        <v>Aug-17</v>
      </c>
      <c r="S21" s="128" t="str">
        <f t="shared" si="39"/>
        <v>Aug</v>
      </c>
      <c r="T21" s="128" t="str">
        <f t="shared" si="40"/>
        <v>17</v>
      </c>
      <c r="U21" s="181">
        <f>Table2[[#This Row],[Total Premium]]+Table2[[#This Row],[Loan]]</f>
        <v>2650</v>
      </c>
      <c r="W21" s="326"/>
      <c r="X21" s="327"/>
      <c r="Y21" s="328"/>
      <c r="Z21" s="328"/>
      <c r="AA21" s="328"/>
      <c r="AB21" s="328"/>
      <c r="AC21" s="328"/>
      <c r="AD21" s="328"/>
      <c r="AE21" s="328"/>
      <c r="AF21" s="328"/>
      <c r="AG21" s="328"/>
      <c r="AH21" s="328"/>
      <c r="AI21" s="328"/>
      <c r="AJ21" s="328"/>
      <c r="AK21" s="328"/>
      <c r="AL21" s="328"/>
      <c r="AM21" s="328"/>
      <c r="AN21" s="328"/>
    </row>
    <row r="22" spans="1:40" x14ac:dyDescent="0.25">
      <c r="A22" t="s">
        <v>24</v>
      </c>
      <c r="B22" s="127">
        <v>42948</v>
      </c>
      <c r="C22">
        <v>201709</v>
      </c>
      <c r="D22" t="s">
        <v>541</v>
      </c>
      <c r="E22">
        <v>2650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2650</v>
      </c>
      <c r="M22">
        <v>0</v>
      </c>
      <c r="N22">
        <v>0</v>
      </c>
      <c r="O22">
        <v>0</v>
      </c>
      <c r="P22" s="187" t="s">
        <v>501</v>
      </c>
      <c r="Q22" s="1">
        <f>IF(Table2[[#This Row],[Check Status with ga 55]]="ok",0,1)</f>
        <v>0</v>
      </c>
      <c r="R22" s="128" t="str">
        <f t="shared" si="38"/>
        <v>Sep-17</v>
      </c>
      <c r="S22" s="128" t="str">
        <f t="shared" si="39"/>
        <v>Sep</v>
      </c>
      <c r="T22" s="128" t="str">
        <f t="shared" si="40"/>
        <v>17</v>
      </c>
      <c r="U22" s="181">
        <f>Table2[[#This Row],[Total Premium]]+Table2[[#This Row],[Loan]]</f>
        <v>2650</v>
      </c>
      <c r="W22" s="326"/>
      <c r="X22" s="327"/>
      <c r="Y22" s="328"/>
      <c r="Z22" s="328"/>
      <c r="AA22" s="328"/>
      <c r="AB22" s="328"/>
      <c r="AC22" s="328"/>
      <c r="AD22" s="328"/>
      <c r="AE22" s="328"/>
      <c r="AF22" s="328"/>
      <c r="AG22" s="328"/>
      <c r="AH22" s="328"/>
      <c r="AI22" s="328"/>
      <c r="AJ22" s="328"/>
      <c r="AK22" s="328"/>
      <c r="AL22" s="328"/>
      <c r="AM22" s="328"/>
      <c r="AN22" s="328"/>
    </row>
    <row r="23" spans="1:40" x14ac:dyDescent="0.25">
      <c r="A23" t="s">
        <v>24</v>
      </c>
      <c r="B23" s="127">
        <v>42979</v>
      </c>
      <c r="C23">
        <v>201710</v>
      </c>
      <c r="D23" t="s">
        <v>541</v>
      </c>
      <c r="E23">
        <v>2650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2650</v>
      </c>
      <c r="M23">
        <v>0</v>
      </c>
      <c r="N23">
        <v>0</v>
      </c>
      <c r="O23">
        <v>0</v>
      </c>
      <c r="P23" s="187" t="s">
        <v>501</v>
      </c>
      <c r="Q23" s="1">
        <f>IF(Table2[[#This Row],[Check Status with ga 55]]="ok",0,1)</f>
        <v>0</v>
      </c>
      <c r="R23" s="128" t="str">
        <f t="shared" si="38"/>
        <v>Oct-17</v>
      </c>
      <c r="S23" s="128" t="str">
        <f t="shared" si="39"/>
        <v>Oct</v>
      </c>
      <c r="T23" s="128" t="str">
        <f t="shared" si="40"/>
        <v>17</v>
      </c>
      <c r="U23" s="181">
        <f>Table2[[#This Row],[Total Premium]]+Table2[[#This Row],[Loan]]</f>
        <v>2650</v>
      </c>
      <c r="W23" s="326"/>
      <c r="X23" s="327"/>
      <c r="Y23" s="328"/>
      <c r="Z23" s="328"/>
      <c r="AA23" s="328"/>
      <c r="AB23" s="328"/>
      <c r="AC23" s="328"/>
      <c r="AD23" s="328"/>
      <c r="AE23" s="328"/>
      <c r="AF23" s="328"/>
      <c r="AG23" s="328"/>
      <c r="AH23" s="328"/>
      <c r="AI23" s="328"/>
      <c r="AJ23" s="328"/>
      <c r="AK23" s="328"/>
      <c r="AL23" s="328"/>
      <c r="AM23" s="328"/>
      <c r="AN23" s="328"/>
    </row>
    <row r="24" spans="1:40" x14ac:dyDescent="0.25">
      <c r="A24" t="s">
        <v>24</v>
      </c>
      <c r="B24" s="127">
        <v>43009</v>
      </c>
      <c r="C24">
        <v>201711</v>
      </c>
      <c r="D24" t="s">
        <v>541</v>
      </c>
      <c r="E24">
        <v>2650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2650</v>
      </c>
      <c r="M24">
        <v>0</v>
      </c>
      <c r="N24">
        <v>0</v>
      </c>
      <c r="O24">
        <v>0</v>
      </c>
      <c r="P24" s="187" t="s">
        <v>501</v>
      </c>
      <c r="Q24" s="1">
        <f>IF(Table2[[#This Row],[Check Status with ga 55]]="ok",0,1)</f>
        <v>0</v>
      </c>
      <c r="R24" s="128" t="str">
        <f t="shared" si="38"/>
        <v>Nov-17</v>
      </c>
      <c r="S24" s="128" t="str">
        <f t="shared" si="39"/>
        <v>Nov</v>
      </c>
      <c r="T24" s="128" t="str">
        <f t="shared" si="40"/>
        <v>17</v>
      </c>
      <c r="U24" s="181">
        <f>Table2[[#This Row],[Total Premium]]+Table2[[#This Row],[Loan]]</f>
        <v>2650</v>
      </c>
      <c r="W24" s="326"/>
      <c r="X24" s="327"/>
      <c r="Y24" s="328"/>
      <c r="Z24" s="328"/>
      <c r="AA24" s="328"/>
      <c r="AB24" s="328"/>
      <c r="AC24" s="328"/>
      <c r="AD24" s="328"/>
      <c r="AE24" s="328"/>
      <c r="AF24" s="328"/>
      <c r="AG24" s="328"/>
      <c r="AH24" s="328"/>
      <c r="AI24" s="328"/>
      <c r="AJ24" s="328"/>
      <c r="AK24" s="328"/>
      <c r="AL24" s="328"/>
      <c r="AM24" s="328"/>
      <c r="AN24" s="328"/>
    </row>
    <row r="25" spans="1:40" x14ac:dyDescent="0.25">
      <c r="A25" t="s">
        <v>24</v>
      </c>
      <c r="B25" s="127">
        <v>43040</v>
      </c>
      <c r="C25">
        <v>201712</v>
      </c>
      <c r="D25" t="s">
        <v>541</v>
      </c>
      <c r="E25">
        <v>2650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2650</v>
      </c>
      <c r="M25">
        <v>0</v>
      </c>
      <c r="N25">
        <v>0</v>
      </c>
      <c r="O25">
        <v>0</v>
      </c>
      <c r="P25" s="187" t="s">
        <v>501</v>
      </c>
      <c r="Q25" s="1">
        <f>IF(Table2[[#This Row],[Check Status with ga 55]]="ok",0,1)</f>
        <v>0</v>
      </c>
      <c r="R25" s="128" t="str">
        <f t="shared" si="38"/>
        <v>Dec-17</v>
      </c>
      <c r="S25" s="128" t="str">
        <f t="shared" si="39"/>
        <v>Dec</v>
      </c>
      <c r="T25" s="128" t="str">
        <f t="shared" si="40"/>
        <v>17</v>
      </c>
      <c r="U25" s="181">
        <f>Table2[[#This Row],[Total Premium]]+Table2[[#This Row],[Loan]]</f>
        <v>2650</v>
      </c>
      <c r="W25" s="326"/>
      <c r="X25" s="327"/>
      <c r="Y25" s="328"/>
      <c r="Z25" s="328"/>
      <c r="AA25" s="328"/>
      <c r="AB25" s="328"/>
      <c r="AC25" s="328"/>
      <c r="AD25" s="328"/>
      <c r="AE25" s="328"/>
      <c r="AF25" s="328"/>
      <c r="AG25" s="328"/>
      <c r="AH25" s="328"/>
      <c r="AI25" s="328"/>
      <c r="AJ25" s="328"/>
      <c r="AK25" s="328"/>
      <c r="AL25" s="328"/>
      <c r="AM25" s="328"/>
      <c r="AN25" s="328"/>
    </row>
    <row r="26" spans="1:40" x14ac:dyDescent="0.25">
      <c r="A26" t="s">
        <v>24</v>
      </c>
      <c r="B26" s="127">
        <v>43070</v>
      </c>
      <c r="C26">
        <v>201801</v>
      </c>
      <c r="D26" t="s">
        <v>541</v>
      </c>
      <c r="E26">
        <v>2650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2650</v>
      </c>
      <c r="M26">
        <v>0</v>
      </c>
      <c r="N26">
        <v>0</v>
      </c>
      <c r="O26">
        <v>0</v>
      </c>
      <c r="P26" s="187" t="s">
        <v>501</v>
      </c>
      <c r="Q26" s="1">
        <f>IF(Table2[[#This Row],[Check Status with ga 55]]="ok",0,1)</f>
        <v>0</v>
      </c>
      <c r="R26" s="128" t="str">
        <f t="shared" si="38"/>
        <v>Jan-18</v>
      </c>
      <c r="S26" s="128" t="str">
        <f t="shared" si="39"/>
        <v>Jan</v>
      </c>
      <c r="T26" s="128" t="str">
        <f t="shared" si="40"/>
        <v>18</v>
      </c>
      <c r="U26" s="181">
        <f>Table2[[#This Row],[Total Premium]]+Table2[[#This Row],[Loan]]</f>
        <v>2650</v>
      </c>
      <c r="W26" s="326"/>
      <c r="X26" s="327"/>
      <c r="Y26" s="328"/>
      <c r="Z26" s="328"/>
      <c r="AA26" s="328"/>
      <c r="AB26" s="328"/>
      <c r="AC26" s="328"/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</row>
    <row r="27" spans="1:40" x14ac:dyDescent="0.25">
      <c r="A27" t="s">
        <v>24</v>
      </c>
      <c r="B27" s="127">
        <v>43101</v>
      </c>
      <c r="C27">
        <v>201802</v>
      </c>
      <c r="D27" t="s">
        <v>541</v>
      </c>
      <c r="E27">
        <v>2650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2650</v>
      </c>
      <c r="M27">
        <v>0</v>
      </c>
      <c r="N27">
        <v>0</v>
      </c>
      <c r="O27">
        <v>0</v>
      </c>
      <c r="P27" s="187" t="s">
        <v>501</v>
      </c>
      <c r="Q27" s="1">
        <f>IF(Table2[[#This Row],[Check Status with ga 55]]="ok",0,1)</f>
        <v>0</v>
      </c>
      <c r="R27" s="128" t="str">
        <f t="shared" si="38"/>
        <v>Feb-18</v>
      </c>
      <c r="S27" s="128" t="str">
        <f t="shared" si="39"/>
        <v>Feb</v>
      </c>
      <c r="T27" s="128" t="str">
        <f t="shared" si="40"/>
        <v>18</v>
      </c>
      <c r="U27" s="181">
        <f>Table2[[#This Row],[Total Premium]]+Table2[[#This Row],[Loan]]</f>
        <v>2650</v>
      </c>
      <c r="W27" s="326"/>
      <c r="X27" s="327"/>
      <c r="Y27" s="328"/>
      <c r="Z27" s="328"/>
      <c r="AA27" s="328"/>
      <c r="AB27" s="328"/>
      <c r="AC27" s="328"/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</row>
    <row r="28" spans="1:40" x14ac:dyDescent="0.25">
      <c r="A28" t="s">
        <v>24</v>
      </c>
      <c r="B28" s="127">
        <v>43132</v>
      </c>
      <c r="C28">
        <v>201803</v>
      </c>
      <c r="D28" t="s">
        <v>541</v>
      </c>
      <c r="E28">
        <v>2650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2650</v>
      </c>
      <c r="M28">
        <v>0</v>
      </c>
      <c r="N28">
        <v>0</v>
      </c>
      <c r="O28">
        <v>0</v>
      </c>
      <c r="P28" s="187" t="s">
        <v>501</v>
      </c>
      <c r="Q28" s="1">
        <f>IF(Table2[[#This Row],[Check Status with ga 55]]="ok",0,1)</f>
        <v>0</v>
      </c>
      <c r="R28" s="128" t="str">
        <f t="shared" si="38"/>
        <v>Mar-18</v>
      </c>
      <c r="S28" s="128" t="str">
        <f t="shared" si="39"/>
        <v>Mar</v>
      </c>
      <c r="T28" s="128" t="str">
        <f t="shared" si="40"/>
        <v>18</v>
      </c>
      <c r="U28" s="181">
        <f>Table2[[#This Row],[Total Premium]]+Table2[[#This Row],[Loan]]</f>
        <v>2650</v>
      </c>
      <c r="W28" s="329"/>
      <c r="X28" s="329"/>
      <c r="Y28" s="329"/>
      <c r="Z28" s="329"/>
      <c r="AA28" s="329"/>
      <c r="AB28" s="329"/>
      <c r="AC28" s="329"/>
      <c r="AD28" s="329"/>
      <c r="AE28" s="329"/>
      <c r="AF28" s="329"/>
      <c r="AG28" s="329"/>
      <c r="AH28" s="329"/>
      <c r="AI28" s="329"/>
      <c r="AJ28" s="329"/>
      <c r="AK28" s="329"/>
      <c r="AL28" s="329"/>
      <c r="AM28" s="329"/>
      <c r="AN28" s="329"/>
    </row>
    <row r="29" spans="1:40" x14ac:dyDescent="0.25">
      <c r="A29" t="s">
        <v>192</v>
      </c>
      <c r="B29" s="127">
        <v>43160</v>
      </c>
      <c r="C29">
        <v>201804</v>
      </c>
      <c r="D29" t="s">
        <v>541</v>
      </c>
      <c r="E29">
        <v>3000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3000</v>
      </c>
      <c r="M29">
        <v>0</v>
      </c>
      <c r="N29">
        <v>0</v>
      </c>
      <c r="O29">
        <v>0</v>
      </c>
      <c r="P29" s="187" t="s">
        <v>501</v>
      </c>
      <c r="Q29" s="1">
        <f>IF(Table2[[#This Row],[Check Status with ga 55]]="ok",0,1)</f>
        <v>0</v>
      </c>
      <c r="R29" s="128" t="str">
        <f t="shared" si="38"/>
        <v>Apr-18</v>
      </c>
      <c r="S29" s="128" t="str">
        <f t="shared" si="39"/>
        <v>Apr</v>
      </c>
      <c r="T29" s="128" t="str">
        <f t="shared" si="40"/>
        <v>18</v>
      </c>
      <c r="U29" s="181">
        <f>Table2[[#This Row],[Total Premium]]+Table2[[#This Row],[Loan]]</f>
        <v>3000</v>
      </c>
    </row>
    <row r="30" spans="1:40" x14ac:dyDescent="0.25">
      <c r="A30" t="s">
        <v>192</v>
      </c>
      <c r="B30" s="127">
        <v>43191</v>
      </c>
      <c r="C30">
        <v>201805</v>
      </c>
      <c r="D30" t="s">
        <v>541</v>
      </c>
      <c r="E30">
        <v>3000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3000</v>
      </c>
      <c r="M30">
        <v>0</v>
      </c>
      <c r="N30">
        <v>0</v>
      </c>
      <c r="O30">
        <v>0</v>
      </c>
      <c r="P30" s="187" t="s">
        <v>501</v>
      </c>
      <c r="Q30" s="1">
        <f>IF(Table2[[#This Row],[Check Status with ga 55]]="ok",0,1)</f>
        <v>0</v>
      </c>
      <c r="R30" s="128" t="str">
        <f t="shared" si="38"/>
        <v>May-18</v>
      </c>
      <c r="S30" s="128" t="str">
        <f t="shared" si="39"/>
        <v>May</v>
      </c>
      <c r="T30" s="128" t="str">
        <f t="shared" si="40"/>
        <v>18</v>
      </c>
      <c r="U30" s="181">
        <f>Table2[[#This Row],[Total Premium]]+Table2[[#This Row],[Loan]]</f>
        <v>3000</v>
      </c>
    </row>
    <row r="31" spans="1:40" x14ac:dyDescent="0.25">
      <c r="A31" t="s">
        <v>192</v>
      </c>
      <c r="B31" s="127">
        <v>43221</v>
      </c>
      <c r="C31">
        <v>201806</v>
      </c>
      <c r="D31" t="s">
        <v>541</v>
      </c>
      <c r="E31">
        <v>3000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3000</v>
      </c>
      <c r="M31">
        <v>0</v>
      </c>
      <c r="N31">
        <v>0</v>
      </c>
      <c r="O31">
        <v>0</v>
      </c>
      <c r="P31" s="187" t="s">
        <v>501</v>
      </c>
      <c r="Q31" s="1">
        <f>IF(Table2[[#This Row],[Check Status with ga 55]]="ok",0,1)</f>
        <v>0</v>
      </c>
      <c r="R31" s="128" t="str">
        <f t="shared" si="38"/>
        <v>Jun-18</v>
      </c>
      <c r="S31" s="128" t="str">
        <f t="shared" si="39"/>
        <v>Jun</v>
      </c>
      <c r="T31" s="128" t="str">
        <f t="shared" si="40"/>
        <v>18</v>
      </c>
      <c r="U31" s="181">
        <f>Table2[[#This Row],[Total Premium]]+Table2[[#This Row],[Loan]]</f>
        <v>3000</v>
      </c>
    </row>
    <row r="32" spans="1:40" x14ac:dyDescent="0.25">
      <c r="A32" t="s">
        <v>192</v>
      </c>
      <c r="B32" s="127">
        <v>43252</v>
      </c>
      <c r="C32">
        <v>201807</v>
      </c>
      <c r="D32" t="s">
        <v>541</v>
      </c>
      <c r="E32">
        <v>3000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3000</v>
      </c>
      <c r="M32">
        <v>0</v>
      </c>
      <c r="N32">
        <v>0</v>
      </c>
      <c r="O32">
        <v>0</v>
      </c>
      <c r="P32" s="187" t="s">
        <v>501</v>
      </c>
      <c r="Q32" s="1">
        <f>IF(Table2[[#This Row],[Check Status with ga 55]]="ok",0,1)</f>
        <v>0</v>
      </c>
      <c r="R32" s="128" t="str">
        <f t="shared" si="38"/>
        <v>Jul-18</v>
      </c>
      <c r="S32" s="128" t="str">
        <f t="shared" si="39"/>
        <v>Jul</v>
      </c>
      <c r="T32" s="128" t="str">
        <f t="shared" si="40"/>
        <v>18</v>
      </c>
      <c r="U32" s="181">
        <f>Table2[[#This Row],[Total Premium]]+Table2[[#This Row],[Loan]]</f>
        <v>3000</v>
      </c>
    </row>
    <row r="33" spans="1:21" x14ac:dyDescent="0.25">
      <c r="A33" t="s">
        <v>192</v>
      </c>
      <c r="B33" s="127">
        <v>43282</v>
      </c>
      <c r="C33">
        <v>201808</v>
      </c>
      <c r="D33" t="s">
        <v>541</v>
      </c>
      <c r="E33">
        <v>3000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3000</v>
      </c>
      <c r="M33">
        <v>0</v>
      </c>
      <c r="N33">
        <v>0</v>
      </c>
      <c r="O33">
        <v>0</v>
      </c>
      <c r="P33" s="187" t="s">
        <v>501</v>
      </c>
      <c r="Q33" s="1">
        <f>IF(Table2[[#This Row],[Check Status with ga 55]]="ok",0,1)</f>
        <v>0</v>
      </c>
      <c r="R33" s="128" t="str">
        <f t="shared" si="38"/>
        <v>Aug-18</v>
      </c>
      <c r="S33" s="128" t="str">
        <f t="shared" si="39"/>
        <v>Aug</v>
      </c>
      <c r="T33" s="128" t="str">
        <f t="shared" si="40"/>
        <v>18</v>
      </c>
      <c r="U33" s="181">
        <f>Table2[[#This Row],[Total Premium]]+Table2[[#This Row],[Loan]]</f>
        <v>3000</v>
      </c>
    </row>
    <row r="34" spans="1:21" x14ac:dyDescent="0.25">
      <c r="A34" t="s">
        <v>192</v>
      </c>
      <c r="B34" s="127">
        <v>43313</v>
      </c>
      <c r="C34">
        <v>201809</v>
      </c>
      <c r="D34" t="s">
        <v>541</v>
      </c>
      <c r="E34">
        <v>3000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3000</v>
      </c>
      <c r="M34">
        <v>0</v>
      </c>
      <c r="N34">
        <v>0</v>
      </c>
      <c r="O34">
        <v>0</v>
      </c>
      <c r="P34" s="187" t="s">
        <v>501</v>
      </c>
      <c r="Q34" s="1">
        <f>IF(Table2[[#This Row],[Check Status with ga 55]]="ok",0,1)</f>
        <v>0</v>
      </c>
      <c r="R34" s="128" t="str">
        <f t="shared" si="38"/>
        <v>Sep-18</v>
      </c>
      <c r="S34" s="128" t="str">
        <f t="shared" si="39"/>
        <v>Sep</v>
      </c>
      <c r="T34" s="128" t="str">
        <f t="shared" si="40"/>
        <v>18</v>
      </c>
      <c r="U34" s="181">
        <f>Table2[[#This Row],[Total Premium]]+Table2[[#This Row],[Loan]]</f>
        <v>3000</v>
      </c>
    </row>
    <row r="35" spans="1:21" x14ac:dyDescent="0.25">
      <c r="A35" t="s">
        <v>192</v>
      </c>
      <c r="B35" s="127">
        <v>43344</v>
      </c>
      <c r="C35">
        <v>201810</v>
      </c>
      <c r="D35" t="s">
        <v>541</v>
      </c>
      <c r="E35">
        <v>3000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3000</v>
      </c>
      <c r="M35">
        <v>0</v>
      </c>
      <c r="N35">
        <v>0</v>
      </c>
      <c r="O35">
        <v>0</v>
      </c>
      <c r="P35" s="187" t="s">
        <v>501</v>
      </c>
      <c r="Q35" s="1">
        <f>IF(Table2[[#This Row],[Check Status with ga 55]]="ok",0,1)</f>
        <v>0</v>
      </c>
      <c r="R35" s="128" t="str">
        <f t="shared" si="38"/>
        <v>Oct-18</v>
      </c>
      <c r="S35" s="128" t="str">
        <f t="shared" si="39"/>
        <v>Oct</v>
      </c>
      <c r="T35" s="128" t="str">
        <f t="shared" si="40"/>
        <v>18</v>
      </c>
      <c r="U35" s="181">
        <f>Table2[[#This Row],[Total Premium]]+Table2[[#This Row],[Loan]]</f>
        <v>3000</v>
      </c>
    </row>
    <row r="36" spans="1:21" x14ac:dyDescent="0.25">
      <c r="A36" t="s">
        <v>192</v>
      </c>
      <c r="B36" s="127">
        <v>43374</v>
      </c>
      <c r="C36">
        <v>201811</v>
      </c>
      <c r="D36" t="s">
        <v>541</v>
      </c>
      <c r="E36">
        <v>3000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3000</v>
      </c>
      <c r="M36">
        <v>0</v>
      </c>
      <c r="N36">
        <v>0</v>
      </c>
      <c r="O36">
        <v>0</v>
      </c>
      <c r="P36" s="187" t="s">
        <v>501</v>
      </c>
      <c r="Q36" s="1">
        <f>IF(Table2[[#This Row],[Check Status with ga 55]]="ok",0,1)</f>
        <v>0</v>
      </c>
      <c r="R36" s="128" t="str">
        <f t="shared" si="38"/>
        <v>Nov-18</v>
      </c>
      <c r="S36" s="128" t="str">
        <f t="shared" si="39"/>
        <v>Nov</v>
      </c>
      <c r="T36" s="128" t="str">
        <f t="shared" si="40"/>
        <v>18</v>
      </c>
      <c r="U36" s="181">
        <f>Table2[[#This Row],[Total Premium]]+Table2[[#This Row],[Loan]]</f>
        <v>3000</v>
      </c>
    </row>
    <row r="37" spans="1:21" x14ac:dyDescent="0.25">
      <c r="A37" t="s">
        <v>192</v>
      </c>
      <c r="B37" s="127">
        <v>43405</v>
      </c>
      <c r="D37" t="s">
        <v>27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s="187" t="s">
        <v>501</v>
      </c>
      <c r="Q37" s="1">
        <f>IF(Table2[[#This Row],[Check Status with ga 55]]="ok",0,1)</f>
        <v>0</v>
      </c>
      <c r="R37" s="128" t="str">
        <f t="shared" ref="R37:R68" si="41">IFERROR(CONCATENATE(TEXT(RIGHT(C37,2)*29,"mmm"),"-",RIGHT(LEFT(C37,4),2)),"")</f>
        <v/>
      </c>
      <c r="S37" s="128" t="str">
        <f t="shared" ref="S37:S68" si="42">IFERROR((TEXT(RIGHT(C37,2)*29,"mmm")),"")</f>
        <v/>
      </c>
      <c r="T37" s="128" t="str">
        <f t="shared" ref="T37:T68" si="43">IFERROR(RIGHT(LEFT(C37,4),2),"")</f>
        <v/>
      </c>
      <c r="U37" s="181">
        <f>Table2[[#This Row],[Total Premium]]+Table2[[#This Row],[Loan]]</f>
        <v>0</v>
      </c>
    </row>
    <row r="38" spans="1:21" x14ac:dyDescent="0.25">
      <c r="A38" t="s">
        <v>192</v>
      </c>
      <c r="B38" s="127">
        <v>43435</v>
      </c>
      <c r="C38">
        <v>201901</v>
      </c>
      <c r="D38" t="s">
        <v>541</v>
      </c>
      <c r="E38">
        <v>3000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3000</v>
      </c>
      <c r="M38">
        <v>0</v>
      </c>
      <c r="N38">
        <v>0</v>
      </c>
      <c r="O38">
        <v>0</v>
      </c>
      <c r="P38" s="187" t="s">
        <v>501</v>
      </c>
      <c r="Q38" s="1">
        <f>IF(Table2[[#This Row],[Check Status with ga 55]]="ok",0,1)</f>
        <v>0</v>
      </c>
      <c r="R38" s="128" t="str">
        <f t="shared" si="41"/>
        <v>Jan-19</v>
      </c>
      <c r="S38" s="128" t="str">
        <f t="shared" si="42"/>
        <v>Jan</v>
      </c>
      <c r="T38" s="128" t="str">
        <f t="shared" si="43"/>
        <v>19</v>
      </c>
      <c r="U38" s="181">
        <f>Table2[[#This Row],[Total Premium]]+Table2[[#This Row],[Loan]]</f>
        <v>3000</v>
      </c>
    </row>
    <row r="39" spans="1:21" x14ac:dyDescent="0.25">
      <c r="A39" t="s">
        <v>192</v>
      </c>
      <c r="B39" s="127">
        <v>43466</v>
      </c>
      <c r="C39">
        <v>201902</v>
      </c>
      <c r="D39" t="s">
        <v>541</v>
      </c>
      <c r="E39">
        <v>6000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6000</v>
      </c>
      <c r="M39">
        <v>0</v>
      </c>
      <c r="N39">
        <v>0</v>
      </c>
      <c r="O39">
        <v>0</v>
      </c>
      <c r="P39" s="187" t="s">
        <v>501</v>
      </c>
      <c r="Q39" s="1">
        <f>IF(Table2[[#This Row],[Check Status with ga 55]]="ok",0,1)</f>
        <v>0</v>
      </c>
      <c r="R39" s="128" t="str">
        <f t="shared" si="41"/>
        <v>Feb-19</v>
      </c>
      <c r="S39" s="128" t="str">
        <f t="shared" si="42"/>
        <v>Feb</v>
      </c>
      <c r="T39" s="128" t="str">
        <f t="shared" si="43"/>
        <v>19</v>
      </c>
      <c r="U39" s="181">
        <f>Table2[[#This Row],[Total Premium]]+Table2[[#This Row],[Loan]]</f>
        <v>6000</v>
      </c>
    </row>
    <row r="40" spans="1:21" x14ac:dyDescent="0.25">
      <c r="A40" t="s">
        <v>192</v>
      </c>
      <c r="B40" s="127">
        <v>43497</v>
      </c>
      <c r="C40">
        <v>201903</v>
      </c>
      <c r="D40" t="s">
        <v>541</v>
      </c>
      <c r="E40">
        <v>3000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3000</v>
      </c>
      <c r="M40">
        <v>0</v>
      </c>
      <c r="N40">
        <v>0</v>
      </c>
      <c r="O40">
        <v>0</v>
      </c>
      <c r="P40" s="187" t="s">
        <v>501</v>
      </c>
      <c r="Q40" s="1">
        <f>IF(Table2[[#This Row],[Check Status with ga 55]]="ok",0,1)</f>
        <v>0</v>
      </c>
      <c r="R40" s="128" t="str">
        <f t="shared" si="41"/>
        <v>Mar-19</v>
      </c>
      <c r="S40" s="128" t="str">
        <f t="shared" si="42"/>
        <v>Mar</v>
      </c>
      <c r="T40" s="128" t="str">
        <f t="shared" si="43"/>
        <v>19</v>
      </c>
      <c r="U40" s="181">
        <f>Table2[[#This Row],[Total Premium]]+Table2[[#This Row],[Loan]]</f>
        <v>3000</v>
      </c>
    </row>
    <row r="41" spans="1:21" x14ac:dyDescent="0.25">
      <c r="A41" t="s">
        <v>246</v>
      </c>
      <c r="B41" s="127">
        <v>43525</v>
      </c>
      <c r="C41">
        <v>201904</v>
      </c>
      <c r="D41" t="s">
        <v>541</v>
      </c>
      <c r="E41">
        <v>3000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3000</v>
      </c>
      <c r="M41">
        <v>0</v>
      </c>
      <c r="N41">
        <v>0</v>
      </c>
      <c r="O41">
        <v>0</v>
      </c>
      <c r="P41" s="187" t="s">
        <v>501</v>
      </c>
      <c r="Q41" s="1">
        <f>IF(Table2[[#This Row],[Check Status with ga 55]]="ok",0,1)</f>
        <v>0</v>
      </c>
      <c r="R41" s="128" t="str">
        <f t="shared" si="41"/>
        <v>Apr-19</v>
      </c>
      <c r="S41" s="128" t="str">
        <f t="shared" si="42"/>
        <v>Apr</v>
      </c>
      <c r="T41" s="128" t="str">
        <f t="shared" si="43"/>
        <v>19</v>
      </c>
      <c r="U41" s="181">
        <f>Table2[[#This Row],[Total Premium]]+Table2[[#This Row],[Loan]]</f>
        <v>3000</v>
      </c>
    </row>
    <row r="42" spans="1:21" x14ac:dyDescent="0.25">
      <c r="A42" t="s">
        <v>246</v>
      </c>
      <c r="B42" s="127">
        <v>43556</v>
      </c>
      <c r="C42">
        <v>201905</v>
      </c>
      <c r="D42" t="s">
        <v>541</v>
      </c>
      <c r="E42">
        <v>3000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3000</v>
      </c>
      <c r="M42">
        <v>0</v>
      </c>
      <c r="N42">
        <v>0</v>
      </c>
      <c r="O42">
        <v>0</v>
      </c>
      <c r="P42" s="187" t="s">
        <v>501</v>
      </c>
      <c r="Q42" s="1">
        <f>IF(Table2[[#This Row],[Check Status with ga 55]]="ok",0,1)</f>
        <v>0</v>
      </c>
      <c r="R42" s="128" t="str">
        <f t="shared" si="41"/>
        <v>May-19</v>
      </c>
      <c r="S42" s="128" t="str">
        <f t="shared" si="42"/>
        <v>May</v>
      </c>
      <c r="T42" s="128" t="str">
        <f t="shared" si="43"/>
        <v>19</v>
      </c>
      <c r="U42" s="181">
        <f>Table2[[#This Row],[Total Premium]]+Table2[[#This Row],[Loan]]</f>
        <v>3000</v>
      </c>
    </row>
    <row r="43" spans="1:21" x14ac:dyDescent="0.25">
      <c r="A43" t="s">
        <v>246</v>
      </c>
      <c r="B43" s="127">
        <v>43586</v>
      </c>
      <c r="C43">
        <v>201906</v>
      </c>
      <c r="D43" t="s">
        <v>541</v>
      </c>
      <c r="E43">
        <v>3000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3000</v>
      </c>
      <c r="M43">
        <v>0</v>
      </c>
      <c r="N43">
        <v>0</v>
      </c>
      <c r="O43">
        <v>0</v>
      </c>
      <c r="P43" s="187" t="s">
        <v>501</v>
      </c>
      <c r="Q43" s="1">
        <f>IF(Table2[[#This Row],[Check Status with ga 55]]="ok",0,1)</f>
        <v>0</v>
      </c>
      <c r="R43" s="128" t="str">
        <f t="shared" si="41"/>
        <v>Jun-19</v>
      </c>
      <c r="S43" s="128" t="str">
        <f t="shared" si="42"/>
        <v>Jun</v>
      </c>
      <c r="T43" s="128" t="str">
        <f t="shared" si="43"/>
        <v>19</v>
      </c>
      <c r="U43" s="181">
        <f>Table2[[#This Row],[Total Premium]]+Table2[[#This Row],[Loan]]</f>
        <v>3000</v>
      </c>
    </row>
    <row r="44" spans="1:21" x14ac:dyDescent="0.25">
      <c r="A44" t="s">
        <v>246</v>
      </c>
      <c r="B44" s="127">
        <v>43617</v>
      </c>
      <c r="C44">
        <v>201907</v>
      </c>
      <c r="D44" t="s">
        <v>541</v>
      </c>
      <c r="E44">
        <v>3000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3000</v>
      </c>
      <c r="M44">
        <v>0</v>
      </c>
      <c r="N44">
        <v>0</v>
      </c>
      <c r="O44">
        <v>0</v>
      </c>
      <c r="P44" s="187" t="s">
        <v>501</v>
      </c>
      <c r="Q44" s="1">
        <f>IF(Table2[[#This Row],[Check Status with ga 55]]="ok",0,1)</f>
        <v>0</v>
      </c>
      <c r="R44" s="128" t="str">
        <f t="shared" si="41"/>
        <v>Jul-19</v>
      </c>
      <c r="S44" s="128" t="str">
        <f t="shared" si="42"/>
        <v>Jul</v>
      </c>
      <c r="T44" s="128" t="str">
        <f t="shared" si="43"/>
        <v>19</v>
      </c>
      <c r="U44" s="181">
        <f>Table2[[#This Row],[Total Premium]]+Table2[[#This Row],[Loan]]</f>
        <v>3000</v>
      </c>
    </row>
    <row r="45" spans="1:21" x14ac:dyDescent="0.25">
      <c r="A45" t="s">
        <v>246</v>
      </c>
      <c r="B45" s="127">
        <v>43647</v>
      </c>
      <c r="C45">
        <v>201908</v>
      </c>
      <c r="D45" t="s">
        <v>541</v>
      </c>
      <c r="E45">
        <v>3000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3000</v>
      </c>
      <c r="M45">
        <v>0</v>
      </c>
      <c r="N45">
        <v>0</v>
      </c>
      <c r="O45">
        <v>0</v>
      </c>
      <c r="P45" s="187" t="s">
        <v>501</v>
      </c>
      <c r="Q45" s="1">
        <f>IF(Table2[[#This Row],[Check Status with ga 55]]="ok",0,1)</f>
        <v>0</v>
      </c>
      <c r="R45" s="128" t="str">
        <f t="shared" si="41"/>
        <v>Aug-19</v>
      </c>
      <c r="S45" s="128" t="str">
        <f t="shared" si="42"/>
        <v>Aug</v>
      </c>
      <c r="T45" s="128" t="str">
        <f t="shared" si="43"/>
        <v>19</v>
      </c>
      <c r="U45" s="181">
        <f>Table2[[#This Row],[Total Premium]]+Table2[[#This Row],[Loan]]</f>
        <v>3000</v>
      </c>
    </row>
    <row r="46" spans="1:21" x14ac:dyDescent="0.25">
      <c r="A46" t="s">
        <v>246</v>
      </c>
      <c r="B46" s="127">
        <v>43678</v>
      </c>
      <c r="C46">
        <v>201909</v>
      </c>
      <c r="D46" t="s">
        <v>541</v>
      </c>
      <c r="E46">
        <v>3000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3000</v>
      </c>
      <c r="M46">
        <v>0</v>
      </c>
      <c r="N46">
        <v>0</v>
      </c>
      <c r="O46">
        <v>0</v>
      </c>
      <c r="P46" s="187" t="s">
        <v>501</v>
      </c>
      <c r="Q46" s="1">
        <f>IF(Table2[[#This Row],[Check Status with ga 55]]="ok",0,1)</f>
        <v>0</v>
      </c>
      <c r="R46" s="128" t="str">
        <f t="shared" si="41"/>
        <v>Sep-19</v>
      </c>
      <c r="S46" s="128" t="str">
        <f t="shared" si="42"/>
        <v>Sep</v>
      </c>
      <c r="T46" s="128" t="str">
        <f t="shared" si="43"/>
        <v>19</v>
      </c>
      <c r="U46" s="181">
        <f>Table2[[#This Row],[Total Premium]]+Table2[[#This Row],[Loan]]</f>
        <v>3000</v>
      </c>
    </row>
    <row r="47" spans="1:21" x14ac:dyDescent="0.25">
      <c r="A47" t="s">
        <v>246</v>
      </c>
      <c r="B47" s="127">
        <v>43709</v>
      </c>
      <c r="C47">
        <v>201910</v>
      </c>
      <c r="D47" t="s">
        <v>541</v>
      </c>
      <c r="E47">
        <v>3000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3000</v>
      </c>
      <c r="M47">
        <v>0</v>
      </c>
      <c r="N47">
        <v>0</v>
      </c>
      <c r="O47">
        <v>0</v>
      </c>
      <c r="P47" s="187" t="s">
        <v>501</v>
      </c>
      <c r="Q47" s="1">
        <f>IF(Table2[[#This Row],[Check Status with ga 55]]="ok",0,1)</f>
        <v>0</v>
      </c>
      <c r="R47" s="128" t="str">
        <f t="shared" si="41"/>
        <v>Oct-19</v>
      </c>
      <c r="S47" s="128" t="str">
        <f t="shared" si="42"/>
        <v>Oct</v>
      </c>
      <c r="T47" s="128" t="str">
        <f t="shared" si="43"/>
        <v>19</v>
      </c>
      <c r="U47" s="181">
        <f>Table2[[#This Row],[Total Premium]]+Table2[[#This Row],[Loan]]</f>
        <v>3000</v>
      </c>
    </row>
    <row r="48" spans="1:21" x14ac:dyDescent="0.25">
      <c r="A48" t="s">
        <v>246</v>
      </c>
      <c r="B48" s="127">
        <v>43739</v>
      </c>
      <c r="C48">
        <v>201911</v>
      </c>
      <c r="D48" t="s">
        <v>541</v>
      </c>
      <c r="E48">
        <v>3000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3000</v>
      </c>
      <c r="M48">
        <v>0</v>
      </c>
      <c r="N48">
        <v>0</v>
      </c>
      <c r="O48">
        <v>0</v>
      </c>
      <c r="P48" s="187" t="s">
        <v>501</v>
      </c>
      <c r="Q48" s="1">
        <f>IF(Table2[[#This Row],[Check Status with ga 55]]="ok",0,1)</f>
        <v>0</v>
      </c>
      <c r="R48" s="128" t="str">
        <f t="shared" si="41"/>
        <v>Nov-19</v>
      </c>
      <c r="S48" s="128" t="str">
        <f t="shared" si="42"/>
        <v>Nov</v>
      </c>
      <c r="T48" s="128" t="str">
        <f t="shared" si="43"/>
        <v>19</v>
      </c>
      <c r="U48" s="181">
        <f>Table2[[#This Row],[Total Premium]]+Table2[[#This Row],[Loan]]</f>
        <v>3000</v>
      </c>
    </row>
    <row r="49" spans="1:21" x14ac:dyDescent="0.25">
      <c r="A49" t="s">
        <v>246</v>
      </c>
      <c r="B49" s="127">
        <v>43770</v>
      </c>
      <c r="C49">
        <v>201912</v>
      </c>
      <c r="D49" t="s">
        <v>541</v>
      </c>
      <c r="E49">
        <v>3000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3000</v>
      </c>
      <c r="M49">
        <v>0</v>
      </c>
      <c r="N49">
        <v>0</v>
      </c>
      <c r="O49">
        <v>0</v>
      </c>
      <c r="P49" s="187" t="s">
        <v>501</v>
      </c>
      <c r="Q49" s="1">
        <f>IF(Table2[[#This Row],[Check Status with ga 55]]="ok",0,1)</f>
        <v>0</v>
      </c>
      <c r="R49" s="128" t="str">
        <f t="shared" si="41"/>
        <v>Dec-19</v>
      </c>
      <c r="S49" s="128" t="str">
        <f t="shared" si="42"/>
        <v>Dec</v>
      </c>
      <c r="T49" s="128" t="str">
        <f t="shared" si="43"/>
        <v>19</v>
      </c>
      <c r="U49" s="181">
        <f>Table2[[#This Row],[Total Premium]]+Table2[[#This Row],[Loan]]</f>
        <v>3000</v>
      </c>
    </row>
    <row r="50" spans="1:21" x14ac:dyDescent="0.25">
      <c r="A50" t="s">
        <v>246</v>
      </c>
      <c r="B50" s="127">
        <v>43800</v>
      </c>
      <c r="C50">
        <v>202001</v>
      </c>
      <c r="D50" t="s">
        <v>541</v>
      </c>
      <c r="E50">
        <v>3000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3000</v>
      </c>
      <c r="M50">
        <v>0</v>
      </c>
      <c r="N50">
        <v>0</v>
      </c>
      <c r="O50">
        <v>0</v>
      </c>
      <c r="P50" s="187" t="s">
        <v>501</v>
      </c>
      <c r="Q50" s="1">
        <f>IF(Table2[[#This Row],[Check Status with ga 55]]="ok",0,1)</f>
        <v>0</v>
      </c>
      <c r="R50" s="128" t="str">
        <f t="shared" si="41"/>
        <v>Jan-20</v>
      </c>
      <c r="S50" s="128" t="str">
        <f t="shared" si="42"/>
        <v>Jan</v>
      </c>
      <c r="T50" s="128" t="str">
        <f t="shared" si="43"/>
        <v>20</v>
      </c>
      <c r="U50" s="181">
        <f>Table2[[#This Row],[Total Premium]]+Table2[[#This Row],[Loan]]</f>
        <v>3000</v>
      </c>
    </row>
    <row r="51" spans="1:21" x14ac:dyDescent="0.25">
      <c r="A51" t="s">
        <v>246</v>
      </c>
      <c r="B51" s="127">
        <v>43831</v>
      </c>
      <c r="C51">
        <v>202002</v>
      </c>
      <c r="D51" t="s">
        <v>541</v>
      </c>
      <c r="E51">
        <v>3000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3000</v>
      </c>
      <c r="M51">
        <v>0</v>
      </c>
      <c r="N51">
        <v>0</v>
      </c>
      <c r="O51">
        <v>0</v>
      </c>
      <c r="P51" s="187" t="s">
        <v>501</v>
      </c>
      <c r="Q51" s="1">
        <f>IF(Table2[[#This Row],[Check Status with ga 55]]="ok",0,1)</f>
        <v>0</v>
      </c>
      <c r="R51" s="128" t="str">
        <f t="shared" si="41"/>
        <v>Feb-20</v>
      </c>
      <c r="S51" s="128" t="str">
        <f t="shared" si="42"/>
        <v>Feb</v>
      </c>
      <c r="T51" s="128" t="str">
        <f t="shared" si="43"/>
        <v>20</v>
      </c>
      <c r="U51" s="181">
        <f>Table2[[#This Row],[Total Premium]]+Table2[[#This Row],[Loan]]</f>
        <v>3000</v>
      </c>
    </row>
    <row r="52" spans="1:21" x14ac:dyDescent="0.25">
      <c r="A52" t="s">
        <v>246</v>
      </c>
      <c r="B52" s="127">
        <v>43862</v>
      </c>
      <c r="C52">
        <v>202003</v>
      </c>
      <c r="D52" t="s">
        <v>541</v>
      </c>
      <c r="E52">
        <v>3000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3000</v>
      </c>
      <c r="M52">
        <v>0</v>
      </c>
      <c r="N52">
        <v>0</v>
      </c>
      <c r="O52">
        <v>0</v>
      </c>
      <c r="P52" s="187" t="s">
        <v>501</v>
      </c>
      <c r="Q52" s="1">
        <f>IF(Table2[[#This Row],[Check Status with ga 55]]="ok",0,1)</f>
        <v>0</v>
      </c>
      <c r="R52" s="128" t="str">
        <f t="shared" si="41"/>
        <v>Mar-20</v>
      </c>
      <c r="S52" s="128" t="str">
        <f t="shared" si="42"/>
        <v>Mar</v>
      </c>
      <c r="T52" s="128" t="str">
        <f t="shared" si="43"/>
        <v>20</v>
      </c>
      <c r="U52" s="181">
        <f>Table2[[#This Row],[Total Premium]]+Table2[[#This Row],[Loan]]</f>
        <v>3000</v>
      </c>
    </row>
    <row r="53" spans="1:21" x14ac:dyDescent="0.25">
      <c r="A53" t="s">
        <v>342</v>
      </c>
      <c r="B53" s="127">
        <v>43891</v>
      </c>
      <c r="C53">
        <v>202004</v>
      </c>
      <c r="D53" t="s">
        <v>27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s="187" t="s">
        <v>501</v>
      </c>
      <c r="Q53" s="1">
        <f>IF(Table2[[#This Row],[Check Status with ga 55]]="ok",0,1)</f>
        <v>0</v>
      </c>
      <c r="R53" s="128" t="str">
        <f t="shared" si="41"/>
        <v>Apr-20</v>
      </c>
      <c r="S53" s="128" t="str">
        <f t="shared" si="42"/>
        <v>Apr</v>
      </c>
      <c r="T53" s="128" t="str">
        <f t="shared" si="43"/>
        <v>20</v>
      </c>
      <c r="U53" s="181">
        <f>Table2[[#This Row],[Total Premium]]+Table2[[#This Row],[Loan]]</f>
        <v>0</v>
      </c>
    </row>
    <row r="54" spans="1:21" x14ac:dyDescent="0.25">
      <c r="A54" t="s">
        <v>342</v>
      </c>
      <c r="B54" s="127">
        <v>43922</v>
      </c>
      <c r="C54">
        <v>202005</v>
      </c>
      <c r="D54" t="s">
        <v>541</v>
      </c>
      <c r="E54">
        <v>5000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5000</v>
      </c>
      <c r="M54">
        <v>0</v>
      </c>
      <c r="N54">
        <v>0</v>
      </c>
      <c r="O54">
        <v>0</v>
      </c>
      <c r="P54" s="187" t="s">
        <v>501</v>
      </c>
      <c r="Q54" s="1">
        <f>IF(Table2[[#This Row],[Check Status with ga 55]]="ok",0,1)</f>
        <v>0</v>
      </c>
      <c r="R54" s="128" t="str">
        <f t="shared" si="41"/>
        <v>May-20</v>
      </c>
      <c r="S54" s="128" t="str">
        <f t="shared" si="42"/>
        <v>May</v>
      </c>
      <c r="T54" s="128" t="str">
        <f t="shared" si="43"/>
        <v>20</v>
      </c>
      <c r="U54" s="181">
        <f>Table2[[#This Row],[Total Premium]]+Table2[[#This Row],[Loan]]</f>
        <v>5000</v>
      </c>
    </row>
    <row r="55" spans="1:21" x14ac:dyDescent="0.25">
      <c r="A55" t="s">
        <v>342</v>
      </c>
      <c r="B55" s="127">
        <v>43952</v>
      </c>
      <c r="C55">
        <v>202006</v>
      </c>
      <c r="D55" t="s">
        <v>541</v>
      </c>
      <c r="E55">
        <v>5000</v>
      </c>
      <c r="F55">
        <v>0</v>
      </c>
      <c r="G55">
        <v>5000</v>
      </c>
      <c r="H55">
        <v>0</v>
      </c>
      <c r="I55">
        <v>0</v>
      </c>
      <c r="J55">
        <v>0</v>
      </c>
      <c r="K55">
        <v>0</v>
      </c>
      <c r="L55">
        <v>10000</v>
      </c>
      <c r="M55">
        <v>0</v>
      </c>
      <c r="N55">
        <v>0</v>
      </c>
      <c r="O55">
        <v>0</v>
      </c>
      <c r="P55" s="187" t="s">
        <v>501</v>
      </c>
      <c r="Q55" s="1">
        <f>IF(Table2[[#This Row],[Check Status with ga 55]]="ok",0,1)</f>
        <v>0</v>
      </c>
      <c r="R55" s="128" t="str">
        <f t="shared" si="41"/>
        <v>Jun-20</v>
      </c>
      <c r="S55" s="128" t="str">
        <f t="shared" si="42"/>
        <v>Jun</v>
      </c>
      <c r="T55" s="128" t="str">
        <f t="shared" si="43"/>
        <v>20</v>
      </c>
      <c r="U55" s="181">
        <f>Table2[[#This Row],[Total Premium]]+Table2[[#This Row],[Loan]]</f>
        <v>10000</v>
      </c>
    </row>
    <row r="56" spans="1:21" x14ac:dyDescent="0.25">
      <c r="A56" t="s">
        <v>342</v>
      </c>
      <c r="B56" s="127">
        <v>43983</v>
      </c>
      <c r="C56">
        <v>202007</v>
      </c>
      <c r="D56" t="s">
        <v>541</v>
      </c>
      <c r="E56">
        <v>5000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5000</v>
      </c>
      <c r="M56">
        <v>0</v>
      </c>
      <c r="N56">
        <v>0</v>
      </c>
      <c r="O56">
        <v>0</v>
      </c>
      <c r="P56" s="187" t="s">
        <v>501</v>
      </c>
      <c r="Q56" s="1">
        <f>IF(Table2[[#This Row],[Check Status with ga 55]]="ok",0,1)</f>
        <v>0</v>
      </c>
      <c r="R56" s="128" t="str">
        <f t="shared" si="41"/>
        <v>Jul-20</v>
      </c>
      <c r="S56" s="128" t="str">
        <f t="shared" si="42"/>
        <v>Jul</v>
      </c>
      <c r="T56" s="128" t="str">
        <f t="shared" si="43"/>
        <v>20</v>
      </c>
      <c r="U56" s="181">
        <f>Table2[[#This Row],[Total Premium]]+Table2[[#This Row],[Loan]]</f>
        <v>5000</v>
      </c>
    </row>
    <row r="57" spans="1:21" x14ac:dyDescent="0.25">
      <c r="A57" t="s">
        <v>342</v>
      </c>
      <c r="B57" s="127">
        <v>44013</v>
      </c>
      <c r="C57">
        <v>202008</v>
      </c>
      <c r="D57" t="s">
        <v>541</v>
      </c>
      <c r="E57">
        <v>5000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5000</v>
      </c>
      <c r="M57">
        <v>0</v>
      </c>
      <c r="N57">
        <v>0</v>
      </c>
      <c r="O57">
        <v>0</v>
      </c>
      <c r="P57" s="187" t="s">
        <v>501</v>
      </c>
      <c r="Q57" s="1">
        <f>IF(Table2[[#This Row],[Check Status with ga 55]]="ok",0,1)</f>
        <v>0</v>
      </c>
      <c r="R57" s="128" t="str">
        <f t="shared" si="41"/>
        <v>Aug-20</v>
      </c>
      <c r="S57" s="128" t="str">
        <f t="shared" si="42"/>
        <v>Aug</v>
      </c>
      <c r="T57" s="128" t="str">
        <f t="shared" si="43"/>
        <v>20</v>
      </c>
      <c r="U57" s="181">
        <f>Table2[[#This Row],[Total Premium]]+Table2[[#This Row],[Loan]]</f>
        <v>5000</v>
      </c>
    </row>
    <row r="58" spans="1:21" x14ac:dyDescent="0.25">
      <c r="A58" t="s">
        <v>342</v>
      </c>
      <c r="B58" s="127">
        <v>44044</v>
      </c>
      <c r="C58">
        <v>202009</v>
      </c>
      <c r="D58" t="s">
        <v>541</v>
      </c>
      <c r="E58">
        <v>5000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5000</v>
      </c>
      <c r="M58">
        <v>0</v>
      </c>
      <c r="N58">
        <v>0</v>
      </c>
      <c r="O58">
        <v>0</v>
      </c>
      <c r="P58" s="187" t="s">
        <v>501</v>
      </c>
      <c r="Q58" s="1">
        <f>IF(Table2[[#This Row],[Check Status with ga 55]]="ok",0,1)</f>
        <v>0</v>
      </c>
      <c r="R58" s="128" t="str">
        <f t="shared" si="41"/>
        <v>Sep-20</v>
      </c>
      <c r="S58" s="128" t="str">
        <f t="shared" si="42"/>
        <v>Sep</v>
      </c>
      <c r="T58" s="128" t="str">
        <f t="shared" si="43"/>
        <v>20</v>
      </c>
      <c r="U58" s="181">
        <f>Table2[[#This Row],[Total Premium]]+Table2[[#This Row],[Loan]]</f>
        <v>5000</v>
      </c>
    </row>
    <row r="59" spans="1:21" x14ac:dyDescent="0.25">
      <c r="A59" t="s">
        <v>342</v>
      </c>
      <c r="B59" s="127">
        <v>44075</v>
      </c>
      <c r="C59">
        <v>202010</v>
      </c>
      <c r="D59" t="s">
        <v>541</v>
      </c>
      <c r="E59">
        <v>5000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5000</v>
      </c>
      <c r="M59">
        <v>0</v>
      </c>
      <c r="N59">
        <v>0</v>
      </c>
      <c r="O59">
        <v>0</v>
      </c>
      <c r="P59" s="187" t="s">
        <v>501</v>
      </c>
      <c r="Q59" s="1">
        <f>IF(Table2[[#This Row],[Check Status with ga 55]]="ok",0,1)</f>
        <v>0</v>
      </c>
      <c r="R59" s="128" t="str">
        <f t="shared" si="41"/>
        <v>Oct-20</v>
      </c>
      <c r="S59" s="128" t="str">
        <f t="shared" si="42"/>
        <v>Oct</v>
      </c>
      <c r="T59" s="128" t="str">
        <f t="shared" si="43"/>
        <v>20</v>
      </c>
      <c r="U59" s="181">
        <f>Table2[[#This Row],[Total Premium]]+Table2[[#This Row],[Loan]]</f>
        <v>5000</v>
      </c>
    </row>
    <row r="60" spans="1:21" x14ac:dyDescent="0.25">
      <c r="A60" t="s">
        <v>342</v>
      </c>
      <c r="B60" s="127">
        <v>44105</v>
      </c>
      <c r="C60">
        <v>202011</v>
      </c>
      <c r="D60" t="s">
        <v>541</v>
      </c>
      <c r="E60">
        <v>5000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5000</v>
      </c>
      <c r="M60">
        <v>0</v>
      </c>
      <c r="N60">
        <v>0</v>
      </c>
      <c r="O60">
        <v>0</v>
      </c>
      <c r="P60" s="187" t="s">
        <v>501</v>
      </c>
      <c r="Q60" s="1">
        <f>IF(Table2[[#This Row],[Check Status with ga 55]]="ok",0,1)</f>
        <v>0</v>
      </c>
      <c r="R60" s="128" t="str">
        <f t="shared" si="41"/>
        <v>Nov-20</v>
      </c>
      <c r="S60" s="128" t="str">
        <f t="shared" si="42"/>
        <v>Nov</v>
      </c>
      <c r="T60" s="128" t="str">
        <f t="shared" si="43"/>
        <v>20</v>
      </c>
      <c r="U60" s="181">
        <f>Table2[[#This Row],[Total Premium]]+Table2[[#This Row],[Loan]]</f>
        <v>5000</v>
      </c>
    </row>
    <row r="61" spans="1:21" x14ac:dyDescent="0.25">
      <c r="A61" t="s">
        <v>342</v>
      </c>
      <c r="B61" s="127">
        <v>44136</v>
      </c>
      <c r="C61">
        <v>202012</v>
      </c>
      <c r="D61" t="s">
        <v>541</v>
      </c>
      <c r="E61">
        <v>5000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5000</v>
      </c>
      <c r="M61">
        <v>0</v>
      </c>
      <c r="N61">
        <v>0</v>
      </c>
      <c r="O61">
        <v>0</v>
      </c>
      <c r="P61" s="187" t="s">
        <v>501</v>
      </c>
      <c r="Q61" s="1">
        <f>IF(Table2[[#This Row],[Check Status with ga 55]]="ok",0,1)</f>
        <v>0</v>
      </c>
      <c r="R61" s="128" t="str">
        <f t="shared" si="41"/>
        <v>Dec-20</v>
      </c>
      <c r="S61" s="128" t="str">
        <f t="shared" si="42"/>
        <v>Dec</v>
      </c>
      <c r="T61" s="128" t="str">
        <f t="shared" si="43"/>
        <v>20</v>
      </c>
      <c r="U61" s="181">
        <f>Table2[[#This Row],[Total Premium]]+Table2[[#This Row],[Loan]]</f>
        <v>5000</v>
      </c>
    </row>
    <row r="62" spans="1:21" x14ac:dyDescent="0.25">
      <c r="A62" t="s">
        <v>342</v>
      </c>
      <c r="B62" s="127">
        <v>44166</v>
      </c>
      <c r="C62">
        <v>202101</v>
      </c>
      <c r="D62" t="s">
        <v>541</v>
      </c>
      <c r="E62">
        <v>5000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5000</v>
      </c>
      <c r="M62">
        <v>0</v>
      </c>
      <c r="N62">
        <v>0</v>
      </c>
      <c r="O62">
        <v>0</v>
      </c>
      <c r="P62" s="187" t="s">
        <v>501</v>
      </c>
      <c r="Q62" s="1">
        <f>IF(Table2[[#This Row],[Check Status with ga 55]]="ok",0,1)</f>
        <v>0</v>
      </c>
      <c r="R62" s="128" t="str">
        <f t="shared" si="41"/>
        <v>Jan-21</v>
      </c>
      <c r="S62" s="128" t="str">
        <f t="shared" si="42"/>
        <v>Jan</v>
      </c>
      <c r="T62" s="128" t="str">
        <f t="shared" si="43"/>
        <v>21</v>
      </c>
      <c r="U62" s="181">
        <f>Table2[[#This Row],[Total Premium]]+Table2[[#This Row],[Loan]]</f>
        <v>5000</v>
      </c>
    </row>
    <row r="63" spans="1:21" x14ac:dyDescent="0.25">
      <c r="A63" t="s">
        <v>342</v>
      </c>
      <c r="B63" s="127">
        <v>44197</v>
      </c>
      <c r="C63">
        <v>202102</v>
      </c>
      <c r="D63" t="s">
        <v>541</v>
      </c>
      <c r="E63">
        <v>5000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5000</v>
      </c>
      <c r="M63">
        <v>0</v>
      </c>
      <c r="N63">
        <v>0</v>
      </c>
      <c r="O63">
        <v>0</v>
      </c>
      <c r="P63" s="187" t="s">
        <v>501</v>
      </c>
      <c r="Q63" s="1">
        <f>IF(Table2[[#This Row],[Check Status with ga 55]]="ok",0,1)</f>
        <v>0</v>
      </c>
      <c r="R63" s="128" t="str">
        <f t="shared" si="41"/>
        <v>Feb-21</v>
      </c>
      <c r="S63" s="128" t="str">
        <f t="shared" si="42"/>
        <v>Feb</v>
      </c>
      <c r="T63" s="128" t="str">
        <f t="shared" si="43"/>
        <v>21</v>
      </c>
      <c r="U63" s="181">
        <f>Table2[[#This Row],[Total Premium]]+Table2[[#This Row],[Loan]]</f>
        <v>5000</v>
      </c>
    </row>
    <row r="64" spans="1:21" x14ac:dyDescent="0.25">
      <c r="A64" t="s">
        <v>342</v>
      </c>
      <c r="B64" s="127">
        <v>44228</v>
      </c>
      <c r="C64">
        <v>202103</v>
      </c>
      <c r="D64" t="s">
        <v>541</v>
      </c>
      <c r="E64">
        <v>5000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5000</v>
      </c>
      <c r="M64">
        <v>0</v>
      </c>
      <c r="N64">
        <v>0</v>
      </c>
      <c r="O64">
        <v>0</v>
      </c>
      <c r="P64" s="187" t="s">
        <v>501</v>
      </c>
      <c r="Q64" s="1">
        <f>IF(Table2[[#This Row],[Check Status with ga 55]]="ok",0,1)</f>
        <v>0</v>
      </c>
      <c r="R64" s="128" t="str">
        <f t="shared" si="41"/>
        <v>Mar-21</v>
      </c>
      <c r="S64" s="128" t="str">
        <f t="shared" si="42"/>
        <v>Mar</v>
      </c>
      <c r="T64" s="128" t="str">
        <f t="shared" si="43"/>
        <v>21</v>
      </c>
      <c r="U64" s="181">
        <f>Table2[[#This Row],[Total Premium]]+Table2[[#This Row],[Loan]]</f>
        <v>5000</v>
      </c>
    </row>
    <row r="65" spans="1:21" x14ac:dyDescent="0.25">
      <c r="A65" t="s">
        <v>416</v>
      </c>
      <c r="B65" s="127">
        <v>44256</v>
      </c>
      <c r="C65">
        <v>202104</v>
      </c>
      <c r="D65" t="s">
        <v>541</v>
      </c>
      <c r="E65">
        <v>5000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5000</v>
      </c>
      <c r="M65">
        <v>0</v>
      </c>
      <c r="N65">
        <v>0</v>
      </c>
      <c r="O65">
        <v>0</v>
      </c>
      <c r="P65" s="187" t="s">
        <v>501</v>
      </c>
      <c r="Q65" s="1">
        <f>IF(Table2[[#This Row],[Check Status with ga 55]]="ok",0,1)</f>
        <v>0</v>
      </c>
      <c r="R65" s="128" t="str">
        <f t="shared" si="41"/>
        <v>Apr-21</v>
      </c>
      <c r="S65" s="128" t="str">
        <f t="shared" si="42"/>
        <v>Apr</v>
      </c>
      <c r="T65" s="128" t="str">
        <f t="shared" si="43"/>
        <v>21</v>
      </c>
      <c r="U65" s="181">
        <f>Table2[[#This Row],[Total Premium]]+Table2[[#This Row],[Loan]]</f>
        <v>5000</v>
      </c>
    </row>
    <row r="66" spans="1:21" x14ac:dyDescent="0.25">
      <c r="A66" t="s">
        <v>416</v>
      </c>
      <c r="B66" s="127">
        <v>44287</v>
      </c>
      <c r="C66">
        <v>202105</v>
      </c>
      <c r="D66" t="s">
        <v>541</v>
      </c>
      <c r="E66">
        <v>5000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5000</v>
      </c>
      <c r="M66">
        <v>0</v>
      </c>
      <c r="N66">
        <v>0</v>
      </c>
      <c r="O66">
        <v>0</v>
      </c>
      <c r="P66" s="187" t="s">
        <v>501</v>
      </c>
      <c r="Q66" s="1">
        <f>IF(Table2[[#This Row],[Check Status with ga 55]]="ok",0,1)</f>
        <v>0</v>
      </c>
      <c r="R66" s="128" t="str">
        <f t="shared" si="41"/>
        <v>May-21</v>
      </c>
      <c r="S66" s="128" t="str">
        <f t="shared" si="42"/>
        <v>May</v>
      </c>
      <c r="T66" s="128" t="str">
        <f t="shared" si="43"/>
        <v>21</v>
      </c>
      <c r="U66" s="181">
        <f>Table2[[#This Row],[Total Premium]]+Table2[[#This Row],[Loan]]</f>
        <v>5000</v>
      </c>
    </row>
    <row r="67" spans="1:21" x14ac:dyDescent="0.25">
      <c r="A67" t="s">
        <v>416</v>
      </c>
      <c r="B67" s="127">
        <v>44317</v>
      </c>
      <c r="C67">
        <v>202106</v>
      </c>
      <c r="D67" t="s">
        <v>541</v>
      </c>
      <c r="E67">
        <v>5000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5000</v>
      </c>
      <c r="M67">
        <v>0</v>
      </c>
      <c r="N67">
        <v>0</v>
      </c>
      <c r="O67">
        <v>0</v>
      </c>
      <c r="P67" s="187" t="s">
        <v>501</v>
      </c>
      <c r="Q67" s="1">
        <f>IF(Table2[[#This Row],[Check Status with ga 55]]="ok",0,1)</f>
        <v>0</v>
      </c>
      <c r="R67" s="128" t="str">
        <f t="shared" si="41"/>
        <v>Jun-21</v>
      </c>
      <c r="S67" s="128" t="str">
        <f t="shared" si="42"/>
        <v>Jun</v>
      </c>
      <c r="T67" s="128" t="str">
        <f t="shared" si="43"/>
        <v>21</v>
      </c>
      <c r="U67" s="181">
        <f>Table2[[#This Row],[Total Premium]]+Table2[[#This Row],[Loan]]</f>
        <v>5000</v>
      </c>
    </row>
    <row r="68" spans="1:21" x14ac:dyDescent="0.25">
      <c r="A68" t="s">
        <v>416</v>
      </c>
      <c r="B68" s="127">
        <v>44348</v>
      </c>
      <c r="C68">
        <v>202107</v>
      </c>
      <c r="D68" t="s">
        <v>541</v>
      </c>
      <c r="E68">
        <v>5000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5000</v>
      </c>
      <c r="M68">
        <v>0</v>
      </c>
      <c r="N68">
        <v>0</v>
      </c>
      <c r="O68">
        <v>0</v>
      </c>
      <c r="P68" s="187" t="s">
        <v>501</v>
      </c>
      <c r="Q68" s="1">
        <f>IF(Table2[[#This Row],[Check Status with ga 55]]="ok",0,1)</f>
        <v>0</v>
      </c>
      <c r="R68" s="128" t="str">
        <f t="shared" si="41"/>
        <v>Jul-21</v>
      </c>
      <c r="S68" s="128" t="str">
        <f t="shared" si="42"/>
        <v>Jul</v>
      </c>
      <c r="T68" s="128" t="str">
        <f t="shared" si="43"/>
        <v>21</v>
      </c>
      <c r="U68" s="181">
        <f>Table2[[#This Row],[Total Premium]]+Table2[[#This Row],[Loan]]</f>
        <v>5000</v>
      </c>
    </row>
    <row r="69" spans="1:21" x14ac:dyDescent="0.25">
      <c r="A69" t="s">
        <v>416</v>
      </c>
      <c r="B69" s="127">
        <v>44378</v>
      </c>
      <c r="C69">
        <v>202108</v>
      </c>
      <c r="D69" t="s">
        <v>541</v>
      </c>
      <c r="E69">
        <v>5000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5000</v>
      </c>
      <c r="M69">
        <v>0</v>
      </c>
      <c r="N69">
        <v>0</v>
      </c>
      <c r="O69">
        <v>0</v>
      </c>
      <c r="P69" s="187" t="s">
        <v>501</v>
      </c>
      <c r="Q69" s="1">
        <f>IF(Table2[[#This Row],[Check Status with ga 55]]="ok",0,1)</f>
        <v>0</v>
      </c>
      <c r="R69" s="128" t="str">
        <f t="shared" ref="R69:R78" si="44">IFERROR(CONCATENATE(TEXT(RIGHT(C69,2)*29,"mmm"),"-",RIGHT(LEFT(C69,4),2)),"")</f>
        <v>Aug-21</v>
      </c>
      <c r="S69" s="128" t="str">
        <f t="shared" ref="S69:S78" si="45">IFERROR((TEXT(RIGHT(C69,2)*29,"mmm")),"")</f>
        <v>Aug</v>
      </c>
      <c r="T69" s="128" t="str">
        <f t="shared" ref="T69:T78" si="46">IFERROR(RIGHT(LEFT(C69,4),2),"")</f>
        <v>21</v>
      </c>
      <c r="U69" s="181">
        <f>Table2[[#This Row],[Total Premium]]+Table2[[#This Row],[Loan]]</f>
        <v>5000</v>
      </c>
    </row>
    <row r="70" spans="1:21" x14ac:dyDescent="0.25">
      <c r="A70" t="s">
        <v>416</v>
      </c>
      <c r="B70" s="127">
        <v>44409</v>
      </c>
      <c r="C70">
        <v>202109</v>
      </c>
      <c r="D70" t="s">
        <v>541</v>
      </c>
      <c r="E70">
        <v>5000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5000</v>
      </c>
      <c r="M70">
        <v>0</v>
      </c>
      <c r="N70">
        <v>0</v>
      </c>
      <c r="O70">
        <v>0</v>
      </c>
      <c r="P70" s="187" t="s">
        <v>501</v>
      </c>
      <c r="Q70" s="1">
        <f>IF(Table2[[#This Row],[Check Status with ga 55]]="ok",0,1)</f>
        <v>0</v>
      </c>
      <c r="R70" s="128" t="str">
        <f t="shared" si="44"/>
        <v>Sep-21</v>
      </c>
      <c r="S70" s="128" t="str">
        <f t="shared" si="45"/>
        <v>Sep</v>
      </c>
      <c r="T70" s="128" t="str">
        <f t="shared" si="46"/>
        <v>21</v>
      </c>
      <c r="U70" s="181">
        <f>Table2[[#This Row],[Total Premium]]+Table2[[#This Row],[Loan]]</f>
        <v>5000</v>
      </c>
    </row>
    <row r="71" spans="1:21" x14ac:dyDescent="0.25">
      <c r="A71" t="s">
        <v>416</v>
      </c>
      <c r="B71" s="127">
        <v>44440</v>
      </c>
      <c r="C71">
        <v>202110</v>
      </c>
      <c r="D71" t="s">
        <v>541</v>
      </c>
      <c r="E71">
        <v>5000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5000</v>
      </c>
      <c r="M71">
        <v>0</v>
      </c>
      <c r="N71">
        <v>0</v>
      </c>
      <c r="O71">
        <v>0</v>
      </c>
      <c r="P71" s="187" t="s">
        <v>501</v>
      </c>
      <c r="Q71" s="1">
        <f>IF(Table2[[#This Row],[Check Status with ga 55]]="ok",0,1)</f>
        <v>0</v>
      </c>
      <c r="R71" s="128" t="str">
        <f t="shared" si="44"/>
        <v>Oct-21</v>
      </c>
      <c r="S71" s="128" t="str">
        <f t="shared" si="45"/>
        <v>Oct</v>
      </c>
      <c r="T71" s="128" t="str">
        <f t="shared" si="46"/>
        <v>21</v>
      </c>
      <c r="U71" s="181">
        <f>Table2[[#This Row],[Total Premium]]+Table2[[#This Row],[Loan]]</f>
        <v>5000</v>
      </c>
    </row>
    <row r="72" spans="1:21" x14ac:dyDescent="0.25">
      <c r="A72" t="s">
        <v>416</v>
      </c>
      <c r="B72" s="127">
        <v>44470</v>
      </c>
      <c r="C72">
        <v>202111</v>
      </c>
      <c r="D72" t="s">
        <v>541</v>
      </c>
      <c r="E72">
        <v>5000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5000</v>
      </c>
      <c r="M72">
        <v>0</v>
      </c>
      <c r="N72">
        <v>0</v>
      </c>
      <c r="O72">
        <v>0</v>
      </c>
      <c r="P72" s="187" t="s">
        <v>501</v>
      </c>
      <c r="Q72" s="1">
        <f>IF(Table2[[#This Row],[Check Status with ga 55]]="ok",0,1)</f>
        <v>0</v>
      </c>
      <c r="R72" s="128" t="str">
        <f t="shared" si="44"/>
        <v>Nov-21</v>
      </c>
      <c r="S72" s="128" t="str">
        <f t="shared" si="45"/>
        <v>Nov</v>
      </c>
      <c r="T72" s="128" t="str">
        <f t="shared" si="46"/>
        <v>21</v>
      </c>
      <c r="U72" s="181">
        <f>Table2[[#This Row],[Total Premium]]+Table2[[#This Row],[Loan]]</f>
        <v>5000</v>
      </c>
    </row>
    <row r="73" spans="1:21" x14ac:dyDescent="0.25">
      <c r="A73" t="s">
        <v>416</v>
      </c>
      <c r="B73" s="127">
        <v>44501</v>
      </c>
      <c r="C73">
        <v>202112</v>
      </c>
      <c r="D73" t="s">
        <v>541</v>
      </c>
      <c r="E73">
        <v>5000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5000</v>
      </c>
      <c r="M73">
        <v>0</v>
      </c>
      <c r="N73">
        <v>0</v>
      </c>
      <c r="O73">
        <v>0</v>
      </c>
      <c r="P73" s="187" t="s">
        <v>501</v>
      </c>
      <c r="Q73" s="1">
        <f>IF(Table2[[#This Row],[Check Status with ga 55]]="ok",0,1)</f>
        <v>0</v>
      </c>
      <c r="R73" s="128" t="str">
        <f t="shared" si="44"/>
        <v>Dec-21</v>
      </c>
      <c r="S73" s="128" t="str">
        <f t="shared" si="45"/>
        <v>Dec</v>
      </c>
      <c r="T73" s="128" t="str">
        <f t="shared" si="46"/>
        <v>21</v>
      </c>
      <c r="U73" s="181">
        <f>Table2[[#This Row],[Total Premium]]+Table2[[#This Row],[Loan]]</f>
        <v>5000</v>
      </c>
    </row>
    <row r="74" spans="1:21" x14ac:dyDescent="0.25">
      <c r="A74" t="s">
        <v>416</v>
      </c>
      <c r="B74" s="127">
        <v>44531</v>
      </c>
      <c r="C74">
        <v>202201</v>
      </c>
      <c r="D74" t="s">
        <v>541</v>
      </c>
      <c r="E74">
        <v>5000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5000</v>
      </c>
      <c r="M74">
        <v>0</v>
      </c>
      <c r="N74">
        <v>0</v>
      </c>
      <c r="O74">
        <v>0</v>
      </c>
      <c r="P74" s="187" t="s">
        <v>501</v>
      </c>
      <c r="Q74" s="1">
        <f>IF(Table2[[#This Row],[Check Status with ga 55]]="ok",0,1)</f>
        <v>0</v>
      </c>
      <c r="R74" s="128" t="str">
        <f t="shared" si="44"/>
        <v>Jan-22</v>
      </c>
      <c r="S74" s="128" t="str">
        <f t="shared" si="45"/>
        <v>Jan</v>
      </c>
      <c r="T74" s="128" t="str">
        <f t="shared" si="46"/>
        <v>22</v>
      </c>
      <c r="U74" s="181">
        <f>Table2[[#This Row],[Total Premium]]+Table2[[#This Row],[Loan]]</f>
        <v>5000</v>
      </c>
    </row>
    <row r="75" spans="1:21" x14ac:dyDescent="0.25">
      <c r="A75" t="s">
        <v>416</v>
      </c>
      <c r="B75" s="127">
        <v>44562</v>
      </c>
      <c r="C75">
        <v>202202</v>
      </c>
      <c r="D75" t="s">
        <v>541</v>
      </c>
      <c r="E75">
        <v>5000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5000</v>
      </c>
      <c r="M75">
        <v>0</v>
      </c>
      <c r="N75">
        <v>0</v>
      </c>
      <c r="O75">
        <v>0</v>
      </c>
      <c r="P75" s="187" t="s">
        <v>501</v>
      </c>
      <c r="Q75" s="1">
        <f>IF(Table2[[#This Row],[Check Status with ga 55]]="ok",0,1)</f>
        <v>0</v>
      </c>
      <c r="R75" s="128" t="str">
        <f t="shared" si="44"/>
        <v>Feb-22</v>
      </c>
      <c r="S75" s="128" t="str">
        <f t="shared" si="45"/>
        <v>Feb</v>
      </c>
      <c r="T75" s="128" t="str">
        <f t="shared" si="46"/>
        <v>22</v>
      </c>
      <c r="U75" s="181">
        <f>Table2[[#This Row],[Total Premium]]+Table2[[#This Row],[Loan]]</f>
        <v>5000</v>
      </c>
    </row>
    <row r="76" spans="1:21" x14ac:dyDescent="0.25">
      <c r="A76" t="s">
        <v>416</v>
      </c>
      <c r="B76" s="127">
        <v>44593</v>
      </c>
      <c r="C76">
        <v>202203</v>
      </c>
      <c r="D76" t="s">
        <v>541</v>
      </c>
      <c r="E76">
        <v>5000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5000</v>
      </c>
      <c r="M76">
        <v>0</v>
      </c>
      <c r="N76">
        <v>0</v>
      </c>
      <c r="O76">
        <v>0</v>
      </c>
      <c r="P76" s="187" t="s">
        <v>501</v>
      </c>
      <c r="Q76" s="1">
        <f>IF(Table2[[#This Row],[Check Status with ga 55]]="ok",0,1)</f>
        <v>0</v>
      </c>
      <c r="R76" s="128" t="str">
        <f t="shared" si="44"/>
        <v>Mar-22</v>
      </c>
      <c r="S76" s="128" t="str">
        <f t="shared" si="45"/>
        <v>Mar</v>
      </c>
      <c r="T76" s="128" t="str">
        <f t="shared" si="46"/>
        <v>22</v>
      </c>
      <c r="U76" s="181">
        <f>Table2[[#This Row],[Total Premium]]+Table2[[#This Row],[Loan]]</f>
        <v>5000</v>
      </c>
    </row>
    <row r="77" spans="1:21" x14ac:dyDescent="0.25">
      <c r="A77" t="s">
        <v>516</v>
      </c>
      <c r="B77" s="127">
        <v>44621</v>
      </c>
      <c r="C77">
        <v>202204</v>
      </c>
      <c r="D77" t="s">
        <v>541</v>
      </c>
      <c r="E77">
        <v>5000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5000</v>
      </c>
      <c r="M77">
        <v>0</v>
      </c>
      <c r="N77">
        <v>0</v>
      </c>
      <c r="O77">
        <v>0</v>
      </c>
      <c r="P77" s="187" t="s">
        <v>501</v>
      </c>
      <c r="Q77" s="1">
        <f>IF(Table2[[#This Row],[Check Status with ga 55]]="ok",0,1)</f>
        <v>0</v>
      </c>
      <c r="R77" s="128" t="str">
        <f t="shared" si="44"/>
        <v>Apr-22</v>
      </c>
      <c r="S77" s="128" t="str">
        <f t="shared" si="45"/>
        <v>Apr</v>
      </c>
      <c r="T77" s="128" t="str">
        <f t="shared" si="46"/>
        <v>22</v>
      </c>
      <c r="U77" s="181">
        <f>Table2[[#This Row],[Total Premium]]+Table2[[#This Row],[Loan]]</f>
        <v>5000</v>
      </c>
    </row>
    <row r="78" spans="1:21" x14ac:dyDescent="0.25">
      <c r="A78" t="s">
        <v>516</v>
      </c>
      <c r="B78" s="127">
        <v>44652</v>
      </c>
      <c r="C78">
        <v>202205</v>
      </c>
      <c r="D78" t="s">
        <v>541</v>
      </c>
      <c r="E78">
        <v>5000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5000</v>
      </c>
      <c r="M78">
        <v>0</v>
      </c>
      <c r="N78">
        <v>0</v>
      </c>
      <c r="O78">
        <v>0</v>
      </c>
      <c r="P78" s="187" t="s">
        <v>501</v>
      </c>
      <c r="Q78" s="1">
        <f>IF(Table2[[#This Row],[Check Status with ga 55]]="ok",0,1)</f>
        <v>0</v>
      </c>
      <c r="R78" s="128" t="str">
        <f t="shared" si="44"/>
        <v>May-22</v>
      </c>
      <c r="S78" s="128" t="str">
        <f t="shared" si="45"/>
        <v>May</v>
      </c>
      <c r="T78" s="128" t="str">
        <f t="shared" si="46"/>
        <v>22</v>
      </c>
      <c r="U78" s="181">
        <f>Table2[[#This Row],[Total Premium]]+Table2[[#This Row],[Loan]]</f>
        <v>5000</v>
      </c>
    </row>
    <row r="79" spans="1:21" x14ac:dyDescent="0.25">
      <c r="A79" t="s">
        <v>516</v>
      </c>
      <c r="B79" s="127">
        <v>44682</v>
      </c>
      <c r="C79">
        <v>202206</v>
      </c>
      <c r="D79" t="s">
        <v>541</v>
      </c>
      <c r="E79">
        <v>5000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5000</v>
      </c>
      <c r="M79">
        <v>0</v>
      </c>
      <c r="N79">
        <v>0</v>
      </c>
      <c r="O79">
        <v>0</v>
      </c>
      <c r="P79" s="187" t="s">
        <v>501</v>
      </c>
      <c r="Q79" s="1">
        <f>IF(Table2[[#This Row],[Check Status with ga 55]]="ok",0,1)</f>
        <v>0</v>
      </c>
      <c r="R79" s="128" t="str">
        <f t="shared" ref="R79:R88" si="47">IFERROR(CONCATENATE(TEXT(RIGHT(C79,2)*29,"mmm"),"-",RIGHT(LEFT(C79,4),2)),"")</f>
        <v>Jun-22</v>
      </c>
      <c r="S79" s="128" t="str">
        <f t="shared" ref="S79:S88" si="48">IFERROR((TEXT(RIGHT(C79,2)*29,"mmm")),"")</f>
        <v>Jun</v>
      </c>
      <c r="T79" s="128" t="str">
        <f t="shared" ref="T79:T88" si="49">IFERROR(RIGHT(LEFT(C79,4),2),"")</f>
        <v>22</v>
      </c>
      <c r="U79" s="181">
        <f>Table2[[#This Row],[Total Premium]]+Table2[[#This Row],[Loan]]</f>
        <v>5000</v>
      </c>
    </row>
    <row r="80" spans="1:21" x14ac:dyDescent="0.25">
      <c r="A80" t="s">
        <v>516</v>
      </c>
      <c r="B80" s="127">
        <v>44713</v>
      </c>
      <c r="C80">
        <v>202207</v>
      </c>
      <c r="D80" t="s">
        <v>541</v>
      </c>
      <c r="E80">
        <v>5000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5000</v>
      </c>
      <c r="M80">
        <v>0</v>
      </c>
      <c r="N80">
        <v>0</v>
      </c>
      <c r="O80">
        <v>0</v>
      </c>
      <c r="P80" s="187" t="s">
        <v>501</v>
      </c>
      <c r="Q80" s="1">
        <f>IF(Table2[[#This Row],[Check Status with ga 55]]="ok",0,1)</f>
        <v>0</v>
      </c>
      <c r="R80" s="128" t="str">
        <f t="shared" si="47"/>
        <v>Jul-22</v>
      </c>
      <c r="S80" s="128" t="str">
        <f t="shared" si="48"/>
        <v>Jul</v>
      </c>
      <c r="T80" s="128" t="str">
        <f t="shared" si="49"/>
        <v>22</v>
      </c>
      <c r="U80" s="181">
        <f>Table2[[#This Row],[Total Premium]]+Table2[[#This Row],[Loan]]</f>
        <v>5000</v>
      </c>
    </row>
    <row r="81" spans="1:21" x14ac:dyDescent="0.25">
      <c r="A81" t="s">
        <v>516</v>
      </c>
      <c r="B81" s="127">
        <v>44743</v>
      </c>
      <c r="C81">
        <v>202208</v>
      </c>
      <c r="D81" t="s">
        <v>541</v>
      </c>
      <c r="E81">
        <v>5000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5000</v>
      </c>
      <c r="M81">
        <v>0</v>
      </c>
      <c r="N81">
        <v>0</v>
      </c>
      <c r="O81">
        <v>0</v>
      </c>
      <c r="P81" s="187" t="s">
        <v>501</v>
      </c>
      <c r="Q81" s="1">
        <f>IF(Table2[[#This Row],[Check Status with ga 55]]="ok",0,1)</f>
        <v>0</v>
      </c>
      <c r="R81" s="128" t="str">
        <f t="shared" si="47"/>
        <v>Aug-22</v>
      </c>
      <c r="S81" s="128" t="str">
        <f t="shared" si="48"/>
        <v>Aug</v>
      </c>
      <c r="T81" s="128" t="str">
        <f t="shared" si="49"/>
        <v>22</v>
      </c>
      <c r="U81" s="181">
        <f>Table2[[#This Row],[Total Premium]]+Table2[[#This Row],[Loan]]</f>
        <v>5000</v>
      </c>
    </row>
    <row r="82" spans="1:21" x14ac:dyDescent="0.25">
      <c r="A82" t="s">
        <v>516</v>
      </c>
      <c r="B82" s="127">
        <v>44774</v>
      </c>
      <c r="C82">
        <v>202209</v>
      </c>
      <c r="D82" t="s">
        <v>541</v>
      </c>
      <c r="E82">
        <v>5000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5000</v>
      </c>
      <c r="M82">
        <v>0</v>
      </c>
      <c r="N82">
        <v>0</v>
      </c>
      <c r="O82">
        <v>0</v>
      </c>
      <c r="P82" s="187" t="s">
        <v>501</v>
      </c>
      <c r="Q82" s="1">
        <f>IF(Table2[[#This Row],[Check Status with ga 55]]="ok",0,1)</f>
        <v>0</v>
      </c>
      <c r="R82" s="128" t="str">
        <f t="shared" si="47"/>
        <v>Sep-22</v>
      </c>
      <c r="S82" s="128" t="str">
        <f t="shared" si="48"/>
        <v>Sep</v>
      </c>
      <c r="T82" s="128" t="str">
        <f t="shared" si="49"/>
        <v>22</v>
      </c>
      <c r="U82" s="181">
        <f>Table2[[#This Row],[Total Premium]]+Table2[[#This Row],[Loan]]</f>
        <v>5000</v>
      </c>
    </row>
    <row r="83" spans="1:21" x14ac:dyDescent="0.25">
      <c r="A83" t="s">
        <v>516</v>
      </c>
      <c r="B83" s="127">
        <v>44805</v>
      </c>
      <c r="C83">
        <v>202210</v>
      </c>
      <c r="D83" t="s">
        <v>541</v>
      </c>
      <c r="E83">
        <v>5000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5000</v>
      </c>
      <c r="M83">
        <v>0</v>
      </c>
      <c r="N83">
        <v>0</v>
      </c>
      <c r="O83">
        <v>0</v>
      </c>
      <c r="P83" s="187" t="s">
        <v>501</v>
      </c>
      <c r="Q83" s="1">
        <f>IF(Table2[[#This Row],[Check Status with ga 55]]="ok",0,1)</f>
        <v>0</v>
      </c>
      <c r="R83" s="128" t="str">
        <f t="shared" si="47"/>
        <v>Oct-22</v>
      </c>
      <c r="S83" s="128" t="str">
        <f t="shared" si="48"/>
        <v>Oct</v>
      </c>
      <c r="T83" s="128" t="str">
        <f t="shared" si="49"/>
        <v>22</v>
      </c>
      <c r="U83" s="181">
        <f>Table2[[#This Row],[Total Premium]]+Table2[[#This Row],[Loan]]</f>
        <v>5000</v>
      </c>
    </row>
    <row r="84" spans="1:21" x14ac:dyDescent="0.25">
      <c r="A84" t="s">
        <v>516</v>
      </c>
      <c r="B84" s="127">
        <v>44835</v>
      </c>
      <c r="C84">
        <v>202211</v>
      </c>
      <c r="D84" t="s">
        <v>541</v>
      </c>
      <c r="E84">
        <v>5000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5000</v>
      </c>
      <c r="M84">
        <v>0</v>
      </c>
      <c r="N84">
        <v>0</v>
      </c>
      <c r="O84">
        <v>0</v>
      </c>
      <c r="P84" s="187" t="s">
        <v>501</v>
      </c>
      <c r="Q84" s="1">
        <f>IF(Table2[[#This Row],[Check Status with ga 55]]="ok",0,1)</f>
        <v>0</v>
      </c>
      <c r="R84" s="128" t="str">
        <f t="shared" si="47"/>
        <v>Nov-22</v>
      </c>
      <c r="S84" s="128" t="str">
        <f t="shared" si="48"/>
        <v>Nov</v>
      </c>
      <c r="T84" s="128" t="str">
        <f t="shared" si="49"/>
        <v>22</v>
      </c>
      <c r="U84" s="181">
        <f>Table2[[#This Row],[Total Premium]]+Table2[[#This Row],[Loan]]</f>
        <v>5000</v>
      </c>
    </row>
    <row r="85" spans="1:21" x14ac:dyDescent="0.25">
      <c r="A85" t="s">
        <v>516</v>
      </c>
      <c r="B85" s="127">
        <v>44866</v>
      </c>
      <c r="C85">
        <v>202212</v>
      </c>
      <c r="D85" t="s">
        <v>541</v>
      </c>
      <c r="E85">
        <v>5000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5000</v>
      </c>
      <c r="M85">
        <v>0</v>
      </c>
      <c r="N85">
        <v>0</v>
      </c>
      <c r="O85">
        <v>0</v>
      </c>
      <c r="P85" s="187" t="s">
        <v>501</v>
      </c>
      <c r="Q85" s="1">
        <f>IF(Table2[[#This Row],[Check Status with ga 55]]="ok",0,1)</f>
        <v>0</v>
      </c>
      <c r="R85" s="128" t="str">
        <f t="shared" si="47"/>
        <v>Dec-22</v>
      </c>
      <c r="S85" s="128" t="str">
        <f t="shared" si="48"/>
        <v>Dec</v>
      </c>
      <c r="T85" s="128" t="str">
        <f t="shared" si="49"/>
        <v>22</v>
      </c>
      <c r="U85" s="181">
        <f>Table2[[#This Row],[Total Premium]]+Table2[[#This Row],[Loan]]</f>
        <v>5000</v>
      </c>
    </row>
    <row r="86" spans="1:21" x14ac:dyDescent="0.25">
      <c r="A86" t="s">
        <v>516</v>
      </c>
      <c r="B86" s="127">
        <v>44896</v>
      </c>
      <c r="C86">
        <v>202301</v>
      </c>
      <c r="D86" t="s">
        <v>541</v>
      </c>
      <c r="E86">
        <v>5000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5000</v>
      </c>
      <c r="M86">
        <v>0</v>
      </c>
      <c r="N86">
        <v>0</v>
      </c>
      <c r="O86">
        <v>0</v>
      </c>
      <c r="P86" s="187" t="s">
        <v>501</v>
      </c>
      <c r="Q86" s="1">
        <f>IF(Table2[[#This Row],[Check Status with ga 55]]="ok",0,1)</f>
        <v>0</v>
      </c>
      <c r="R86" s="128" t="str">
        <f t="shared" si="47"/>
        <v>Jan-23</v>
      </c>
      <c r="S86" s="128" t="str">
        <f t="shared" si="48"/>
        <v>Jan</v>
      </c>
      <c r="T86" s="128" t="str">
        <f t="shared" si="49"/>
        <v>23</v>
      </c>
      <c r="U86" s="181">
        <f>Table2[[#This Row],[Total Premium]]+Table2[[#This Row],[Loan]]</f>
        <v>5000</v>
      </c>
    </row>
    <row r="87" spans="1:21" x14ac:dyDescent="0.25">
      <c r="A87" t="s">
        <v>516</v>
      </c>
      <c r="B87" s="127">
        <v>44927</v>
      </c>
      <c r="C87">
        <v>202302</v>
      </c>
      <c r="D87" t="s">
        <v>541</v>
      </c>
      <c r="E87">
        <v>5000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5000</v>
      </c>
      <c r="M87">
        <v>0</v>
      </c>
      <c r="N87">
        <v>0</v>
      </c>
      <c r="O87">
        <v>0</v>
      </c>
      <c r="P87" s="187" t="s">
        <v>501</v>
      </c>
      <c r="Q87" s="1">
        <f>IF(Table2[[#This Row],[Check Status with ga 55]]="ok",0,1)</f>
        <v>0</v>
      </c>
      <c r="R87" s="128" t="str">
        <f t="shared" si="47"/>
        <v>Feb-23</v>
      </c>
      <c r="S87" s="128" t="str">
        <f t="shared" si="48"/>
        <v>Feb</v>
      </c>
      <c r="T87" s="128" t="str">
        <f t="shared" si="49"/>
        <v>23</v>
      </c>
      <c r="U87" s="181">
        <f>Table2[[#This Row],[Total Premium]]+Table2[[#This Row],[Loan]]</f>
        <v>5000</v>
      </c>
    </row>
    <row r="88" spans="1:21" x14ac:dyDescent="0.25">
      <c r="A88" t="s">
        <v>516</v>
      </c>
      <c r="B88" s="127">
        <v>44958</v>
      </c>
      <c r="C88">
        <v>202303</v>
      </c>
      <c r="D88" t="s">
        <v>541</v>
      </c>
      <c r="E88">
        <v>5000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5000</v>
      </c>
      <c r="M88">
        <v>0</v>
      </c>
      <c r="N88">
        <v>0</v>
      </c>
      <c r="O88">
        <v>0</v>
      </c>
      <c r="P88" s="187" t="s">
        <v>501</v>
      </c>
      <c r="Q88" s="1">
        <f>IF(Table2[[#This Row],[Check Status with ga 55]]="ok",0,1)</f>
        <v>0</v>
      </c>
      <c r="R88" s="128" t="str">
        <f t="shared" si="47"/>
        <v>Mar-23</v>
      </c>
      <c r="S88" s="128" t="str">
        <f t="shared" si="48"/>
        <v>Mar</v>
      </c>
      <c r="T88" s="128" t="str">
        <f t="shared" si="49"/>
        <v>23</v>
      </c>
      <c r="U88" s="181">
        <f>Table2[[#This Row],[Total Premium]]+Table2[[#This Row],[Loan]]</f>
        <v>5000</v>
      </c>
    </row>
    <row r="89" spans="1:21" x14ac:dyDescent="0.25">
      <c r="A89" t="s">
        <v>654</v>
      </c>
      <c r="B89" s="127">
        <v>44986</v>
      </c>
      <c r="C89">
        <v>202304</v>
      </c>
      <c r="D89" t="s">
        <v>541</v>
      </c>
      <c r="E89">
        <v>5000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5000</v>
      </c>
      <c r="M89">
        <v>0</v>
      </c>
      <c r="N89">
        <v>0</v>
      </c>
      <c r="O89">
        <v>0</v>
      </c>
      <c r="P89" s="187" t="s">
        <v>501</v>
      </c>
      <c r="Q89" s="1">
        <f>IF(Table2[[#This Row],[Check Status with ga 55]]="ok",0,1)</f>
        <v>0</v>
      </c>
      <c r="R89" s="128" t="str">
        <f>IFERROR(CONCATENATE(TEXT(RIGHT(C89,2)*29,"mmm"),"-",RIGHT(LEFT(C89,4),2)),"")</f>
        <v>Apr-23</v>
      </c>
      <c r="S89" s="128" t="str">
        <f>IFERROR((TEXT(RIGHT(C89,2)*29,"mmm")),"")</f>
        <v>Apr</v>
      </c>
      <c r="T89" s="128" t="str">
        <f>IFERROR(RIGHT(LEFT(C89,4),2),"")</f>
        <v>23</v>
      </c>
      <c r="U89" s="181">
        <f>Table2[[#This Row],[Total Premium]]+Table2[[#This Row],[Loan]]</f>
        <v>5000</v>
      </c>
    </row>
    <row r="90" spans="1:21" x14ac:dyDescent="0.25">
      <c r="A90" t="s">
        <v>654</v>
      </c>
      <c r="B90" s="127">
        <v>45017</v>
      </c>
      <c r="C90">
        <v>202305</v>
      </c>
      <c r="D90" t="s">
        <v>541</v>
      </c>
      <c r="E90">
        <v>5000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5000</v>
      </c>
      <c r="M90">
        <v>0</v>
      </c>
      <c r="N90">
        <v>0</v>
      </c>
      <c r="O90">
        <v>0</v>
      </c>
      <c r="P90" s="187" t="s">
        <v>501</v>
      </c>
      <c r="Q90" s="1">
        <f>IF(Table2[[#This Row],[Check Status with ga 55]]="ok",0,1)</f>
        <v>0</v>
      </c>
      <c r="R90" s="128" t="str">
        <f>IFERROR(CONCATENATE(TEXT(RIGHT(C90,2)*29,"mmm"),"-",RIGHT(LEFT(C90,4),2)),"")</f>
        <v>May-23</v>
      </c>
      <c r="S90" s="128" t="str">
        <f>IFERROR((TEXT(RIGHT(C90,2)*29,"mmm")),"")</f>
        <v>May</v>
      </c>
      <c r="T90" s="128" t="str">
        <f>IFERROR(RIGHT(LEFT(C90,4),2),"")</f>
        <v>23</v>
      </c>
      <c r="U90" s="181">
        <f>Table2[[#This Row],[Total Premium]]+Table2[[#This Row],[Loan]]</f>
        <v>5000</v>
      </c>
    </row>
    <row r="91" spans="1:21" x14ac:dyDescent="0.25">
      <c r="A91" t="s">
        <v>654</v>
      </c>
      <c r="B91" s="127">
        <v>45047</v>
      </c>
      <c r="C91">
        <v>202306</v>
      </c>
      <c r="D91" t="s">
        <v>541</v>
      </c>
      <c r="E91">
        <v>5000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5000</v>
      </c>
      <c r="M91">
        <v>0</v>
      </c>
      <c r="N91">
        <v>0</v>
      </c>
      <c r="O91">
        <v>0</v>
      </c>
      <c r="P91" s="187" t="s">
        <v>501</v>
      </c>
      <c r="Q91" s="1">
        <f>IF(Table2[[#This Row],[Check Status with ga 55]]="ok",0,1)</f>
        <v>0</v>
      </c>
      <c r="R91" s="128" t="str">
        <f t="shared" ref="R91:R93" si="50">IFERROR(CONCATENATE(TEXT(RIGHT(C91,2)*29,"mmm"),"-",RIGHT(LEFT(C91,4),2)),"")</f>
        <v>Jun-23</v>
      </c>
      <c r="S91" s="128" t="str">
        <f t="shared" ref="S91:S93" si="51">IFERROR((TEXT(RIGHT(C91,2)*29,"mmm")),"")</f>
        <v>Jun</v>
      </c>
      <c r="T91" s="128" t="str">
        <f t="shared" ref="T91:T93" si="52">IFERROR(RIGHT(LEFT(C91,4),2),"")</f>
        <v>23</v>
      </c>
      <c r="U91" s="181">
        <f>Table2[[#This Row],[Total Premium]]+Table2[[#This Row],[Loan]]</f>
        <v>5000</v>
      </c>
    </row>
    <row r="92" spans="1:21" x14ac:dyDescent="0.25">
      <c r="A92" t="s">
        <v>654</v>
      </c>
      <c r="B92" s="127">
        <v>45078</v>
      </c>
      <c r="C92">
        <v>202307</v>
      </c>
      <c r="D92" t="s">
        <v>541</v>
      </c>
      <c r="E92">
        <v>5000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5000</v>
      </c>
      <c r="M92">
        <v>0</v>
      </c>
      <c r="N92">
        <v>0</v>
      </c>
      <c r="O92">
        <v>0</v>
      </c>
      <c r="P92" s="187" t="s">
        <v>501</v>
      </c>
      <c r="Q92" s="1">
        <f>IF(Table2[[#This Row],[Check Status with ga 55]]="ok",0,1)</f>
        <v>0</v>
      </c>
      <c r="R92" s="128" t="str">
        <f t="shared" si="50"/>
        <v>Jul-23</v>
      </c>
      <c r="S92" s="128" t="str">
        <f t="shared" si="51"/>
        <v>Jul</v>
      </c>
      <c r="T92" s="128" t="str">
        <f t="shared" si="52"/>
        <v>23</v>
      </c>
      <c r="U92" s="181">
        <f>Table2[[#This Row],[Total Premium]]+Table2[[#This Row],[Loan]]</f>
        <v>5000</v>
      </c>
    </row>
    <row r="93" spans="1:21" x14ac:dyDescent="0.25">
      <c r="A93" t="s">
        <v>654</v>
      </c>
      <c r="B93" s="127">
        <v>45108</v>
      </c>
      <c r="C93">
        <v>202308</v>
      </c>
      <c r="D93" t="s">
        <v>541</v>
      </c>
      <c r="E93">
        <v>5000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5000</v>
      </c>
      <c r="M93">
        <v>0</v>
      </c>
      <c r="N93">
        <v>0</v>
      </c>
      <c r="O93">
        <v>0</v>
      </c>
      <c r="P93" s="187" t="s">
        <v>501</v>
      </c>
      <c r="Q93" s="1">
        <f>IF(Table2[[#This Row],[Check Status with ga 55]]="ok",0,1)</f>
        <v>0</v>
      </c>
      <c r="R93" s="128" t="str">
        <f t="shared" si="50"/>
        <v>Aug-23</v>
      </c>
      <c r="S93" s="128" t="str">
        <f t="shared" si="51"/>
        <v>Aug</v>
      </c>
      <c r="T93" s="128" t="str">
        <f t="shared" si="52"/>
        <v>23</v>
      </c>
      <c r="U93" s="181">
        <f>Table2[[#This Row],[Total Premium]]+Table2[[#This Row],[Loan]]</f>
        <v>5000</v>
      </c>
    </row>
    <row r="94" spans="1:21" x14ac:dyDescent="0.25">
      <c r="A94" t="s">
        <v>654</v>
      </c>
      <c r="B94" s="127">
        <v>45139</v>
      </c>
      <c r="C94">
        <v>202309</v>
      </c>
      <c r="D94" t="s">
        <v>541</v>
      </c>
      <c r="E94">
        <v>5000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5000</v>
      </c>
      <c r="M94">
        <v>0</v>
      </c>
      <c r="N94">
        <v>0</v>
      </c>
      <c r="O94">
        <v>0</v>
      </c>
      <c r="P94" s="187" t="s">
        <v>501</v>
      </c>
      <c r="Q94" s="1">
        <f>IF(Table2[[#This Row],[Check Status with ga 55]]="ok",0,1)</f>
        <v>0</v>
      </c>
      <c r="R94" s="128" t="str">
        <f t="shared" ref="R94:R102" si="53">IFERROR(CONCATENATE(TEXT(RIGHT(C94,2)*29,"mmm"),"-",RIGHT(LEFT(C94,4),2)),"")</f>
        <v>Sep-23</v>
      </c>
      <c r="S94" s="128" t="str">
        <f t="shared" ref="S94:S102" si="54">IFERROR((TEXT(RIGHT(C94,2)*29,"mmm")),"")</f>
        <v>Sep</v>
      </c>
      <c r="T94" s="128" t="str">
        <f t="shared" ref="T94:T102" si="55">IFERROR(RIGHT(LEFT(C94,4),2),"")</f>
        <v>23</v>
      </c>
      <c r="U94" s="181">
        <f>Table2[[#This Row],[Total Premium]]+Table2[[#This Row],[Loan]]</f>
        <v>5000</v>
      </c>
    </row>
    <row r="95" spans="1:21" x14ac:dyDescent="0.25">
      <c r="A95" t="s">
        <v>654</v>
      </c>
      <c r="B95" s="127">
        <v>45170</v>
      </c>
      <c r="C95">
        <v>202310</v>
      </c>
      <c r="D95" t="s">
        <v>541</v>
      </c>
      <c r="E95">
        <v>5000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5000</v>
      </c>
      <c r="M95">
        <v>0</v>
      </c>
      <c r="N95">
        <v>0</v>
      </c>
      <c r="O95">
        <v>0</v>
      </c>
      <c r="P95" s="187" t="s">
        <v>501</v>
      </c>
      <c r="Q95" s="1">
        <f>IF(Table2[[#This Row],[Check Status with ga 55]]="ok",0,1)</f>
        <v>0</v>
      </c>
      <c r="R95" s="128" t="str">
        <f t="shared" si="53"/>
        <v>Oct-23</v>
      </c>
      <c r="S95" s="128" t="str">
        <f t="shared" si="54"/>
        <v>Oct</v>
      </c>
      <c r="T95" s="128" t="str">
        <f t="shared" si="55"/>
        <v>23</v>
      </c>
      <c r="U95" s="181">
        <f>Table2[[#This Row],[Total Premium]]+Table2[[#This Row],[Loan]]</f>
        <v>5000</v>
      </c>
    </row>
    <row r="96" spans="1:21" x14ac:dyDescent="0.25">
      <c r="A96" t="s">
        <v>654</v>
      </c>
      <c r="B96" s="127">
        <v>45200</v>
      </c>
      <c r="C96">
        <v>202311</v>
      </c>
      <c r="D96" t="s">
        <v>541</v>
      </c>
      <c r="E96">
        <v>5000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5000</v>
      </c>
      <c r="M96">
        <v>0</v>
      </c>
      <c r="N96">
        <v>0</v>
      </c>
      <c r="O96">
        <v>0</v>
      </c>
      <c r="P96" s="187" t="s">
        <v>501</v>
      </c>
      <c r="Q96" s="1">
        <f>IF(Table2[[#This Row],[Check Status with ga 55]]="ok",0,1)</f>
        <v>0</v>
      </c>
      <c r="R96" s="128" t="str">
        <f t="shared" si="53"/>
        <v>Nov-23</v>
      </c>
      <c r="S96" s="128" t="str">
        <f t="shared" si="54"/>
        <v>Nov</v>
      </c>
      <c r="T96" s="128" t="str">
        <f t="shared" si="55"/>
        <v>23</v>
      </c>
      <c r="U96" s="181">
        <f>Table2[[#This Row],[Total Premium]]+Table2[[#This Row],[Loan]]</f>
        <v>5000</v>
      </c>
    </row>
    <row r="97" spans="1:21" x14ac:dyDescent="0.25">
      <c r="A97" t="s">
        <v>654</v>
      </c>
      <c r="B97" s="127">
        <v>45231</v>
      </c>
      <c r="C97">
        <v>202312</v>
      </c>
      <c r="D97" t="s">
        <v>541</v>
      </c>
      <c r="E97">
        <v>5000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5000</v>
      </c>
      <c r="M97">
        <v>0</v>
      </c>
      <c r="N97">
        <v>0</v>
      </c>
      <c r="O97">
        <v>0</v>
      </c>
      <c r="P97" s="187" t="s">
        <v>501</v>
      </c>
      <c r="Q97" s="1">
        <f>IF(Table2[[#This Row],[Check Status with ga 55]]="ok",0,1)</f>
        <v>0</v>
      </c>
      <c r="R97" s="128" t="str">
        <f t="shared" si="53"/>
        <v>Dec-23</v>
      </c>
      <c r="S97" s="128" t="str">
        <f t="shared" si="54"/>
        <v>Dec</v>
      </c>
      <c r="T97" s="128" t="str">
        <f t="shared" si="55"/>
        <v>23</v>
      </c>
      <c r="U97" s="181">
        <f>Table2[[#This Row],[Total Premium]]+Table2[[#This Row],[Loan]]</f>
        <v>5000</v>
      </c>
    </row>
    <row r="98" spans="1:21" x14ac:dyDescent="0.25">
      <c r="A98" t="s">
        <v>654</v>
      </c>
      <c r="B98" s="127">
        <v>45261</v>
      </c>
      <c r="C98">
        <v>202401</v>
      </c>
      <c r="D98" t="s">
        <v>541</v>
      </c>
      <c r="E98">
        <v>5000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5000</v>
      </c>
      <c r="M98">
        <v>0</v>
      </c>
      <c r="N98">
        <v>0</v>
      </c>
      <c r="O98">
        <v>0</v>
      </c>
      <c r="P98" s="187" t="s">
        <v>501</v>
      </c>
      <c r="Q98" s="1">
        <f>IF(Table2[[#This Row],[Check Status with ga 55]]="ok",0,1)</f>
        <v>0</v>
      </c>
      <c r="R98" s="128" t="str">
        <f t="shared" si="53"/>
        <v>Jan-24</v>
      </c>
      <c r="S98" s="128" t="str">
        <f t="shared" si="54"/>
        <v>Jan</v>
      </c>
      <c r="T98" s="128" t="str">
        <f t="shared" si="55"/>
        <v>24</v>
      </c>
      <c r="U98" s="181">
        <f>Table2[[#This Row],[Total Premium]]+Table2[[#This Row],[Loan]]</f>
        <v>5000</v>
      </c>
    </row>
    <row r="99" spans="1:21" x14ac:dyDescent="0.25">
      <c r="A99" t="s">
        <v>654</v>
      </c>
      <c r="B99" s="127">
        <v>45292</v>
      </c>
      <c r="C99">
        <v>202402</v>
      </c>
      <c r="D99" t="s">
        <v>541</v>
      </c>
      <c r="E99">
        <v>5000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5000</v>
      </c>
      <c r="M99">
        <v>0</v>
      </c>
      <c r="N99">
        <v>0</v>
      </c>
      <c r="O99">
        <v>0</v>
      </c>
      <c r="P99" s="187" t="s">
        <v>501</v>
      </c>
      <c r="Q99" s="1">
        <f>IF(Table2[[#This Row],[Check Status with ga 55]]="ok",0,1)</f>
        <v>0</v>
      </c>
      <c r="R99" s="128" t="str">
        <f t="shared" si="53"/>
        <v>Feb-24</v>
      </c>
      <c r="S99" s="128" t="str">
        <f t="shared" si="54"/>
        <v>Feb</v>
      </c>
      <c r="T99" s="128" t="str">
        <f t="shared" si="55"/>
        <v>24</v>
      </c>
      <c r="U99" s="181">
        <f>Table2[[#This Row],[Total Premium]]+Table2[[#This Row],[Loan]]</f>
        <v>5000</v>
      </c>
    </row>
    <row r="100" spans="1:21" x14ac:dyDescent="0.25">
      <c r="A100" t="s">
        <v>654</v>
      </c>
      <c r="B100" s="127">
        <v>45323</v>
      </c>
      <c r="C100">
        <v>202403</v>
      </c>
      <c r="D100" t="s">
        <v>541</v>
      </c>
      <c r="E100">
        <v>5000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5000</v>
      </c>
      <c r="M100">
        <v>0</v>
      </c>
      <c r="N100">
        <v>0</v>
      </c>
      <c r="O100">
        <v>0</v>
      </c>
      <c r="P100" s="187" t="s">
        <v>501</v>
      </c>
      <c r="Q100" s="1">
        <f>IF(Table2[[#This Row],[Check Status with ga 55]]="ok",0,1)</f>
        <v>0</v>
      </c>
      <c r="R100" s="128" t="str">
        <f t="shared" si="53"/>
        <v>Mar-24</v>
      </c>
      <c r="S100" s="128" t="str">
        <f t="shared" si="54"/>
        <v>Mar</v>
      </c>
      <c r="T100" s="128" t="str">
        <f t="shared" si="55"/>
        <v>24</v>
      </c>
      <c r="U100" s="181">
        <f>Table2[[#This Row],[Total Premium]]+Table2[[#This Row],[Loan]]</f>
        <v>5000</v>
      </c>
    </row>
    <row r="101" spans="1:21" x14ac:dyDescent="0.25">
      <c r="A101" t="s">
        <v>568</v>
      </c>
      <c r="B101" s="127">
        <v>45352</v>
      </c>
      <c r="C101">
        <v>202404</v>
      </c>
      <c r="D101" t="s">
        <v>541</v>
      </c>
      <c r="E101">
        <v>5000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5000</v>
      </c>
      <c r="M101">
        <v>0</v>
      </c>
      <c r="N101">
        <v>0</v>
      </c>
      <c r="O101">
        <v>0</v>
      </c>
      <c r="P101" s="187" t="s">
        <v>501</v>
      </c>
      <c r="Q101" s="1">
        <f>IF(Table2[[#This Row],[Check Status with ga 55]]="ok",0,1)</f>
        <v>0</v>
      </c>
      <c r="R101" s="128" t="str">
        <f t="shared" si="53"/>
        <v>Apr-24</v>
      </c>
      <c r="S101" s="128" t="str">
        <f t="shared" si="54"/>
        <v>Apr</v>
      </c>
      <c r="T101" s="128" t="str">
        <f t="shared" si="55"/>
        <v>24</v>
      </c>
      <c r="U101" s="181">
        <f>Table2[[#This Row],[Total Premium]]+Table2[[#This Row],[Loan]]</f>
        <v>5000</v>
      </c>
    </row>
    <row r="102" spans="1:21" x14ac:dyDescent="0.25">
      <c r="A102" t="s">
        <v>568</v>
      </c>
      <c r="B102" s="127">
        <v>45383</v>
      </c>
      <c r="C102">
        <v>202405</v>
      </c>
      <c r="D102" t="s">
        <v>541</v>
      </c>
      <c r="E102">
        <v>5000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5000</v>
      </c>
      <c r="M102">
        <v>0</v>
      </c>
      <c r="N102">
        <v>0</v>
      </c>
      <c r="O102">
        <v>0</v>
      </c>
      <c r="P102" s="187" t="s">
        <v>501</v>
      </c>
      <c r="Q102" s="1">
        <f>IF(Table2[[#This Row],[Check Status with ga 55]]="ok",0,1)</f>
        <v>0</v>
      </c>
      <c r="R102" s="128" t="str">
        <f t="shared" si="53"/>
        <v>May-24</v>
      </c>
      <c r="S102" s="128" t="str">
        <f t="shared" si="54"/>
        <v>May</v>
      </c>
      <c r="T102" s="128" t="str">
        <f t="shared" si="55"/>
        <v>24</v>
      </c>
      <c r="U102" s="181">
        <f>Table2[[#This Row],[Total Premium]]+Table2[[#This Row],[Loan]]</f>
        <v>5000</v>
      </c>
    </row>
    <row r="103" spans="1:21" x14ac:dyDescent="0.25">
      <c r="A103" t="s">
        <v>568</v>
      </c>
      <c r="B103" s="127">
        <v>45413</v>
      </c>
      <c r="C103">
        <v>202406</v>
      </c>
      <c r="D103" t="s">
        <v>541</v>
      </c>
      <c r="E103">
        <v>5000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5000</v>
      </c>
      <c r="M103">
        <v>0</v>
      </c>
      <c r="N103">
        <v>0</v>
      </c>
      <c r="O103">
        <v>0</v>
      </c>
      <c r="P103" s="187" t="s">
        <v>501</v>
      </c>
      <c r="Q103" s="1">
        <f>IF(Table2[[#This Row],[Check Status with ga 55]]="ok",0,1)</f>
        <v>0</v>
      </c>
      <c r="R103" s="128" t="str">
        <f t="shared" ref="R103:R110" si="56">IFERROR(CONCATENATE(TEXT(RIGHT(C103,2)*29,"mmm"),"-",RIGHT(LEFT(C103,4),2)),"")</f>
        <v>Jun-24</v>
      </c>
      <c r="S103" s="128" t="str">
        <f t="shared" ref="S103:S110" si="57">IFERROR((TEXT(RIGHT(C103,2)*29,"mmm")),"")</f>
        <v>Jun</v>
      </c>
      <c r="T103" s="128" t="str">
        <f t="shared" ref="T103:T110" si="58">IFERROR(RIGHT(LEFT(C103,4),2),"")</f>
        <v>24</v>
      </c>
      <c r="U103" s="181">
        <f>Table2[[#This Row],[Total Premium]]+Table2[[#This Row],[Loan]]</f>
        <v>5000</v>
      </c>
    </row>
    <row r="104" spans="1:21" x14ac:dyDescent="0.25">
      <c r="A104" t="s">
        <v>568</v>
      </c>
      <c r="B104" s="127">
        <v>45444</v>
      </c>
      <c r="C104">
        <v>202407</v>
      </c>
      <c r="D104" t="s">
        <v>541</v>
      </c>
      <c r="E104">
        <v>5000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5000</v>
      </c>
      <c r="M104">
        <v>0</v>
      </c>
      <c r="N104">
        <v>0</v>
      </c>
      <c r="O104">
        <v>0</v>
      </c>
      <c r="P104" s="187" t="s">
        <v>501</v>
      </c>
      <c r="Q104" s="1">
        <f>IF(Table2[[#This Row],[Check Status with ga 55]]="ok",0,1)</f>
        <v>0</v>
      </c>
      <c r="R104" s="128" t="str">
        <f t="shared" si="56"/>
        <v>Jul-24</v>
      </c>
      <c r="S104" s="128" t="str">
        <f t="shared" si="57"/>
        <v>Jul</v>
      </c>
      <c r="T104" s="128" t="str">
        <f t="shared" si="58"/>
        <v>24</v>
      </c>
      <c r="U104" s="181">
        <f>Table2[[#This Row],[Total Premium]]+Table2[[#This Row],[Loan]]</f>
        <v>5000</v>
      </c>
    </row>
    <row r="105" spans="1:21" x14ac:dyDescent="0.25">
      <c r="A105" t="s">
        <v>568</v>
      </c>
      <c r="B105" s="127">
        <v>45474</v>
      </c>
      <c r="C105">
        <v>202408</v>
      </c>
      <c r="D105" t="s">
        <v>541</v>
      </c>
      <c r="E105">
        <v>5000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5000</v>
      </c>
      <c r="M105">
        <v>0</v>
      </c>
      <c r="N105">
        <v>0</v>
      </c>
      <c r="O105">
        <v>0</v>
      </c>
      <c r="P105" s="187" t="s">
        <v>501</v>
      </c>
      <c r="Q105" s="1">
        <f>IF(Table2[[#This Row],[Check Status with ga 55]]="ok",0,1)</f>
        <v>0</v>
      </c>
      <c r="R105" s="128" t="str">
        <f t="shared" si="56"/>
        <v>Aug-24</v>
      </c>
      <c r="S105" s="128" t="str">
        <f t="shared" si="57"/>
        <v>Aug</v>
      </c>
      <c r="T105" s="128" t="str">
        <f t="shared" si="58"/>
        <v>24</v>
      </c>
      <c r="U105" s="181">
        <f>Table2[[#This Row],[Total Premium]]+Table2[[#This Row],[Loan]]</f>
        <v>5000</v>
      </c>
    </row>
    <row r="106" spans="1:21" x14ac:dyDescent="0.25">
      <c r="A106" t="s">
        <v>568</v>
      </c>
      <c r="B106" s="127">
        <v>45505</v>
      </c>
      <c r="C106">
        <v>202409</v>
      </c>
      <c r="D106" t="s">
        <v>541</v>
      </c>
      <c r="E106">
        <v>5000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5000</v>
      </c>
      <c r="M106">
        <v>0</v>
      </c>
      <c r="N106">
        <v>0</v>
      </c>
      <c r="O106">
        <v>0</v>
      </c>
      <c r="P106" s="187" t="s">
        <v>501</v>
      </c>
      <c r="Q106" s="1">
        <f>IF(Table2[[#This Row],[Check Status with ga 55]]="ok",0,1)</f>
        <v>0</v>
      </c>
      <c r="R106" s="128" t="str">
        <f t="shared" si="56"/>
        <v>Sep-24</v>
      </c>
      <c r="S106" s="128" t="str">
        <f t="shared" si="57"/>
        <v>Sep</v>
      </c>
      <c r="T106" s="128" t="str">
        <f t="shared" si="58"/>
        <v>24</v>
      </c>
      <c r="U106" s="181">
        <f>Table2[[#This Row],[Total Premium]]+Table2[[#This Row],[Loan]]</f>
        <v>5000</v>
      </c>
    </row>
    <row r="107" spans="1:21" x14ac:dyDescent="0.25">
      <c r="A107" t="s">
        <v>568</v>
      </c>
      <c r="B107" s="127">
        <v>45536</v>
      </c>
      <c r="C107">
        <v>202410</v>
      </c>
      <c r="D107" t="s">
        <v>541</v>
      </c>
      <c r="E107">
        <v>10000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10000</v>
      </c>
      <c r="M107">
        <v>0</v>
      </c>
      <c r="N107">
        <v>0</v>
      </c>
      <c r="O107">
        <v>0</v>
      </c>
      <c r="P107" s="187" t="s">
        <v>501</v>
      </c>
      <c r="Q107" s="1">
        <f>IF(Table2[[#This Row],[Check Status with ga 55]]="ok",0,1)</f>
        <v>0</v>
      </c>
      <c r="R107" s="128" t="str">
        <f t="shared" si="56"/>
        <v>Oct-24</v>
      </c>
      <c r="S107" s="128" t="str">
        <f t="shared" si="57"/>
        <v>Oct</v>
      </c>
      <c r="T107" s="128" t="str">
        <f t="shared" si="58"/>
        <v>24</v>
      </c>
      <c r="U107" s="181">
        <f>Table2[[#This Row],[Total Premium]]+Table2[[#This Row],[Loan]]</f>
        <v>10000</v>
      </c>
    </row>
    <row r="108" spans="1:21" x14ac:dyDescent="0.25">
      <c r="A108" t="s">
        <v>568</v>
      </c>
      <c r="B108" s="127">
        <v>45566</v>
      </c>
      <c r="D108" t="s">
        <v>27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s="187" t="s">
        <v>501</v>
      </c>
      <c r="Q108" s="198">
        <f>IF(Table2[[#This Row],[Check Status with ga 55]]="ok",0,1)</f>
        <v>0</v>
      </c>
      <c r="R108" s="196" t="str">
        <f t="shared" si="56"/>
        <v/>
      </c>
      <c r="S108" s="196" t="str">
        <f t="shared" si="57"/>
        <v/>
      </c>
      <c r="T108" s="196" t="str">
        <f t="shared" si="58"/>
        <v/>
      </c>
      <c r="U108" s="181">
        <f>Table2[[#This Row],[Total Premium]]+Table2[[#This Row],[Loan]]</f>
        <v>0</v>
      </c>
    </row>
    <row r="109" spans="1:21" x14ac:dyDescent="0.25">
      <c r="A109" t="s">
        <v>568</v>
      </c>
      <c r="B109" s="126">
        <v>45597</v>
      </c>
      <c r="C109">
        <v>202412</v>
      </c>
      <c r="D109" t="s">
        <v>541</v>
      </c>
      <c r="E109">
        <v>5000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5000</v>
      </c>
      <c r="M109">
        <v>0</v>
      </c>
      <c r="N109">
        <v>0</v>
      </c>
      <c r="O109">
        <v>0</v>
      </c>
      <c r="P109" s="187" t="s">
        <v>501</v>
      </c>
      <c r="Q109" s="198">
        <f>IF(Table2[[#This Row],[Check Status with ga 55]]="ok",0,1)</f>
        <v>0</v>
      </c>
      <c r="R109" s="196" t="str">
        <f t="shared" si="56"/>
        <v>Dec-24</v>
      </c>
      <c r="S109" s="196" t="str">
        <f t="shared" si="57"/>
        <v>Dec</v>
      </c>
      <c r="T109" s="196" t="str">
        <f t="shared" si="58"/>
        <v>24</v>
      </c>
      <c r="U109" s="181">
        <f>Table2[[#This Row],[Total Premium]]+Table2[[#This Row],[Loan]]</f>
        <v>5000</v>
      </c>
    </row>
    <row r="110" spans="1:21" x14ac:dyDescent="0.25">
      <c r="A110" t="s">
        <v>568</v>
      </c>
      <c r="B110" s="127">
        <v>45627</v>
      </c>
      <c r="C110">
        <v>202501</v>
      </c>
      <c r="D110" t="s">
        <v>541</v>
      </c>
      <c r="E110">
        <v>5000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5000</v>
      </c>
      <c r="M110">
        <v>0</v>
      </c>
      <c r="N110">
        <v>0</v>
      </c>
      <c r="O110">
        <v>0</v>
      </c>
      <c r="P110" s="187" t="s">
        <v>501</v>
      </c>
      <c r="Q110" s="198">
        <f>IF(Table2[[#This Row],[Check Status with ga 55]]="ok",0,1)</f>
        <v>0</v>
      </c>
      <c r="R110" s="196" t="str">
        <f t="shared" si="56"/>
        <v>Jan-25</v>
      </c>
      <c r="S110" s="196" t="str">
        <f t="shared" si="57"/>
        <v>Jan</v>
      </c>
      <c r="T110" s="196" t="str">
        <f t="shared" si="58"/>
        <v>25</v>
      </c>
      <c r="U110" s="181">
        <f>Table2[[#This Row],[Total Premium]]+Table2[[#This Row],[Loan]]</f>
        <v>5000</v>
      </c>
    </row>
    <row r="111" spans="1:21" x14ac:dyDescent="0.25">
      <c r="A111" t="s">
        <v>568</v>
      </c>
      <c r="B111" s="127">
        <v>45658</v>
      </c>
      <c r="C111" s="208">
        <v>202502</v>
      </c>
      <c r="D111" t="s">
        <v>541</v>
      </c>
      <c r="E111">
        <v>5000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5000</v>
      </c>
      <c r="M111">
        <v>0</v>
      </c>
      <c r="N111">
        <v>0</v>
      </c>
      <c r="O111">
        <v>0</v>
      </c>
      <c r="P111" s="207" t="s">
        <v>501</v>
      </c>
      <c r="Q111" s="198">
        <f>IF(Table2[[#This Row],[Check Status with ga 55]]="ok",0,1)</f>
        <v>0</v>
      </c>
      <c r="R111" s="196" t="str">
        <f>IFERROR(CONCATENATE(TEXT(RIGHT(C111,2)*29,"mmm"),"-",RIGHT(LEFT(C111,4),2)),"")</f>
        <v>Feb-25</v>
      </c>
      <c r="S111" s="196" t="str">
        <f>IFERROR((TEXT(RIGHT(C111,2)*29,"mmm")),"")</f>
        <v>Feb</v>
      </c>
      <c r="T111" s="196" t="str">
        <f>IFERROR(RIGHT(LEFT(C111,4),2),"")</f>
        <v>25</v>
      </c>
      <c r="U111" s="181">
        <f>Table2[[#This Row],[Total Premium]]+Table2[[#This Row],[Loan]]</f>
        <v>5000</v>
      </c>
    </row>
    <row r="112" spans="1:21" x14ac:dyDescent="0.25">
      <c r="A112" t="s">
        <v>568</v>
      </c>
      <c r="B112" s="127">
        <v>45689</v>
      </c>
      <c r="C112" s="208">
        <v>202503</v>
      </c>
      <c r="D112" t="s">
        <v>541</v>
      </c>
      <c r="E112">
        <v>5000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5000</v>
      </c>
      <c r="M112">
        <v>0</v>
      </c>
      <c r="N112">
        <v>0</v>
      </c>
      <c r="O112">
        <v>0</v>
      </c>
      <c r="P112" s="207" t="s">
        <v>501</v>
      </c>
      <c r="Q112" s="198">
        <f>IF(Table2[[#This Row],[Check Status with ga 55]]="ok",0,1)</f>
        <v>0</v>
      </c>
      <c r="R112" s="196" t="str">
        <f>IFERROR(CONCATENATE(TEXT(RIGHT(C112,2)*29,"mmm"),"-",RIGHT(LEFT(C112,4),2)),"")</f>
        <v>Mar-25</v>
      </c>
      <c r="S112" s="196" t="str">
        <f>IFERROR((TEXT(RIGHT(C112,2)*29,"mmm")),"")</f>
        <v>Mar</v>
      </c>
      <c r="T112" s="196" t="str">
        <f>IFERROR(RIGHT(LEFT(C112,4),2),"")</f>
        <v>25</v>
      </c>
      <c r="U112" s="181">
        <f>Table2[[#This Row],[Total Premium]]+Table2[[#This Row],[Loan]]</f>
        <v>5000</v>
      </c>
    </row>
    <row r="113" spans="1:21" x14ac:dyDescent="0.25">
      <c r="A113" t="s">
        <v>569</v>
      </c>
      <c r="B113" s="127">
        <v>45717</v>
      </c>
      <c r="C113" s="208">
        <v>202504</v>
      </c>
      <c r="D113" t="s">
        <v>541</v>
      </c>
      <c r="E113">
        <v>5000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5000</v>
      </c>
      <c r="M113">
        <v>0</v>
      </c>
      <c r="N113">
        <v>0</v>
      </c>
      <c r="O113">
        <v>0</v>
      </c>
      <c r="P113" s="230" t="s">
        <v>501</v>
      </c>
      <c r="Q113" s="198">
        <f>IF(Table2[[#This Row],[Check Status with ga 55]]="ok",0,1)</f>
        <v>0</v>
      </c>
      <c r="R113" s="196" t="str">
        <f>IFERROR(CONCATENATE(TEXT(RIGHT(C113,2)*29,"mmm"),"-",RIGHT(LEFT(C113,4),2)),"")</f>
        <v>Apr-25</v>
      </c>
      <c r="S113" s="196" t="str">
        <f>IFERROR((TEXT(RIGHT(C113,2)*29,"mmm")),"")</f>
        <v>Apr</v>
      </c>
      <c r="T113" s="196" t="str">
        <f>IFERROR(RIGHT(LEFT(C113,4),2),"")</f>
        <v>25</v>
      </c>
      <c r="U113" s="181">
        <f>Table2[[#This Row],[Total Premium]]+Table2[[#This Row],[Loan]]</f>
        <v>5000</v>
      </c>
    </row>
    <row r="114" spans="1:21" x14ac:dyDescent="0.25">
      <c r="A114" t="s">
        <v>569</v>
      </c>
      <c r="B114" s="127">
        <v>45748</v>
      </c>
      <c r="C114" s="208">
        <v>202505</v>
      </c>
      <c r="D114" t="s">
        <v>27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434500</v>
      </c>
      <c r="N114">
        <v>0</v>
      </c>
      <c r="O114">
        <v>0</v>
      </c>
      <c r="P114" s="211"/>
      <c r="Q114" s="198">
        <f>IF(Table2[[#This Row],[Check Status with ga 55]]="ok",0,1)</f>
        <v>1</v>
      </c>
      <c r="R114" s="196" t="str">
        <f>IFERROR(CONCATENATE(TEXT(RIGHT(C114,2)*29,"mmm"),"-",RIGHT(LEFT(C114,4),2)),"")</f>
        <v>May-25</v>
      </c>
      <c r="S114" s="196" t="str">
        <f>IFERROR((TEXT(RIGHT(C114,2)*29,"mmm")),"")</f>
        <v>May</v>
      </c>
      <c r="T114" s="196" t="str">
        <f>IFERROR(RIGHT(LEFT(C114,4),2),"")</f>
        <v>25</v>
      </c>
      <c r="U114" s="181">
        <f>Table2[[#This Row],[Total Premium]]+Table2[[#This Row],[Loan]]</f>
        <v>434500</v>
      </c>
    </row>
    <row r="115" spans="1:21" x14ac:dyDescent="0.25">
      <c r="A115" t="s">
        <v>569</v>
      </c>
      <c r="B115" s="127">
        <v>45748</v>
      </c>
      <c r="C115" s="208">
        <v>202505</v>
      </c>
      <c r="D115" t="s">
        <v>541</v>
      </c>
      <c r="E115">
        <v>5000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5000</v>
      </c>
      <c r="M115">
        <v>0</v>
      </c>
      <c r="N115">
        <v>0</v>
      </c>
      <c r="O115">
        <v>0</v>
      </c>
      <c r="P115" s="230" t="s">
        <v>501</v>
      </c>
      <c r="Q115" s="198">
        <f>IF(Table2[[#This Row],[Check Status with ga 55]]="ok",0,1)</f>
        <v>0</v>
      </c>
      <c r="R115" s="196" t="str">
        <f>IFERROR(CONCATENATE(TEXT(RIGHT(C115,2)*29,"mmm"),"-",RIGHT(LEFT(C115,4),2)),"")</f>
        <v>May-25</v>
      </c>
      <c r="S115" s="196" t="str">
        <f>IFERROR((TEXT(RIGHT(C115,2)*29,"mmm")),"")</f>
        <v>May</v>
      </c>
      <c r="T115" s="196" t="str">
        <f>IFERROR(RIGHT(LEFT(C115,4),2),"")</f>
        <v>25</v>
      </c>
      <c r="U115" s="181">
        <f>Table2[[#This Row],[Total Premium]]+Table2[[#This Row],[Loan]]</f>
        <v>5000</v>
      </c>
    </row>
    <row r="116" spans="1:21" x14ac:dyDescent="0.25">
      <c r="A116" t="s">
        <v>569</v>
      </c>
      <c r="B116" s="127">
        <v>45778</v>
      </c>
      <c r="C116" s="208">
        <v>202506</v>
      </c>
      <c r="D116" t="s">
        <v>541</v>
      </c>
      <c r="E116">
        <v>5000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5000</v>
      </c>
      <c r="M116">
        <v>0</v>
      </c>
      <c r="N116">
        <v>0</v>
      </c>
      <c r="O116">
        <v>0</v>
      </c>
      <c r="P116" s="230" t="s">
        <v>501</v>
      </c>
      <c r="Q116" s="198">
        <f>IF(Table2[[#This Row],[Check Status with ga 55]]="ok",0,1)</f>
        <v>0</v>
      </c>
      <c r="R116" s="196" t="str">
        <f t="shared" ref="R116:R122" si="59">IFERROR(CONCATENATE(TEXT(RIGHT(C116,2)*29,"mmm"),"-",RIGHT(LEFT(C116,4),2)),"")</f>
        <v>Jun-25</v>
      </c>
      <c r="S116" s="196" t="str">
        <f t="shared" ref="S116:S122" si="60">IFERROR((TEXT(RIGHT(C116,2)*29,"mmm")),"")</f>
        <v>Jun</v>
      </c>
      <c r="T116" s="196" t="str">
        <f t="shared" ref="T116:T122" si="61">IFERROR(RIGHT(LEFT(C116,4),2),"")</f>
        <v>25</v>
      </c>
      <c r="U116" s="181">
        <f>Table2[[#This Row],[Total Premium]]+Table2[[#This Row],[Loan]]</f>
        <v>5000</v>
      </c>
    </row>
    <row r="117" spans="1:21" x14ac:dyDescent="0.25">
      <c r="A117" t="s">
        <v>569</v>
      </c>
      <c r="B117" s="127">
        <v>45809</v>
      </c>
      <c r="C117" s="208">
        <v>202507</v>
      </c>
      <c r="D117" t="s">
        <v>541</v>
      </c>
      <c r="E117">
        <v>5000</v>
      </c>
      <c r="F117">
        <v>0</v>
      </c>
      <c r="G117">
        <v>0</v>
      </c>
      <c r="H117">
        <v>7242</v>
      </c>
      <c r="I117">
        <v>0</v>
      </c>
      <c r="J117">
        <v>0</v>
      </c>
      <c r="K117">
        <v>0</v>
      </c>
      <c r="L117">
        <v>12242</v>
      </c>
      <c r="M117">
        <v>0</v>
      </c>
      <c r="N117">
        <v>0</v>
      </c>
      <c r="O117">
        <v>0</v>
      </c>
      <c r="P117" s="230" t="s">
        <v>501</v>
      </c>
      <c r="Q117" s="198">
        <f>IF(Table2[[#This Row],[Check Status with ga 55]]="ok",0,1)</f>
        <v>0</v>
      </c>
      <c r="R117" s="196" t="str">
        <f t="shared" si="59"/>
        <v>Jul-25</v>
      </c>
      <c r="S117" s="196" t="str">
        <f t="shared" si="60"/>
        <v>Jul</v>
      </c>
      <c r="T117" s="196" t="str">
        <f t="shared" si="61"/>
        <v>25</v>
      </c>
      <c r="U117" s="181">
        <f>Table2[[#This Row],[Total Premium]]+Table2[[#This Row],[Loan]]</f>
        <v>12242</v>
      </c>
    </row>
    <row r="118" spans="1:21" x14ac:dyDescent="0.25">
      <c r="A118" t="s">
        <v>569</v>
      </c>
      <c r="B118" s="127">
        <v>45839</v>
      </c>
      <c r="C118" s="208">
        <v>202508</v>
      </c>
      <c r="D118" t="s">
        <v>541</v>
      </c>
      <c r="E118">
        <v>5000</v>
      </c>
      <c r="F118">
        <v>0</v>
      </c>
      <c r="G118">
        <v>0</v>
      </c>
      <c r="H118">
        <v>7242</v>
      </c>
      <c r="I118">
        <v>0</v>
      </c>
      <c r="J118">
        <v>0</v>
      </c>
      <c r="K118">
        <v>0</v>
      </c>
      <c r="L118">
        <v>12242</v>
      </c>
      <c r="M118">
        <v>0</v>
      </c>
      <c r="N118">
        <v>0</v>
      </c>
      <c r="O118">
        <v>0</v>
      </c>
      <c r="P118" s="230" t="s">
        <v>501</v>
      </c>
      <c r="Q118" s="198">
        <f>IF(Table2[[#This Row],[Check Status with ga 55]]="ok",0,1)</f>
        <v>0</v>
      </c>
      <c r="R118" s="196" t="str">
        <f t="shared" si="59"/>
        <v>Aug-25</v>
      </c>
      <c r="S118" s="196" t="str">
        <f t="shared" si="60"/>
        <v>Aug</v>
      </c>
      <c r="T118" s="196" t="str">
        <f t="shared" si="61"/>
        <v>25</v>
      </c>
      <c r="U118" s="181">
        <f>Table2[[#This Row],[Total Premium]]+Table2[[#This Row],[Loan]]</f>
        <v>12242</v>
      </c>
    </row>
    <row r="119" spans="1:21" x14ac:dyDescent="0.25">
      <c r="A119" t="s">
        <v>569</v>
      </c>
      <c r="B119" s="127">
        <v>45870</v>
      </c>
      <c r="C119" s="208">
        <v>202509</v>
      </c>
      <c r="D119" t="s">
        <v>541</v>
      </c>
      <c r="E119">
        <v>5000</v>
      </c>
      <c r="F119">
        <v>0</v>
      </c>
      <c r="G119">
        <v>0</v>
      </c>
      <c r="H119">
        <v>7242</v>
      </c>
      <c r="I119">
        <v>0</v>
      </c>
      <c r="J119">
        <v>0</v>
      </c>
      <c r="K119">
        <v>0</v>
      </c>
      <c r="L119">
        <v>12242</v>
      </c>
      <c r="M119">
        <v>0</v>
      </c>
      <c r="N119">
        <v>0</v>
      </c>
      <c r="O119">
        <v>0</v>
      </c>
      <c r="P119" s="230" t="s">
        <v>501</v>
      </c>
      <c r="Q119" s="198">
        <f>IF(Table2[[#This Row],[Check Status with ga 55]]="ok",0,1)</f>
        <v>0</v>
      </c>
      <c r="R119" s="196" t="str">
        <f t="shared" si="59"/>
        <v>Sep-25</v>
      </c>
      <c r="S119" s="196" t="str">
        <f t="shared" si="60"/>
        <v>Sep</v>
      </c>
      <c r="T119" s="196" t="str">
        <f t="shared" si="61"/>
        <v>25</v>
      </c>
      <c r="U119" s="181">
        <f>Table2[[#This Row],[Total Premium]]+Table2[[#This Row],[Loan]]</f>
        <v>12242</v>
      </c>
    </row>
    <row r="120" spans="1:21" x14ac:dyDescent="0.25">
      <c r="A120" t="s">
        <v>569</v>
      </c>
      <c r="B120" s="127">
        <v>45901</v>
      </c>
      <c r="C120" s="208">
        <v>202510</v>
      </c>
      <c r="D120" t="s">
        <v>541</v>
      </c>
      <c r="E120">
        <v>5000</v>
      </c>
      <c r="F120">
        <v>0</v>
      </c>
      <c r="G120">
        <v>0</v>
      </c>
      <c r="H120">
        <v>7242</v>
      </c>
      <c r="I120">
        <v>0</v>
      </c>
      <c r="J120">
        <v>0</v>
      </c>
      <c r="K120">
        <v>0</v>
      </c>
      <c r="L120">
        <v>12242</v>
      </c>
      <c r="M120">
        <v>0</v>
      </c>
      <c r="N120">
        <v>0</v>
      </c>
      <c r="O120">
        <v>0</v>
      </c>
      <c r="P120" s="230" t="s">
        <v>501</v>
      </c>
      <c r="Q120" s="198">
        <f>IF(Table2[[#This Row],[Check Status with ga 55]]="ok",0,1)</f>
        <v>0</v>
      </c>
      <c r="R120" s="196" t="str">
        <f t="shared" si="59"/>
        <v>Oct-25</v>
      </c>
      <c r="S120" s="196" t="str">
        <f t="shared" si="60"/>
        <v>Oct</v>
      </c>
      <c r="T120" s="196" t="str">
        <f t="shared" si="61"/>
        <v>25</v>
      </c>
      <c r="U120" s="181">
        <f>Table2[[#This Row],[Total Premium]]+Table2[[#This Row],[Loan]]</f>
        <v>12242</v>
      </c>
    </row>
    <row r="121" spans="1:21" x14ac:dyDescent="0.25">
      <c r="A121" t="s">
        <v>569</v>
      </c>
      <c r="B121" s="126">
        <v>45931</v>
      </c>
      <c r="C121" s="208">
        <v>202511</v>
      </c>
      <c r="D121" t="s">
        <v>541</v>
      </c>
      <c r="E121">
        <v>5000</v>
      </c>
      <c r="F121">
        <v>0</v>
      </c>
      <c r="G121">
        <v>0</v>
      </c>
      <c r="H121">
        <v>7242</v>
      </c>
      <c r="I121">
        <v>0</v>
      </c>
      <c r="J121">
        <v>0</v>
      </c>
      <c r="K121">
        <v>0</v>
      </c>
      <c r="L121">
        <v>12242</v>
      </c>
      <c r="M121">
        <v>0</v>
      </c>
      <c r="N121">
        <v>0</v>
      </c>
      <c r="O121">
        <v>0</v>
      </c>
      <c r="P121" s="230" t="s">
        <v>501</v>
      </c>
      <c r="Q121" s="198">
        <f>IF(Table2[[#This Row],[Check Status with ga 55]]="ok",0,1)</f>
        <v>0</v>
      </c>
      <c r="R121" s="196" t="str">
        <f t="shared" si="59"/>
        <v>Nov-25</v>
      </c>
      <c r="S121" s="196" t="str">
        <f t="shared" si="60"/>
        <v>Nov</v>
      </c>
      <c r="T121" s="196" t="str">
        <f t="shared" si="61"/>
        <v>25</v>
      </c>
      <c r="U121" s="181">
        <f>Table2[[#This Row],[Total Premium]]+Table2[[#This Row],[Loan]]</f>
        <v>12242</v>
      </c>
    </row>
    <row r="122" spans="1:21" x14ac:dyDescent="0.25">
      <c r="A122" t="s">
        <v>569</v>
      </c>
      <c r="B122" s="127">
        <v>45962</v>
      </c>
      <c r="C122" s="208">
        <v>202512</v>
      </c>
      <c r="D122" t="s">
        <v>541</v>
      </c>
      <c r="E122">
        <v>5000</v>
      </c>
      <c r="F122">
        <v>0</v>
      </c>
      <c r="G122">
        <v>0</v>
      </c>
      <c r="H122">
        <v>7242</v>
      </c>
      <c r="I122">
        <v>0</v>
      </c>
      <c r="J122">
        <v>0</v>
      </c>
      <c r="K122">
        <v>0</v>
      </c>
      <c r="L122">
        <v>12242</v>
      </c>
      <c r="M122">
        <v>0</v>
      </c>
      <c r="N122">
        <v>0</v>
      </c>
      <c r="O122">
        <v>0</v>
      </c>
      <c r="P122" s="230" t="s">
        <v>501</v>
      </c>
      <c r="Q122" s="198">
        <f>IF(Table2[[#This Row],[Check Status with ga 55]]="ok",0,1)</f>
        <v>0</v>
      </c>
      <c r="R122" s="196" t="str">
        <f t="shared" si="59"/>
        <v>Dec-25</v>
      </c>
      <c r="S122" s="196" t="str">
        <f t="shared" si="60"/>
        <v>Dec</v>
      </c>
      <c r="T122" s="196" t="str">
        <f t="shared" si="61"/>
        <v>25</v>
      </c>
      <c r="U122" s="181">
        <f>Table2[[#This Row],[Total Premium]]+Table2[[#This Row],[Loan]]</f>
        <v>12242</v>
      </c>
    </row>
    <row r="123" spans="1:21" x14ac:dyDescent="0.25">
      <c r="A123" t="s">
        <v>569</v>
      </c>
      <c r="B123" s="127">
        <v>45992</v>
      </c>
      <c r="C123" s="208">
        <v>202601</v>
      </c>
      <c r="D123" t="s">
        <v>541</v>
      </c>
      <c r="E123">
        <v>5000</v>
      </c>
      <c r="F123">
        <v>0</v>
      </c>
      <c r="G123">
        <v>0</v>
      </c>
      <c r="H123">
        <v>7242</v>
      </c>
      <c r="I123">
        <v>0</v>
      </c>
      <c r="J123">
        <v>0</v>
      </c>
      <c r="K123">
        <v>0</v>
      </c>
      <c r="L123">
        <v>12242</v>
      </c>
      <c r="M123">
        <v>0</v>
      </c>
      <c r="N123">
        <v>0</v>
      </c>
      <c r="O123">
        <v>0</v>
      </c>
      <c r="P123" s="230" t="s">
        <v>501</v>
      </c>
      <c r="Q123" s="198">
        <f>IF(Table2[[#This Row],[Check Status with ga 55]]="ok",0,1)</f>
        <v>0</v>
      </c>
      <c r="R123" s="196" t="str">
        <f t="shared" ref="R123:R124" si="62">IFERROR(CONCATENATE(TEXT(RIGHT(C123,2)*29,"mmm"),"-",RIGHT(LEFT(C123,4),2)),"")</f>
        <v>Jan-26</v>
      </c>
      <c r="S123" s="196" t="str">
        <f t="shared" ref="S123:S124" si="63">IFERROR((TEXT(RIGHT(C123,2)*29,"mmm")),"")</f>
        <v>Jan</v>
      </c>
      <c r="T123" s="196" t="str">
        <f t="shared" ref="T123:T124" si="64">IFERROR(RIGHT(LEFT(C123,4),2),"")</f>
        <v>26</v>
      </c>
      <c r="U123" s="181">
        <f>Table2[[#This Row],[Total Premium]]+Table2[[#This Row],[Loan]]</f>
        <v>12242</v>
      </c>
    </row>
    <row r="124" spans="1:21" x14ac:dyDescent="0.25">
      <c r="A124" t="s">
        <v>569</v>
      </c>
      <c r="B124" s="127">
        <v>46023</v>
      </c>
      <c r="C124" s="208">
        <v>202602</v>
      </c>
      <c r="D124" t="s">
        <v>541</v>
      </c>
      <c r="E124">
        <v>5000</v>
      </c>
      <c r="F124">
        <v>0</v>
      </c>
      <c r="G124">
        <v>0</v>
      </c>
      <c r="H124">
        <v>7242</v>
      </c>
      <c r="I124">
        <v>0</v>
      </c>
      <c r="J124">
        <v>0</v>
      </c>
      <c r="K124">
        <v>0</v>
      </c>
      <c r="L124">
        <v>12242</v>
      </c>
      <c r="M124">
        <v>0</v>
      </c>
      <c r="N124">
        <v>0</v>
      </c>
      <c r="O124">
        <v>0</v>
      </c>
      <c r="P124" s="334" t="s">
        <v>501</v>
      </c>
      <c r="Q124" s="198">
        <f>IF(Table2[[#This Row],[Check Status with ga 55]]="ok",0,1)</f>
        <v>0</v>
      </c>
      <c r="R124" s="196" t="str">
        <f t="shared" si="62"/>
        <v>Feb-26</v>
      </c>
      <c r="S124" s="196" t="str">
        <f t="shared" si="63"/>
        <v>Feb</v>
      </c>
      <c r="T124" s="196" t="str">
        <f t="shared" si="64"/>
        <v>26</v>
      </c>
      <c r="U124" s="181">
        <f>Table2[[#This Row],[Total Premium]]+Table2[[#This Row],[Loan]]</f>
        <v>12242</v>
      </c>
    </row>
    <row r="125" spans="1:21" x14ac:dyDescent="0.25">
      <c r="A125" t="s">
        <v>569</v>
      </c>
      <c r="B125" s="127">
        <v>46054</v>
      </c>
      <c r="C125" s="208">
        <v>202603</v>
      </c>
      <c r="D125" t="s">
        <v>541</v>
      </c>
      <c r="E125">
        <v>5000</v>
      </c>
      <c r="F125">
        <v>0</v>
      </c>
      <c r="G125">
        <v>0</v>
      </c>
      <c r="H125">
        <v>7242</v>
      </c>
      <c r="I125">
        <v>0</v>
      </c>
      <c r="J125">
        <v>0</v>
      </c>
      <c r="K125">
        <v>0</v>
      </c>
      <c r="L125">
        <v>12242</v>
      </c>
      <c r="M125">
        <v>0</v>
      </c>
      <c r="N125">
        <v>0</v>
      </c>
      <c r="O125">
        <v>0</v>
      </c>
      <c r="P125" s="334" t="s">
        <v>501</v>
      </c>
      <c r="Q125" s="198">
        <f>IF(Table2[[#This Row],[Check Status with ga 55]]="ok",0,1)</f>
        <v>0</v>
      </c>
      <c r="R125" s="196" t="str">
        <f>IFERROR(CONCATENATE(TEXT(RIGHT(C125,2)*29,"mmm"),"-",RIGHT(LEFT(C125,4),2)),"")</f>
        <v>Mar-26</v>
      </c>
      <c r="S125" s="196" t="str">
        <f>IFERROR((TEXT(RIGHT(C125,2)*29,"mmm")),"")</f>
        <v>Mar</v>
      </c>
      <c r="T125" s="196" t="str">
        <f>IFERROR(RIGHT(LEFT(C125,4),2),"")</f>
        <v>26</v>
      </c>
      <c r="U125" s="181">
        <f>Table2[[#This Row],[Total Premium]]+Table2[[#This Row],[Loan]]</f>
        <v>12242</v>
      </c>
    </row>
  </sheetData>
  <mergeCells count="3">
    <mergeCell ref="A1:Q2"/>
    <mergeCell ref="BF2:BV2"/>
    <mergeCell ref="CS1:DB3"/>
  </mergeCells>
  <phoneticPr fontId="31" type="noConversion"/>
  <conditionalFormatting sqref="D1:D2">
    <cfRule type="duplicateValues" dxfId="35" priority="1"/>
  </conditionalFormatting>
  <hyperlinks>
    <hyperlink ref="O4" r:id="rId3" display="javascript:Void(0);" xr:uid="{E8656304-81A8-4FF3-8375-99BAF2B18255}"/>
    <hyperlink ref="X5" r:id="rId4" display="javascript:Void(0);" xr:uid="{10472098-C14B-40E1-8362-F595D80BEA08}"/>
    <hyperlink ref="X6" r:id="rId5" display="javascript:Void(0);" xr:uid="{1C52E835-1891-403A-942E-13256F4145DE}"/>
    <hyperlink ref="X7" r:id="rId6" display="javascript:Void(0);" xr:uid="{FBA8057A-A0AD-462E-86AB-30FADE44EB32}"/>
    <hyperlink ref="X8" r:id="rId7" display="javascript:Void(0);" xr:uid="{0239D042-9001-4475-AAE0-22C18261C69D}"/>
    <hyperlink ref="X9" r:id="rId8" display="javascript:Void(0);" xr:uid="{040A8DBA-C063-4980-A14B-3C26E1380BB9}"/>
    <hyperlink ref="X10" r:id="rId9" display="javascript:Void(0);" xr:uid="{F6D9CEB8-B03D-4454-B85D-D31D5434A33C}"/>
    <hyperlink ref="X11" r:id="rId10" display="javascript:Void(0);" xr:uid="{B631BCA1-08DD-4D6A-8C10-CB55DE3DCEEF}"/>
    <hyperlink ref="X12" r:id="rId11" display="javascript:Void(0);" xr:uid="{83C1EB26-2B1F-4043-8A86-F3B574A94C3E}"/>
    <hyperlink ref="X13" r:id="rId12" display="javascript:Void(0);" xr:uid="{09D68F52-F17B-4BB3-AD0D-59858B45BE6B}"/>
    <hyperlink ref="X14" r:id="rId13" display="javascript:Void(0);" xr:uid="{C7C535F7-D16C-46ED-BE8D-7CA3739CA197}"/>
  </hyperlinks>
  <pageMargins left="0.7" right="0.7" top="0.75" bottom="0.75" header="0.3" footer="0.3"/>
  <pageSetup orientation="portrait" r:id="rId14"/>
  <tableParts count="2">
    <tablePart r:id="rId15"/>
    <tablePart r:id="rId16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01429-3C46-4B98-B728-CE98A0B73038}">
  <dimension ref="A1:AH374"/>
  <sheetViews>
    <sheetView topLeftCell="O1" workbookViewId="0">
      <pane ySplit="1" topLeftCell="A2" activePane="bottomLeft" state="frozen"/>
      <selection activeCell="N1" sqref="N1"/>
      <selection pane="bottomLeft" activeCell="AI6" sqref="AI6"/>
    </sheetView>
  </sheetViews>
  <sheetFormatPr defaultRowHeight="12" x14ac:dyDescent="0.25"/>
  <cols>
    <col min="1" max="1" width="8.42578125" style="151" bestFit="1" customWidth="1"/>
    <col min="2" max="3" width="7.7109375" style="151" bestFit="1" customWidth="1"/>
    <col min="4" max="4" width="7.7109375" style="151" customWidth="1"/>
    <col min="5" max="5" width="7.7109375" style="154" bestFit="1" customWidth="1"/>
    <col min="6" max="8" width="7.7109375" style="153" bestFit="1" customWidth="1"/>
    <col min="9" max="9" width="15.5703125" style="153" bestFit="1" customWidth="1"/>
    <col min="10" max="10" width="20.5703125" style="153" bestFit="1" customWidth="1"/>
    <col min="11" max="11" width="22.140625" style="153" bestFit="1" customWidth="1"/>
    <col min="12" max="13" width="10" style="151" bestFit="1" customWidth="1"/>
    <col min="14" max="14" width="18.28515625" style="151" bestFit="1" customWidth="1"/>
    <col min="15" max="16" width="9.140625" style="151"/>
    <col min="17" max="17" width="8" style="151" bestFit="1" customWidth="1"/>
    <col min="18" max="18" width="12.28515625" style="151" bestFit="1" customWidth="1"/>
    <col min="19" max="19" width="8.42578125" style="151" bestFit="1" customWidth="1"/>
    <col min="20" max="20" width="6.140625" style="151" bestFit="1" customWidth="1"/>
    <col min="21" max="21" width="9.140625" style="151"/>
    <col min="22" max="22" width="5.85546875" style="151" bestFit="1" customWidth="1"/>
    <col min="23" max="23" width="5.5703125" style="151" bestFit="1" customWidth="1"/>
    <col min="24" max="24" width="6.140625" style="151" bestFit="1" customWidth="1"/>
    <col min="25" max="25" width="3.140625" style="151" bestFit="1" customWidth="1"/>
    <col min="26" max="27" width="9.140625" style="151"/>
    <col min="28" max="28" width="16.85546875" style="151" bestFit="1" customWidth="1"/>
    <col min="29" max="29" width="6.140625" style="151" bestFit="1" customWidth="1"/>
    <col min="30" max="30" width="3.140625" style="151" bestFit="1" customWidth="1"/>
    <col min="31" max="31" width="17.28515625" style="151" bestFit="1" customWidth="1"/>
    <col min="32" max="32" width="6.7109375" style="151" bestFit="1" customWidth="1"/>
    <col min="33" max="33" width="3.140625" style="151" bestFit="1" customWidth="1"/>
    <col min="34" max="34" width="7.28515625" style="151" bestFit="1" customWidth="1"/>
    <col min="35" max="16384" width="9.140625" style="151"/>
  </cols>
  <sheetData>
    <row r="1" spans="1:34" s="201" customFormat="1" ht="99.75" x14ac:dyDescent="0.2">
      <c r="A1" s="199" t="s">
        <v>430</v>
      </c>
      <c r="B1" s="200" t="s">
        <v>57</v>
      </c>
      <c r="C1" s="200" t="s">
        <v>542</v>
      </c>
      <c r="D1" s="200" t="s">
        <v>811</v>
      </c>
      <c r="E1" s="200" t="s">
        <v>543</v>
      </c>
      <c r="F1" s="200" t="s">
        <v>428</v>
      </c>
      <c r="G1" s="200" t="s">
        <v>46</v>
      </c>
      <c r="H1" s="200" t="s">
        <v>544</v>
      </c>
      <c r="I1" s="200" t="s">
        <v>545</v>
      </c>
      <c r="J1" s="200" t="s">
        <v>546</v>
      </c>
      <c r="K1" s="200" t="s">
        <v>547</v>
      </c>
      <c r="L1" s="200" t="s">
        <v>558</v>
      </c>
      <c r="M1" s="200" t="s">
        <v>560</v>
      </c>
      <c r="N1" s="200" t="s">
        <v>551</v>
      </c>
      <c r="Q1" s="149" t="s">
        <v>428</v>
      </c>
      <c r="R1" s="149" t="s">
        <v>429</v>
      </c>
      <c r="S1" s="149" t="s">
        <v>430</v>
      </c>
      <c r="T1" s="149" t="s">
        <v>3</v>
      </c>
      <c r="V1" s="201" t="s">
        <v>552</v>
      </c>
      <c r="W1" s="201" t="s">
        <v>553</v>
      </c>
      <c r="X1" s="201" t="s">
        <v>554</v>
      </c>
      <c r="Y1" s="201" t="s">
        <v>557</v>
      </c>
      <c r="AB1" s="201">
        <f>SUM(V:V)</f>
        <v>0</v>
      </c>
      <c r="AC1" s="201">
        <f>SUM(W:W)</f>
        <v>0</v>
      </c>
      <c r="AD1" s="201">
        <f>SUM(X:X)</f>
        <v>0</v>
      </c>
      <c r="AG1" s="202" t="s">
        <v>628</v>
      </c>
      <c r="AH1" s="134">
        <v>46110</v>
      </c>
    </row>
    <row r="2" spans="1:34" ht="24" x14ac:dyDescent="0.25">
      <c r="A2" s="150" t="s">
        <v>23</v>
      </c>
      <c r="B2" s="152">
        <v>42430</v>
      </c>
      <c r="C2" s="153">
        <v>1</v>
      </c>
      <c r="D2" s="154">
        <v>42430</v>
      </c>
      <c r="E2" s="154">
        <v>42485</v>
      </c>
      <c r="F2" s="153">
        <v>2179</v>
      </c>
      <c r="G2" s="153">
        <v>1100</v>
      </c>
      <c r="H2" s="153" t="s">
        <v>27</v>
      </c>
      <c r="I2" s="153" t="s">
        <v>548</v>
      </c>
      <c r="J2" s="153" t="s">
        <v>549</v>
      </c>
      <c r="K2" s="153" t="s">
        <v>50</v>
      </c>
      <c r="L2" s="153" t="str">
        <f t="shared" ref="L2:L32" si="0">TEXT(E2,"mmm")</f>
        <v>Apr</v>
      </c>
      <c r="M2" s="153" t="str">
        <f t="shared" ref="M2:M32" si="1">TEXT(E2,"yy")</f>
        <v>16</v>
      </c>
      <c r="N2" s="153" t="s">
        <v>188</v>
      </c>
      <c r="Q2" s="150">
        <v>2179</v>
      </c>
      <c r="R2" s="155">
        <v>42485</v>
      </c>
      <c r="S2" s="150" t="s">
        <v>23</v>
      </c>
      <c r="T2" s="150">
        <v>1100</v>
      </c>
      <c r="V2" s="151">
        <f>F2-Q2</f>
        <v>0</v>
      </c>
      <c r="W2" s="151">
        <f>E2-R2</f>
        <v>0</v>
      </c>
      <c r="X2" s="151">
        <f>G2-T2</f>
        <v>0</v>
      </c>
      <c r="Y2" s="151">
        <f>V2+W2+X2</f>
        <v>0</v>
      </c>
    </row>
    <row r="3" spans="1:34" ht="24" x14ac:dyDescent="0.25">
      <c r="A3" s="150" t="s">
        <v>23</v>
      </c>
      <c r="B3" s="152">
        <v>42461</v>
      </c>
      <c r="C3" s="153">
        <v>1</v>
      </c>
      <c r="D3" s="154">
        <v>42461</v>
      </c>
      <c r="E3" s="154">
        <v>42492</v>
      </c>
      <c r="F3" s="153">
        <v>3158</v>
      </c>
      <c r="G3" s="153">
        <v>1100</v>
      </c>
      <c r="H3" s="153" t="s">
        <v>27</v>
      </c>
      <c r="I3" s="153" t="s">
        <v>548</v>
      </c>
      <c r="J3" s="153" t="s">
        <v>549</v>
      </c>
      <c r="K3" s="153" t="s">
        <v>50</v>
      </c>
      <c r="L3" s="153" t="str">
        <f t="shared" si="0"/>
        <v>May</v>
      </c>
      <c r="M3" s="153" t="str">
        <f t="shared" si="1"/>
        <v>16</v>
      </c>
      <c r="N3" s="153" t="s">
        <v>188</v>
      </c>
      <c r="Q3" s="150">
        <v>3158</v>
      </c>
      <c r="R3" s="155">
        <v>42492</v>
      </c>
      <c r="S3" s="150" t="s">
        <v>23</v>
      </c>
      <c r="T3" s="150">
        <v>1100</v>
      </c>
      <c r="V3" s="151">
        <f t="shared" ref="V3:V32" si="2">F3-Q3</f>
        <v>0</v>
      </c>
      <c r="W3" s="151">
        <f t="shared" ref="W3:W32" si="3">E3-R3</f>
        <v>0</v>
      </c>
      <c r="X3" s="151">
        <f t="shared" ref="X3:X32" si="4">G3-T3</f>
        <v>0</v>
      </c>
      <c r="Y3" s="151">
        <f t="shared" ref="Y3:Y66" si="5">V3+W3+X3</f>
        <v>0</v>
      </c>
    </row>
    <row r="4" spans="1:34" ht="36" x14ac:dyDescent="0.25">
      <c r="A4" s="150" t="s">
        <v>23</v>
      </c>
      <c r="B4" s="152">
        <v>42491</v>
      </c>
      <c r="C4" s="153">
        <v>1</v>
      </c>
      <c r="D4" s="154">
        <v>42491</v>
      </c>
      <c r="E4" s="154">
        <v>42549</v>
      </c>
      <c r="F4" s="153">
        <v>13185</v>
      </c>
      <c r="G4" s="153">
        <v>1100</v>
      </c>
      <c r="H4" s="153" t="s">
        <v>27</v>
      </c>
      <c r="I4" s="153" t="s">
        <v>548</v>
      </c>
      <c r="J4" s="153" t="s">
        <v>550</v>
      </c>
      <c r="K4" s="153" t="s">
        <v>266</v>
      </c>
      <c r="L4" s="150" t="str">
        <f t="shared" si="0"/>
        <v>Jun</v>
      </c>
      <c r="M4" s="150" t="str">
        <f t="shared" si="1"/>
        <v>16</v>
      </c>
      <c r="N4" s="153" t="s">
        <v>188</v>
      </c>
      <c r="Q4" s="150">
        <v>13185</v>
      </c>
      <c r="R4" s="155">
        <v>42549</v>
      </c>
      <c r="S4" s="150" t="s">
        <v>23</v>
      </c>
      <c r="T4" s="150">
        <v>1100</v>
      </c>
      <c r="V4" s="151">
        <f t="shared" si="2"/>
        <v>0</v>
      </c>
      <c r="W4" s="151">
        <f t="shared" si="3"/>
        <v>0</v>
      </c>
      <c r="X4" s="151">
        <f t="shared" si="4"/>
        <v>0</v>
      </c>
      <c r="Y4" s="151">
        <f t="shared" si="5"/>
        <v>0</v>
      </c>
    </row>
    <row r="5" spans="1:34" ht="36" x14ac:dyDescent="0.25">
      <c r="A5" s="150" t="s">
        <v>23</v>
      </c>
      <c r="B5" s="152">
        <v>42522</v>
      </c>
      <c r="C5" s="153">
        <v>1</v>
      </c>
      <c r="D5" s="154">
        <v>42522</v>
      </c>
      <c r="E5" s="154">
        <v>42553</v>
      </c>
      <c r="F5" s="153">
        <v>14705</v>
      </c>
      <c r="G5" s="153">
        <v>1100</v>
      </c>
      <c r="H5" s="153" t="s">
        <v>27</v>
      </c>
      <c r="I5" s="153" t="s">
        <v>548</v>
      </c>
      <c r="J5" s="153" t="s">
        <v>550</v>
      </c>
      <c r="K5" s="153" t="s">
        <v>266</v>
      </c>
      <c r="L5" s="150" t="str">
        <f t="shared" si="0"/>
        <v>Jul</v>
      </c>
      <c r="M5" s="150" t="str">
        <f t="shared" si="1"/>
        <v>16</v>
      </c>
      <c r="N5" s="153" t="s">
        <v>188</v>
      </c>
      <c r="Q5" s="150">
        <v>14705</v>
      </c>
      <c r="R5" s="155">
        <v>42553</v>
      </c>
      <c r="S5" s="150" t="s">
        <v>23</v>
      </c>
      <c r="T5" s="150">
        <v>1100</v>
      </c>
      <c r="V5" s="151">
        <f t="shared" si="2"/>
        <v>0</v>
      </c>
      <c r="W5" s="151">
        <f t="shared" si="3"/>
        <v>0</v>
      </c>
      <c r="X5" s="151">
        <f t="shared" si="4"/>
        <v>0</v>
      </c>
      <c r="Y5" s="151">
        <f t="shared" si="5"/>
        <v>0</v>
      </c>
      <c r="AB5" s="151" t="s">
        <v>1078</v>
      </c>
      <c r="AC5" s="151">
        <f>SUM(T:T)</f>
        <v>976678</v>
      </c>
      <c r="AE5" s="156" t="s">
        <v>717</v>
      </c>
      <c r="AF5" s="151">
        <f>GETPIVOTDATA(" SI",Pivots!$A$3)+GETPIVOTDATA("SI Loan EMI",Pivots!$A$3)</f>
        <v>542178</v>
      </c>
    </row>
    <row r="6" spans="1:34" ht="36" x14ac:dyDescent="0.25">
      <c r="A6" s="150" t="s">
        <v>23</v>
      </c>
      <c r="B6" s="152">
        <v>42552</v>
      </c>
      <c r="C6" s="153">
        <v>1</v>
      </c>
      <c r="D6" s="154">
        <v>42552</v>
      </c>
      <c r="E6" s="154">
        <v>42586</v>
      </c>
      <c r="F6" s="153">
        <v>19959</v>
      </c>
      <c r="G6" s="153">
        <v>1100</v>
      </c>
      <c r="H6" s="153" t="s">
        <v>27</v>
      </c>
      <c r="I6" s="153" t="s">
        <v>548</v>
      </c>
      <c r="J6" s="153" t="s">
        <v>550</v>
      </c>
      <c r="K6" s="153" t="s">
        <v>266</v>
      </c>
      <c r="L6" s="150" t="str">
        <f t="shared" si="0"/>
        <v>Aug</v>
      </c>
      <c r="M6" s="150" t="str">
        <f t="shared" si="1"/>
        <v>16</v>
      </c>
      <c r="N6" s="153" t="s">
        <v>188</v>
      </c>
      <c r="Q6" s="150">
        <v>19959</v>
      </c>
      <c r="R6" s="155">
        <v>42586</v>
      </c>
      <c r="S6" s="150" t="s">
        <v>23</v>
      </c>
      <c r="T6" s="150">
        <v>1100</v>
      </c>
      <c r="V6" s="151">
        <f t="shared" si="2"/>
        <v>0</v>
      </c>
      <c r="W6" s="151">
        <f t="shared" si="3"/>
        <v>0</v>
      </c>
      <c r="X6" s="151">
        <f t="shared" si="4"/>
        <v>0</v>
      </c>
      <c r="Y6" s="151">
        <f t="shared" si="5"/>
        <v>0</v>
      </c>
      <c r="AB6" s="151" t="s">
        <v>1079</v>
      </c>
      <c r="AC6" s="151">
        <f>SUM(G:G)</f>
        <v>976678</v>
      </c>
      <c r="AE6" s="156" t="s">
        <v>718</v>
      </c>
      <c r="AF6" s="151">
        <f>AF5-AC5+GETPIVOTDATA("SI Loan ",Pivots!$A$3)</f>
        <v>0</v>
      </c>
    </row>
    <row r="7" spans="1:34" ht="36" x14ac:dyDescent="0.25">
      <c r="A7" s="150" t="s">
        <v>23</v>
      </c>
      <c r="B7" s="152">
        <v>42583</v>
      </c>
      <c r="C7" s="153">
        <v>1</v>
      </c>
      <c r="D7" s="154">
        <v>42583</v>
      </c>
      <c r="E7" s="154">
        <v>42614</v>
      </c>
      <c r="F7" s="153">
        <v>23893</v>
      </c>
      <c r="G7" s="153">
        <v>1100</v>
      </c>
      <c r="H7" s="153" t="s">
        <v>27</v>
      </c>
      <c r="I7" s="153" t="s">
        <v>548</v>
      </c>
      <c r="J7" s="153" t="s">
        <v>550</v>
      </c>
      <c r="K7" s="153" t="s">
        <v>266</v>
      </c>
      <c r="L7" s="150" t="str">
        <f t="shared" si="0"/>
        <v>Sep</v>
      </c>
      <c r="M7" s="150" t="str">
        <f t="shared" si="1"/>
        <v>16</v>
      </c>
      <c r="N7" s="153" t="s">
        <v>188</v>
      </c>
      <c r="Q7" s="150">
        <v>23893</v>
      </c>
      <c r="R7" s="155">
        <v>42614</v>
      </c>
      <c r="S7" s="150" t="s">
        <v>23</v>
      </c>
      <c r="T7" s="150">
        <v>1100</v>
      </c>
      <c r="V7" s="151">
        <f t="shared" si="2"/>
        <v>0</v>
      </c>
      <c r="W7" s="151">
        <f t="shared" si="3"/>
        <v>0</v>
      </c>
      <c r="X7" s="151">
        <f t="shared" si="4"/>
        <v>0</v>
      </c>
      <c r="Y7" s="151">
        <f t="shared" si="5"/>
        <v>0</v>
      </c>
      <c r="AB7" s="151" t="s">
        <v>1080</v>
      </c>
      <c r="AC7" s="151">
        <f>AC5-AC6</f>
        <v>0</v>
      </c>
    </row>
    <row r="8" spans="1:34" ht="36" x14ac:dyDescent="0.25">
      <c r="A8" s="150" t="s">
        <v>23</v>
      </c>
      <c r="B8" s="152">
        <v>42614</v>
      </c>
      <c r="C8" s="153">
        <v>1</v>
      </c>
      <c r="D8" s="154">
        <v>42644</v>
      </c>
      <c r="E8" s="154">
        <v>42671</v>
      </c>
      <c r="F8" s="153">
        <v>35248</v>
      </c>
      <c r="G8" s="153">
        <v>1100</v>
      </c>
      <c r="H8" s="153" t="s">
        <v>27</v>
      </c>
      <c r="I8" s="153" t="s">
        <v>548</v>
      </c>
      <c r="J8" s="153" t="s">
        <v>550</v>
      </c>
      <c r="K8" s="153" t="s">
        <v>266</v>
      </c>
      <c r="L8" s="153" t="str">
        <f t="shared" si="0"/>
        <v>Oct</v>
      </c>
      <c r="M8" s="153" t="str">
        <f t="shared" si="1"/>
        <v>16</v>
      </c>
      <c r="N8" s="153" t="s">
        <v>188</v>
      </c>
      <c r="Q8" s="150">
        <v>35248</v>
      </c>
      <c r="R8" s="155">
        <v>42671</v>
      </c>
      <c r="S8" s="150" t="s">
        <v>23</v>
      </c>
      <c r="T8" s="150">
        <v>1100</v>
      </c>
      <c r="V8" s="151">
        <f t="shared" si="2"/>
        <v>0</v>
      </c>
      <c r="W8" s="151">
        <f t="shared" si="3"/>
        <v>0</v>
      </c>
      <c r="X8" s="151">
        <f t="shared" si="4"/>
        <v>0</v>
      </c>
      <c r="Y8" s="151">
        <f t="shared" si="5"/>
        <v>0</v>
      </c>
      <c r="AB8" s="151" t="s">
        <v>556</v>
      </c>
      <c r="AC8" s="151">
        <f>SUM(Y:Y)</f>
        <v>0</v>
      </c>
    </row>
    <row r="9" spans="1:34" ht="36" x14ac:dyDescent="0.25">
      <c r="A9" s="150" t="s">
        <v>23</v>
      </c>
      <c r="B9" s="152">
        <v>42614</v>
      </c>
      <c r="C9" s="153">
        <v>3</v>
      </c>
      <c r="D9" s="154">
        <v>42614</v>
      </c>
      <c r="E9" s="154">
        <v>42644</v>
      </c>
      <c r="F9" s="153">
        <v>28883</v>
      </c>
      <c r="G9" s="153">
        <v>1100</v>
      </c>
      <c r="H9" s="153" t="s">
        <v>27</v>
      </c>
      <c r="I9" s="153" t="s">
        <v>548</v>
      </c>
      <c r="J9" s="153" t="s">
        <v>550</v>
      </c>
      <c r="K9" s="153" t="s">
        <v>266</v>
      </c>
      <c r="L9" s="150" t="str">
        <f t="shared" si="0"/>
        <v>Oct</v>
      </c>
      <c r="M9" s="150" t="str">
        <f t="shared" si="1"/>
        <v>16</v>
      </c>
      <c r="N9" s="153" t="s">
        <v>188</v>
      </c>
      <c r="Q9" s="150">
        <v>28883</v>
      </c>
      <c r="R9" s="155">
        <v>42644</v>
      </c>
      <c r="S9" s="150" t="s">
        <v>23</v>
      </c>
      <c r="T9" s="150">
        <v>1100</v>
      </c>
      <c r="V9" s="151">
        <f t="shared" si="2"/>
        <v>0</v>
      </c>
      <c r="W9" s="151">
        <f t="shared" si="3"/>
        <v>0</v>
      </c>
      <c r="X9" s="151">
        <f t="shared" si="4"/>
        <v>0</v>
      </c>
      <c r="Y9" s="151">
        <f t="shared" si="5"/>
        <v>0</v>
      </c>
    </row>
    <row r="10" spans="1:34" ht="36" x14ac:dyDescent="0.25">
      <c r="A10" s="150" t="s">
        <v>23</v>
      </c>
      <c r="B10" s="152">
        <v>42675</v>
      </c>
      <c r="C10" s="153">
        <v>1</v>
      </c>
      <c r="D10" s="154">
        <v>42675</v>
      </c>
      <c r="E10" s="154">
        <v>42705</v>
      </c>
      <c r="F10" s="153">
        <v>40457</v>
      </c>
      <c r="G10" s="153">
        <v>1100</v>
      </c>
      <c r="H10" s="153" t="s">
        <v>27</v>
      </c>
      <c r="I10" s="153" t="s">
        <v>548</v>
      </c>
      <c r="J10" s="153" t="s">
        <v>550</v>
      </c>
      <c r="K10" s="153" t="s">
        <v>266</v>
      </c>
      <c r="L10" s="150" t="str">
        <f t="shared" si="0"/>
        <v>Dec</v>
      </c>
      <c r="M10" s="150" t="str">
        <f t="shared" si="1"/>
        <v>16</v>
      </c>
      <c r="N10" s="153" t="s">
        <v>188</v>
      </c>
      <c r="Q10" s="150">
        <v>40457</v>
      </c>
      <c r="R10" s="155">
        <v>42705</v>
      </c>
      <c r="S10" s="150" t="s">
        <v>23</v>
      </c>
      <c r="T10" s="150">
        <v>1100</v>
      </c>
      <c r="V10" s="151">
        <f t="shared" si="2"/>
        <v>0</v>
      </c>
      <c r="W10" s="151">
        <f t="shared" si="3"/>
        <v>0</v>
      </c>
      <c r="X10" s="151">
        <f t="shared" si="4"/>
        <v>0</v>
      </c>
      <c r="Y10" s="151">
        <f t="shared" si="5"/>
        <v>0</v>
      </c>
    </row>
    <row r="11" spans="1:34" ht="36" x14ac:dyDescent="0.25">
      <c r="A11" s="150" t="s">
        <v>23</v>
      </c>
      <c r="B11" s="152">
        <v>42705</v>
      </c>
      <c r="C11" s="153">
        <v>1</v>
      </c>
      <c r="D11" s="154">
        <v>42705</v>
      </c>
      <c r="E11" s="154">
        <v>42739</v>
      </c>
      <c r="F11" s="153">
        <v>45844</v>
      </c>
      <c r="G11" s="153">
        <v>1100</v>
      </c>
      <c r="H11" s="153" t="s">
        <v>27</v>
      </c>
      <c r="I11" s="153" t="s">
        <v>548</v>
      </c>
      <c r="J11" s="153" t="s">
        <v>550</v>
      </c>
      <c r="K11" s="153" t="s">
        <v>266</v>
      </c>
      <c r="L11" s="150" t="str">
        <f t="shared" si="0"/>
        <v>Jan</v>
      </c>
      <c r="M11" s="150" t="str">
        <f t="shared" si="1"/>
        <v>17</v>
      </c>
      <c r="N11" s="153" t="s">
        <v>188</v>
      </c>
      <c r="Q11" s="150">
        <v>45844</v>
      </c>
      <c r="R11" s="155">
        <v>42739</v>
      </c>
      <c r="S11" s="150" t="s">
        <v>23</v>
      </c>
      <c r="T11" s="150">
        <v>1100</v>
      </c>
      <c r="V11" s="151">
        <f t="shared" si="2"/>
        <v>0</v>
      </c>
      <c r="W11" s="151">
        <f t="shared" si="3"/>
        <v>0</v>
      </c>
      <c r="X11" s="151">
        <f t="shared" si="4"/>
        <v>0</v>
      </c>
      <c r="Y11" s="151">
        <f t="shared" si="5"/>
        <v>0</v>
      </c>
    </row>
    <row r="12" spans="1:34" ht="36" x14ac:dyDescent="0.25">
      <c r="A12" s="150" t="s">
        <v>23</v>
      </c>
      <c r="B12" s="152">
        <v>42736</v>
      </c>
      <c r="C12" s="153">
        <v>1</v>
      </c>
      <c r="D12" s="154">
        <v>42736</v>
      </c>
      <c r="E12" s="154">
        <v>42767</v>
      </c>
      <c r="F12" s="153">
        <v>50049</v>
      </c>
      <c r="G12" s="153">
        <v>1100</v>
      </c>
      <c r="H12" s="153" t="s">
        <v>27</v>
      </c>
      <c r="I12" s="153" t="s">
        <v>548</v>
      </c>
      <c r="J12" s="153" t="s">
        <v>550</v>
      </c>
      <c r="K12" s="153" t="s">
        <v>266</v>
      </c>
      <c r="L12" s="150" t="str">
        <f t="shared" si="0"/>
        <v>Feb</v>
      </c>
      <c r="M12" s="150" t="str">
        <f t="shared" si="1"/>
        <v>17</v>
      </c>
      <c r="N12" s="153" t="s">
        <v>188</v>
      </c>
      <c r="Q12" s="150">
        <v>50049</v>
      </c>
      <c r="R12" s="155">
        <v>42767</v>
      </c>
      <c r="S12" s="150" t="s">
        <v>23</v>
      </c>
      <c r="T12" s="150">
        <v>1100</v>
      </c>
      <c r="V12" s="151">
        <f t="shared" si="2"/>
        <v>0</v>
      </c>
      <c r="W12" s="151">
        <f t="shared" si="3"/>
        <v>0</v>
      </c>
      <c r="X12" s="151">
        <f t="shared" si="4"/>
        <v>0</v>
      </c>
      <c r="Y12" s="151">
        <f t="shared" si="5"/>
        <v>0</v>
      </c>
    </row>
    <row r="13" spans="1:34" ht="36" x14ac:dyDescent="0.25">
      <c r="A13" s="150" t="s">
        <v>23</v>
      </c>
      <c r="B13" s="152">
        <v>42767</v>
      </c>
      <c r="C13" s="153">
        <v>1</v>
      </c>
      <c r="D13" s="154">
        <v>42767</v>
      </c>
      <c r="E13" s="154">
        <v>42797</v>
      </c>
      <c r="F13" s="153">
        <v>55694</v>
      </c>
      <c r="G13" s="153">
        <v>1100</v>
      </c>
      <c r="H13" s="153" t="s">
        <v>27</v>
      </c>
      <c r="I13" s="153" t="s">
        <v>548</v>
      </c>
      <c r="J13" s="153" t="s">
        <v>550</v>
      </c>
      <c r="K13" s="153" t="s">
        <v>266</v>
      </c>
      <c r="L13" s="150" t="str">
        <f t="shared" si="0"/>
        <v>Mar</v>
      </c>
      <c r="M13" s="150" t="str">
        <f t="shared" si="1"/>
        <v>17</v>
      </c>
      <c r="N13" s="153" t="s">
        <v>188</v>
      </c>
      <c r="Q13" s="150">
        <v>55694</v>
      </c>
      <c r="R13" s="155">
        <v>42797</v>
      </c>
      <c r="S13" s="150" t="s">
        <v>23</v>
      </c>
      <c r="T13" s="150">
        <v>1100</v>
      </c>
      <c r="V13" s="151">
        <f t="shared" si="2"/>
        <v>0</v>
      </c>
      <c r="W13" s="151">
        <f t="shared" si="3"/>
        <v>0</v>
      </c>
      <c r="X13" s="151">
        <f t="shared" si="4"/>
        <v>0</v>
      </c>
      <c r="Y13" s="151">
        <f t="shared" si="5"/>
        <v>0</v>
      </c>
    </row>
    <row r="14" spans="1:34" ht="36" x14ac:dyDescent="0.25">
      <c r="A14" s="150" t="s">
        <v>24</v>
      </c>
      <c r="B14" s="152">
        <v>42795</v>
      </c>
      <c r="C14" s="153">
        <v>1</v>
      </c>
      <c r="D14" s="154">
        <v>42795</v>
      </c>
      <c r="E14" s="154">
        <v>42832</v>
      </c>
      <c r="F14" s="153">
        <v>727</v>
      </c>
      <c r="G14" s="153">
        <v>2650</v>
      </c>
      <c r="H14" s="153" t="s">
        <v>27</v>
      </c>
      <c r="I14" s="153" t="s">
        <v>548</v>
      </c>
      <c r="J14" s="153" t="s">
        <v>550</v>
      </c>
      <c r="K14" s="153" t="s">
        <v>266</v>
      </c>
      <c r="L14" s="150" t="str">
        <f t="shared" si="0"/>
        <v>Apr</v>
      </c>
      <c r="M14" s="150" t="str">
        <f t="shared" si="1"/>
        <v>17</v>
      </c>
      <c r="N14" s="153" t="s">
        <v>188</v>
      </c>
      <c r="Q14" s="150">
        <v>727</v>
      </c>
      <c r="R14" s="155">
        <v>42832</v>
      </c>
      <c r="S14" s="150" t="s">
        <v>24</v>
      </c>
      <c r="T14" s="150">
        <v>2650</v>
      </c>
      <c r="V14" s="151">
        <f t="shared" si="2"/>
        <v>0</v>
      </c>
      <c r="W14" s="151">
        <f t="shared" si="3"/>
        <v>0</v>
      </c>
      <c r="X14" s="151">
        <f t="shared" si="4"/>
        <v>0</v>
      </c>
      <c r="Y14" s="151">
        <f t="shared" si="5"/>
        <v>0</v>
      </c>
    </row>
    <row r="15" spans="1:34" ht="36" x14ac:dyDescent="0.25">
      <c r="A15" s="150" t="s">
        <v>24</v>
      </c>
      <c r="B15" s="152">
        <v>42826</v>
      </c>
      <c r="C15" s="153">
        <v>1</v>
      </c>
      <c r="D15" s="154">
        <v>42826</v>
      </c>
      <c r="E15" s="154">
        <v>42858</v>
      </c>
      <c r="F15" s="153">
        <v>5192</v>
      </c>
      <c r="G15" s="153">
        <v>2650</v>
      </c>
      <c r="H15" s="153" t="s">
        <v>27</v>
      </c>
      <c r="I15" s="153" t="s">
        <v>548</v>
      </c>
      <c r="J15" s="153" t="s">
        <v>550</v>
      </c>
      <c r="K15" s="153" t="s">
        <v>266</v>
      </c>
      <c r="L15" s="150" t="str">
        <f t="shared" si="0"/>
        <v>May</v>
      </c>
      <c r="M15" s="150" t="str">
        <f t="shared" si="1"/>
        <v>17</v>
      </c>
      <c r="N15" s="153" t="s">
        <v>188</v>
      </c>
      <c r="Q15" s="150">
        <v>5192</v>
      </c>
      <c r="R15" s="155">
        <v>42858</v>
      </c>
      <c r="S15" s="150" t="s">
        <v>24</v>
      </c>
      <c r="T15" s="150">
        <v>2650</v>
      </c>
      <c r="V15" s="151">
        <f t="shared" si="2"/>
        <v>0</v>
      </c>
      <c r="W15" s="151">
        <f t="shared" si="3"/>
        <v>0</v>
      </c>
      <c r="X15" s="151">
        <f t="shared" si="4"/>
        <v>0</v>
      </c>
      <c r="Y15" s="151">
        <f t="shared" si="5"/>
        <v>0</v>
      </c>
    </row>
    <row r="16" spans="1:34" ht="36" x14ac:dyDescent="0.25">
      <c r="A16" s="150" t="s">
        <v>24</v>
      </c>
      <c r="B16" s="152">
        <v>42856</v>
      </c>
      <c r="C16" s="153">
        <v>1</v>
      </c>
      <c r="D16" s="154">
        <v>42856</v>
      </c>
      <c r="E16" s="154">
        <v>42887</v>
      </c>
      <c r="F16" s="153">
        <v>10350</v>
      </c>
      <c r="G16" s="153">
        <v>2650</v>
      </c>
      <c r="H16" s="153" t="s">
        <v>27</v>
      </c>
      <c r="I16" s="153" t="s">
        <v>548</v>
      </c>
      <c r="J16" s="153" t="s">
        <v>550</v>
      </c>
      <c r="K16" s="153" t="s">
        <v>266</v>
      </c>
      <c r="L16" s="150" t="str">
        <f t="shared" si="0"/>
        <v>Jun</v>
      </c>
      <c r="M16" s="150" t="str">
        <f t="shared" si="1"/>
        <v>17</v>
      </c>
      <c r="N16" s="153" t="s">
        <v>188</v>
      </c>
      <c r="Q16" s="150">
        <v>10350</v>
      </c>
      <c r="R16" s="155">
        <v>42887</v>
      </c>
      <c r="S16" s="150" t="s">
        <v>24</v>
      </c>
      <c r="T16" s="150">
        <v>2650</v>
      </c>
      <c r="V16" s="151">
        <f t="shared" si="2"/>
        <v>0</v>
      </c>
      <c r="W16" s="151">
        <f t="shared" si="3"/>
        <v>0</v>
      </c>
      <c r="X16" s="151">
        <f t="shared" si="4"/>
        <v>0</v>
      </c>
      <c r="Y16" s="151">
        <f t="shared" si="5"/>
        <v>0</v>
      </c>
    </row>
    <row r="17" spans="1:25" ht="36" x14ac:dyDescent="0.25">
      <c r="A17" s="150" t="s">
        <v>24</v>
      </c>
      <c r="B17" s="152">
        <v>42887</v>
      </c>
      <c r="C17" s="153">
        <v>1</v>
      </c>
      <c r="D17" s="154">
        <v>42887</v>
      </c>
      <c r="E17" s="154">
        <v>42917</v>
      </c>
      <c r="F17" s="153">
        <v>15103</v>
      </c>
      <c r="G17" s="153">
        <v>2650</v>
      </c>
      <c r="H17" s="153" t="s">
        <v>27</v>
      </c>
      <c r="I17" s="153" t="s">
        <v>548</v>
      </c>
      <c r="J17" s="153" t="s">
        <v>550</v>
      </c>
      <c r="K17" s="153" t="s">
        <v>266</v>
      </c>
      <c r="L17" s="150" t="str">
        <f t="shared" si="0"/>
        <v>Jul</v>
      </c>
      <c r="M17" s="150" t="str">
        <f t="shared" si="1"/>
        <v>17</v>
      </c>
      <c r="N17" s="153" t="s">
        <v>188</v>
      </c>
      <c r="Q17" s="150">
        <v>15103</v>
      </c>
      <c r="R17" s="155">
        <v>42917</v>
      </c>
      <c r="S17" s="150" t="s">
        <v>24</v>
      </c>
      <c r="T17" s="150">
        <v>2650</v>
      </c>
      <c r="V17" s="151">
        <f t="shared" si="2"/>
        <v>0</v>
      </c>
      <c r="W17" s="151">
        <f t="shared" si="3"/>
        <v>0</v>
      </c>
      <c r="X17" s="151">
        <f t="shared" si="4"/>
        <v>0</v>
      </c>
      <c r="Y17" s="151">
        <f t="shared" si="5"/>
        <v>0</v>
      </c>
    </row>
    <row r="18" spans="1:25" ht="36" x14ac:dyDescent="0.25">
      <c r="A18" s="150" t="s">
        <v>24</v>
      </c>
      <c r="B18" s="152">
        <v>42917</v>
      </c>
      <c r="C18" s="153">
        <v>1</v>
      </c>
      <c r="D18" s="154">
        <v>42917</v>
      </c>
      <c r="E18" s="154">
        <v>42951</v>
      </c>
      <c r="F18" s="153">
        <v>20970</v>
      </c>
      <c r="G18" s="153">
        <v>2650</v>
      </c>
      <c r="H18" s="153" t="s">
        <v>27</v>
      </c>
      <c r="I18" s="153" t="s">
        <v>548</v>
      </c>
      <c r="J18" s="153" t="s">
        <v>550</v>
      </c>
      <c r="K18" s="153" t="s">
        <v>266</v>
      </c>
      <c r="L18" s="150" t="str">
        <f t="shared" si="0"/>
        <v>Aug</v>
      </c>
      <c r="M18" s="150" t="str">
        <f t="shared" si="1"/>
        <v>17</v>
      </c>
      <c r="N18" s="153" t="s">
        <v>188</v>
      </c>
      <c r="Q18" s="150">
        <v>20970</v>
      </c>
      <c r="R18" s="155">
        <v>42951</v>
      </c>
      <c r="S18" s="150" t="s">
        <v>24</v>
      </c>
      <c r="T18" s="150">
        <v>2650</v>
      </c>
      <c r="V18" s="151">
        <f t="shared" si="2"/>
        <v>0</v>
      </c>
      <c r="W18" s="151">
        <f t="shared" si="3"/>
        <v>0</v>
      </c>
      <c r="X18" s="151">
        <f t="shared" si="4"/>
        <v>0</v>
      </c>
      <c r="Y18" s="151">
        <f t="shared" si="5"/>
        <v>0</v>
      </c>
    </row>
    <row r="19" spans="1:25" ht="36" x14ac:dyDescent="0.25">
      <c r="A19" s="150" t="s">
        <v>24</v>
      </c>
      <c r="B19" s="152">
        <v>42948</v>
      </c>
      <c r="C19" s="153">
        <v>1</v>
      </c>
      <c r="D19" s="154">
        <v>42948</v>
      </c>
      <c r="E19" s="154">
        <v>42984</v>
      </c>
      <c r="F19" s="153">
        <v>24832</v>
      </c>
      <c r="G19" s="153">
        <v>2650</v>
      </c>
      <c r="H19" s="153" t="s">
        <v>27</v>
      </c>
      <c r="I19" s="153" t="s">
        <v>548</v>
      </c>
      <c r="J19" s="153" t="s">
        <v>550</v>
      </c>
      <c r="K19" s="153" t="s">
        <v>266</v>
      </c>
      <c r="L19" s="150" t="str">
        <f t="shared" si="0"/>
        <v>Sep</v>
      </c>
      <c r="M19" s="150" t="str">
        <f t="shared" si="1"/>
        <v>17</v>
      </c>
      <c r="N19" s="153" t="s">
        <v>188</v>
      </c>
      <c r="Q19" s="150">
        <v>24832</v>
      </c>
      <c r="R19" s="155">
        <v>42984</v>
      </c>
      <c r="S19" s="150" t="s">
        <v>24</v>
      </c>
      <c r="T19" s="150">
        <v>2650</v>
      </c>
      <c r="V19" s="151">
        <f t="shared" si="2"/>
        <v>0</v>
      </c>
      <c r="W19" s="151">
        <f t="shared" si="3"/>
        <v>0</v>
      </c>
      <c r="X19" s="151">
        <f t="shared" si="4"/>
        <v>0</v>
      </c>
      <c r="Y19" s="151">
        <f t="shared" si="5"/>
        <v>0</v>
      </c>
    </row>
    <row r="20" spans="1:25" ht="36" x14ac:dyDescent="0.25">
      <c r="A20" s="150" t="s">
        <v>24</v>
      </c>
      <c r="B20" s="152">
        <v>42979</v>
      </c>
      <c r="C20" s="153">
        <v>1</v>
      </c>
      <c r="D20" s="154">
        <v>42979</v>
      </c>
      <c r="E20" s="154">
        <v>43014</v>
      </c>
      <c r="F20" s="153">
        <v>29089</v>
      </c>
      <c r="G20" s="153">
        <v>2650</v>
      </c>
      <c r="H20" s="153" t="s">
        <v>27</v>
      </c>
      <c r="I20" s="153" t="s">
        <v>548</v>
      </c>
      <c r="K20" s="153" t="s">
        <v>266</v>
      </c>
      <c r="L20" s="150" t="str">
        <f t="shared" si="0"/>
        <v>Oct</v>
      </c>
      <c r="M20" s="150" t="str">
        <f t="shared" si="1"/>
        <v>17</v>
      </c>
      <c r="N20" s="153" t="s">
        <v>188</v>
      </c>
      <c r="Q20" s="150">
        <v>29089</v>
      </c>
      <c r="R20" s="155">
        <v>43014</v>
      </c>
      <c r="S20" s="150" t="s">
        <v>24</v>
      </c>
      <c r="T20" s="150">
        <v>2650</v>
      </c>
      <c r="V20" s="151">
        <f t="shared" si="2"/>
        <v>0</v>
      </c>
      <c r="W20" s="151">
        <f t="shared" si="3"/>
        <v>0</v>
      </c>
      <c r="X20" s="151">
        <f t="shared" si="4"/>
        <v>0</v>
      </c>
      <c r="Y20" s="151">
        <f t="shared" si="5"/>
        <v>0</v>
      </c>
    </row>
    <row r="21" spans="1:25" ht="36" x14ac:dyDescent="0.25">
      <c r="A21" s="150" t="s">
        <v>24</v>
      </c>
      <c r="B21" s="152">
        <v>43009</v>
      </c>
      <c r="C21" s="153">
        <v>1</v>
      </c>
      <c r="D21" s="154">
        <v>43009</v>
      </c>
      <c r="E21" s="154">
        <v>43045</v>
      </c>
      <c r="F21" s="153">
        <v>37958</v>
      </c>
      <c r="G21" s="153">
        <v>2650</v>
      </c>
      <c r="H21" s="153" t="s">
        <v>27</v>
      </c>
      <c r="I21" s="153" t="s">
        <v>548</v>
      </c>
      <c r="J21" s="153" t="s">
        <v>550</v>
      </c>
      <c r="K21" s="153" t="s">
        <v>266</v>
      </c>
      <c r="L21" s="150" t="str">
        <f t="shared" si="0"/>
        <v>Nov</v>
      </c>
      <c r="M21" s="150" t="str">
        <f t="shared" si="1"/>
        <v>17</v>
      </c>
      <c r="N21" s="153" t="s">
        <v>188</v>
      </c>
      <c r="Q21" s="150">
        <v>37958</v>
      </c>
      <c r="R21" s="155">
        <v>43045</v>
      </c>
      <c r="S21" s="150" t="s">
        <v>24</v>
      </c>
      <c r="T21" s="150">
        <v>2650</v>
      </c>
      <c r="V21" s="151">
        <f t="shared" si="2"/>
        <v>0</v>
      </c>
      <c r="W21" s="151">
        <f t="shared" si="3"/>
        <v>0</v>
      </c>
      <c r="X21" s="151">
        <f t="shared" si="4"/>
        <v>0</v>
      </c>
      <c r="Y21" s="151">
        <f t="shared" si="5"/>
        <v>0</v>
      </c>
    </row>
    <row r="22" spans="1:25" ht="36" x14ac:dyDescent="0.25">
      <c r="A22" s="150" t="s">
        <v>24</v>
      </c>
      <c r="B22" s="152">
        <v>43040</v>
      </c>
      <c r="C22" s="153">
        <v>1</v>
      </c>
      <c r="D22" s="154">
        <v>43040</v>
      </c>
      <c r="E22" s="154">
        <v>43070</v>
      </c>
      <c r="F22" s="153">
        <v>41798</v>
      </c>
      <c r="G22" s="153">
        <v>2650</v>
      </c>
      <c r="H22" s="153" t="s">
        <v>27</v>
      </c>
      <c r="I22" s="153" t="s">
        <v>548</v>
      </c>
      <c r="J22" s="153" t="s">
        <v>550</v>
      </c>
      <c r="K22" s="153" t="s">
        <v>266</v>
      </c>
      <c r="L22" s="150" t="str">
        <f t="shared" si="0"/>
        <v>Dec</v>
      </c>
      <c r="M22" s="150" t="str">
        <f t="shared" si="1"/>
        <v>17</v>
      </c>
      <c r="N22" s="153" t="s">
        <v>188</v>
      </c>
      <c r="Q22" s="150">
        <v>41798</v>
      </c>
      <c r="R22" s="155">
        <v>43070</v>
      </c>
      <c r="S22" s="150" t="s">
        <v>24</v>
      </c>
      <c r="T22" s="150">
        <v>2650</v>
      </c>
      <c r="V22" s="151">
        <f t="shared" si="2"/>
        <v>0</v>
      </c>
      <c r="W22" s="151">
        <f t="shared" si="3"/>
        <v>0</v>
      </c>
      <c r="X22" s="151">
        <f t="shared" si="4"/>
        <v>0</v>
      </c>
      <c r="Y22" s="151">
        <f t="shared" si="5"/>
        <v>0</v>
      </c>
    </row>
    <row r="23" spans="1:25" ht="36" x14ac:dyDescent="0.25">
      <c r="A23" s="150" t="s">
        <v>24</v>
      </c>
      <c r="B23" s="152">
        <v>43070</v>
      </c>
      <c r="C23" s="153">
        <v>1</v>
      </c>
      <c r="D23" s="154">
        <v>43070</v>
      </c>
      <c r="E23" s="154">
        <v>43103</v>
      </c>
      <c r="F23" s="153">
        <v>47622</v>
      </c>
      <c r="G23" s="153">
        <v>2650</v>
      </c>
      <c r="H23" s="153" t="s">
        <v>27</v>
      </c>
      <c r="I23" s="153" t="s">
        <v>548</v>
      </c>
      <c r="J23" s="153" t="s">
        <v>550</v>
      </c>
      <c r="K23" s="153" t="s">
        <v>266</v>
      </c>
      <c r="L23" s="150" t="str">
        <f t="shared" si="0"/>
        <v>Jan</v>
      </c>
      <c r="M23" s="150" t="str">
        <f t="shared" si="1"/>
        <v>18</v>
      </c>
      <c r="N23" s="153" t="s">
        <v>188</v>
      </c>
      <c r="Q23" s="150">
        <v>47622</v>
      </c>
      <c r="R23" s="155">
        <v>43103</v>
      </c>
      <c r="S23" s="150" t="s">
        <v>24</v>
      </c>
      <c r="T23" s="150">
        <v>2650</v>
      </c>
      <c r="V23" s="151">
        <f t="shared" si="2"/>
        <v>0</v>
      </c>
      <c r="W23" s="151">
        <f t="shared" si="3"/>
        <v>0</v>
      </c>
      <c r="X23" s="151">
        <f t="shared" si="4"/>
        <v>0</v>
      </c>
      <c r="Y23" s="151">
        <f t="shared" si="5"/>
        <v>0</v>
      </c>
    </row>
    <row r="24" spans="1:25" ht="36" x14ac:dyDescent="0.25">
      <c r="A24" s="150" t="s">
        <v>24</v>
      </c>
      <c r="B24" s="152">
        <v>43101</v>
      </c>
      <c r="C24" s="153">
        <v>1</v>
      </c>
      <c r="D24" s="154">
        <v>43101</v>
      </c>
      <c r="E24" s="154">
        <v>43134</v>
      </c>
      <c r="F24" s="153">
        <v>52864</v>
      </c>
      <c r="G24" s="153">
        <v>2650</v>
      </c>
      <c r="H24" s="153" t="s">
        <v>27</v>
      </c>
      <c r="I24" s="153" t="s">
        <v>548</v>
      </c>
      <c r="J24" s="153" t="s">
        <v>550</v>
      </c>
      <c r="K24" s="153" t="s">
        <v>266</v>
      </c>
      <c r="L24" s="150" t="str">
        <f t="shared" si="0"/>
        <v>Feb</v>
      </c>
      <c r="M24" s="150" t="str">
        <f t="shared" si="1"/>
        <v>18</v>
      </c>
      <c r="N24" s="153" t="s">
        <v>188</v>
      </c>
      <c r="Q24" s="150">
        <v>52864</v>
      </c>
      <c r="R24" s="155">
        <v>43134</v>
      </c>
      <c r="S24" s="150" t="s">
        <v>24</v>
      </c>
      <c r="T24" s="150">
        <v>2650</v>
      </c>
      <c r="V24" s="151">
        <f t="shared" si="2"/>
        <v>0</v>
      </c>
      <c r="W24" s="151">
        <f t="shared" si="3"/>
        <v>0</v>
      </c>
      <c r="X24" s="151">
        <f t="shared" si="4"/>
        <v>0</v>
      </c>
      <c r="Y24" s="151">
        <f t="shared" si="5"/>
        <v>0</v>
      </c>
    </row>
    <row r="25" spans="1:25" ht="36" x14ac:dyDescent="0.25">
      <c r="A25" s="150" t="s">
        <v>24</v>
      </c>
      <c r="B25" s="152">
        <v>43132</v>
      </c>
      <c r="C25" s="153">
        <v>1</v>
      </c>
      <c r="D25" s="154">
        <v>43132</v>
      </c>
      <c r="E25" s="154">
        <v>43166</v>
      </c>
      <c r="F25" s="153">
        <v>59059</v>
      </c>
      <c r="G25" s="153">
        <v>2650</v>
      </c>
      <c r="H25" s="153" t="s">
        <v>27</v>
      </c>
      <c r="I25" s="153" t="s">
        <v>548</v>
      </c>
      <c r="J25" s="153" t="s">
        <v>550</v>
      </c>
      <c r="K25" s="153" t="s">
        <v>266</v>
      </c>
      <c r="L25" s="150" t="str">
        <f t="shared" si="0"/>
        <v>Mar</v>
      </c>
      <c r="M25" s="150" t="str">
        <f t="shared" si="1"/>
        <v>18</v>
      </c>
      <c r="N25" s="153" t="s">
        <v>188</v>
      </c>
      <c r="Q25" s="150">
        <v>59059</v>
      </c>
      <c r="R25" s="155">
        <v>43166</v>
      </c>
      <c r="S25" s="150" t="s">
        <v>24</v>
      </c>
      <c r="T25" s="150">
        <v>2650</v>
      </c>
      <c r="V25" s="151">
        <f t="shared" si="2"/>
        <v>0</v>
      </c>
      <c r="W25" s="151">
        <f t="shared" si="3"/>
        <v>0</v>
      </c>
      <c r="X25" s="151">
        <f t="shared" si="4"/>
        <v>0</v>
      </c>
      <c r="Y25" s="151">
        <f t="shared" si="5"/>
        <v>0</v>
      </c>
    </row>
    <row r="26" spans="1:25" ht="36" x14ac:dyDescent="0.25">
      <c r="A26" s="150" t="s">
        <v>192</v>
      </c>
      <c r="B26" s="152">
        <v>43160</v>
      </c>
      <c r="C26" s="153">
        <v>1</v>
      </c>
      <c r="D26" s="154">
        <v>43160</v>
      </c>
      <c r="E26" s="154">
        <v>43206</v>
      </c>
      <c r="F26" s="153">
        <v>2261</v>
      </c>
      <c r="G26" s="153">
        <v>3000</v>
      </c>
      <c r="H26" s="153" t="s">
        <v>27</v>
      </c>
      <c r="I26" s="153" t="s">
        <v>548</v>
      </c>
      <c r="J26" s="153" t="s">
        <v>550</v>
      </c>
      <c r="K26" s="153" t="s">
        <v>266</v>
      </c>
      <c r="L26" s="150" t="str">
        <f t="shared" si="0"/>
        <v>Apr</v>
      </c>
      <c r="M26" s="150" t="str">
        <f t="shared" si="1"/>
        <v>18</v>
      </c>
      <c r="N26" s="153" t="s">
        <v>188</v>
      </c>
      <c r="Q26" s="150">
        <v>2261</v>
      </c>
      <c r="R26" s="155">
        <v>43206</v>
      </c>
      <c r="S26" s="150" t="s">
        <v>192</v>
      </c>
      <c r="T26" s="150">
        <v>3000</v>
      </c>
      <c r="V26" s="151">
        <f t="shared" si="2"/>
        <v>0</v>
      </c>
      <c r="W26" s="151">
        <f t="shared" si="3"/>
        <v>0</v>
      </c>
      <c r="X26" s="151">
        <f t="shared" si="4"/>
        <v>0</v>
      </c>
      <c r="Y26" s="151">
        <f t="shared" si="5"/>
        <v>0</v>
      </c>
    </row>
    <row r="27" spans="1:25" ht="36" x14ac:dyDescent="0.25">
      <c r="A27" s="150" t="s">
        <v>192</v>
      </c>
      <c r="B27" s="152">
        <v>43191</v>
      </c>
      <c r="C27" s="153">
        <v>1</v>
      </c>
      <c r="D27" s="154">
        <v>43191</v>
      </c>
      <c r="E27" s="154">
        <v>43249</v>
      </c>
      <c r="F27" s="153">
        <v>12293</v>
      </c>
      <c r="G27" s="153">
        <v>3000</v>
      </c>
      <c r="H27" s="153" t="s">
        <v>27</v>
      </c>
      <c r="I27" s="153" t="s">
        <v>548</v>
      </c>
      <c r="J27" s="153" t="s">
        <v>550</v>
      </c>
      <c r="K27" s="153" t="s">
        <v>266</v>
      </c>
      <c r="L27" s="150" t="str">
        <f t="shared" si="0"/>
        <v>May</v>
      </c>
      <c r="M27" s="150" t="str">
        <f t="shared" si="1"/>
        <v>18</v>
      </c>
      <c r="N27" s="153" t="s">
        <v>188</v>
      </c>
      <c r="Q27" s="150">
        <v>12293</v>
      </c>
      <c r="R27" s="155">
        <v>43249</v>
      </c>
      <c r="S27" s="150" t="s">
        <v>192</v>
      </c>
      <c r="T27" s="150">
        <v>3000</v>
      </c>
      <c r="V27" s="151">
        <f t="shared" si="2"/>
        <v>0</v>
      </c>
      <c r="W27" s="151">
        <f t="shared" si="3"/>
        <v>0</v>
      </c>
      <c r="X27" s="151">
        <f t="shared" si="4"/>
        <v>0</v>
      </c>
      <c r="Y27" s="151">
        <f t="shared" si="5"/>
        <v>0</v>
      </c>
    </row>
    <row r="28" spans="1:25" ht="36" x14ac:dyDescent="0.25">
      <c r="A28" s="150" t="s">
        <v>192</v>
      </c>
      <c r="B28" s="152">
        <v>43221</v>
      </c>
      <c r="C28" s="153">
        <v>1</v>
      </c>
      <c r="D28" s="154">
        <v>43221</v>
      </c>
      <c r="E28" s="154">
        <v>43252</v>
      </c>
      <c r="F28" s="153">
        <v>14665</v>
      </c>
      <c r="G28" s="153">
        <v>3000</v>
      </c>
      <c r="H28" s="153" t="s">
        <v>27</v>
      </c>
      <c r="I28" s="153" t="s">
        <v>548</v>
      </c>
      <c r="J28" s="153" t="s">
        <v>550</v>
      </c>
      <c r="K28" s="153" t="s">
        <v>266</v>
      </c>
      <c r="L28" s="150" t="str">
        <f t="shared" si="0"/>
        <v>Jun</v>
      </c>
      <c r="M28" s="150" t="str">
        <f t="shared" si="1"/>
        <v>18</v>
      </c>
      <c r="N28" s="153" t="s">
        <v>188</v>
      </c>
      <c r="Q28" s="150">
        <v>14665</v>
      </c>
      <c r="R28" s="155">
        <v>43252</v>
      </c>
      <c r="S28" s="150" t="s">
        <v>192</v>
      </c>
      <c r="T28" s="150">
        <v>3000</v>
      </c>
      <c r="V28" s="151">
        <f t="shared" si="2"/>
        <v>0</v>
      </c>
      <c r="W28" s="151">
        <f t="shared" si="3"/>
        <v>0</v>
      </c>
      <c r="X28" s="151">
        <f t="shared" si="4"/>
        <v>0</v>
      </c>
      <c r="Y28" s="151">
        <f t="shared" si="5"/>
        <v>0</v>
      </c>
    </row>
    <row r="29" spans="1:25" ht="36" x14ac:dyDescent="0.25">
      <c r="A29" s="150" t="s">
        <v>192</v>
      </c>
      <c r="B29" s="152">
        <v>43252</v>
      </c>
      <c r="C29" s="153">
        <v>1</v>
      </c>
      <c r="D29" s="154">
        <v>43252</v>
      </c>
      <c r="E29" s="154">
        <v>43283</v>
      </c>
      <c r="F29" s="153">
        <v>20799</v>
      </c>
      <c r="G29" s="153">
        <v>3000</v>
      </c>
      <c r="H29" s="153" t="s">
        <v>27</v>
      </c>
      <c r="I29" s="153" t="s">
        <v>548</v>
      </c>
      <c r="J29" s="153" t="s">
        <v>550</v>
      </c>
      <c r="K29" s="153" t="s">
        <v>266</v>
      </c>
      <c r="L29" s="150" t="str">
        <f t="shared" si="0"/>
        <v>Jul</v>
      </c>
      <c r="M29" s="150" t="str">
        <f t="shared" si="1"/>
        <v>18</v>
      </c>
      <c r="N29" s="153" t="s">
        <v>188</v>
      </c>
      <c r="Q29" s="150">
        <v>20799</v>
      </c>
      <c r="R29" s="155">
        <v>43283</v>
      </c>
      <c r="S29" s="150" t="s">
        <v>192</v>
      </c>
      <c r="T29" s="150">
        <v>3000</v>
      </c>
      <c r="V29" s="151">
        <f t="shared" si="2"/>
        <v>0</v>
      </c>
      <c r="W29" s="151">
        <f t="shared" si="3"/>
        <v>0</v>
      </c>
      <c r="X29" s="151">
        <f t="shared" si="4"/>
        <v>0</v>
      </c>
      <c r="Y29" s="151">
        <f t="shared" si="5"/>
        <v>0</v>
      </c>
    </row>
    <row r="30" spans="1:25" ht="36" x14ac:dyDescent="0.25">
      <c r="A30" s="150" t="s">
        <v>192</v>
      </c>
      <c r="B30" s="152">
        <v>43282</v>
      </c>
      <c r="C30" s="153">
        <v>1</v>
      </c>
      <c r="D30" s="154">
        <v>43282</v>
      </c>
      <c r="E30" s="154">
        <v>43313</v>
      </c>
      <c r="F30" s="153">
        <v>28948</v>
      </c>
      <c r="G30" s="153">
        <v>3000</v>
      </c>
      <c r="H30" s="153" t="s">
        <v>27</v>
      </c>
      <c r="I30" s="153" t="s">
        <v>548</v>
      </c>
      <c r="J30" s="153" t="s">
        <v>550</v>
      </c>
      <c r="K30" s="153" t="s">
        <v>266</v>
      </c>
      <c r="L30" s="150" t="str">
        <f t="shared" si="0"/>
        <v>Aug</v>
      </c>
      <c r="M30" s="150" t="str">
        <f t="shared" si="1"/>
        <v>18</v>
      </c>
      <c r="N30" s="153" t="s">
        <v>188</v>
      </c>
      <c r="Q30" s="150">
        <v>28948</v>
      </c>
      <c r="R30" s="155">
        <v>43313</v>
      </c>
      <c r="S30" s="150" t="s">
        <v>192</v>
      </c>
      <c r="T30" s="150">
        <v>3000</v>
      </c>
      <c r="V30" s="151">
        <f t="shared" si="2"/>
        <v>0</v>
      </c>
      <c r="W30" s="151">
        <f t="shared" si="3"/>
        <v>0</v>
      </c>
      <c r="X30" s="151">
        <f t="shared" si="4"/>
        <v>0</v>
      </c>
      <c r="Y30" s="151">
        <f t="shared" si="5"/>
        <v>0</v>
      </c>
    </row>
    <row r="31" spans="1:25" ht="36" x14ac:dyDescent="0.25">
      <c r="A31" s="150" t="s">
        <v>192</v>
      </c>
      <c r="B31" s="152">
        <v>43313</v>
      </c>
      <c r="C31" s="153">
        <v>1</v>
      </c>
      <c r="D31" s="154">
        <v>43313</v>
      </c>
      <c r="E31" s="154">
        <v>43344</v>
      </c>
      <c r="F31" s="153">
        <v>38148</v>
      </c>
      <c r="G31" s="153">
        <v>3000</v>
      </c>
      <c r="H31" s="153" t="s">
        <v>27</v>
      </c>
      <c r="I31" s="153" t="s">
        <v>548</v>
      </c>
      <c r="J31" s="153" t="s">
        <v>550</v>
      </c>
      <c r="K31" s="153" t="s">
        <v>266</v>
      </c>
      <c r="L31" s="150" t="str">
        <f t="shared" si="0"/>
        <v>Sep</v>
      </c>
      <c r="M31" s="150" t="str">
        <f t="shared" si="1"/>
        <v>18</v>
      </c>
      <c r="N31" s="153" t="s">
        <v>188</v>
      </c>
      <c r="Q31" s="150">
        <v>38148</v>
      </c>
      <c r="R31" s="155">
        <v>43344</v>
      </c>
      <c r="S31" s="150" t="s">
        <v>192</v>
      </c>
      <c r="T31" s="150">
        <v>3000</v>
      </c>
      <c r="V31" s="151">
        <f t="shared" si="2"/>
        <v>0</v>
      </c>
      <c r="W31" s="151">
        <f t="shared" si="3"/>
        <v>0</v>
      </c>
      <c r="X31" s="151">
        <f t="shared" si="4"/>
        <v>0</v>
      </c>
      <c r="Y31" s="151">
        <f t="shared" si="5"/>
        <v>0</v>
      </c>
    </row>
    <row r="32" spans="1:25" ht="36" x14ac:dyDescent="0.25">
      <c r="A32" s="150" t="s">
        <v>192</v>
      </c>
      <c r="B32" s="152">
        <v>43344</v>
      </c>
      <c r="C32" s="153">
        <v>1</v>
      </c>
      <c r="D32" s="154">
        <v>43344</v>
      </c>
      <c r="E32" s="154">
        <v>43382</v>
      </c>
      <c r="F32" s="153">
        <v>45759</v>
      </c>
      <c r="G32" s="153">
        <v>3000</v>
      </c>
      <c r="H32" s="153" t="s">
        <v>27</v>
      </c>
      <c r="I32" s="153" t="s">
        <v>548</v>
      </c>
      <c r="J32" s="153" t="s">
        <v>550</v>
      </c>
      <c r="K32" s="153" t="s">
        <v>266</v>
      </c>
      <c r="L32" s="150" t="str">
        <f t="shared" si="0"/>
        <v>Oct</v>
      </c>
      <c r="M32" s="150" t="str">
        <f t="shared" si="1"/>
        <v>18</v>
      </c>
      <c r="N32" s="153" t="s">
        <v>188</v>
      </c>
      <c r="Q32" s="150">
        <v>45759</v>
      </c>
      <c r="R32" s="155">
        <v>43382</v>
      </c>
      <c r="S32" s="150" t="s">
        <v>192</v>
      </c>
      <c r="T32" s="150">
        <v>3000</v>
      </c>
      <c r="V32" s="151">
        <f t="shared" si="2"/>
        <v>0</v>
      </c>
      <c r="W32" s="151">
        <f t="shared" si="3"/>
        <v>0</v>
      </c>
      <c r="X32" s="151">
        <f t="shared" si="4"/>
        <v>0</v>
      </c>
      <c r="Y32" s="151">
        <f t="shared" si="5"/>
        <v>0</v>
      </c>
    </row>
    <row r="33" spans="1:25" ht="36" x14ac:dyDescent="0.25">
      <c r="A33" s="150" t="s">
        <v>192</v>
      </c>
      <c r="B33" s="152">
        <v>43374</v>
      </c>
      <c r="C33" s="153">
        <v>1</v>
      </c>
      <c r="D33" s="154">
        <v>43374</v>
      </c>
      <c r="E33" s="154">
        <v>43412</v>
      </c>
      <c r="F33" s="153">
        <v>64791</v>
      </c>
      <c r="G33" s="153">
        <v>3000</v>
      </c>
      <c r="H33" s="153" t="s">
        <v>27</v>
      </c>
      <c r="I33" s="153" t="s">
        <v>548</v>
      </c>
      <c r="J33" s="153" t="s">
        <v>550</v>
      </c>
      <c r="K33" s="153" t="s">
        <v>266</v>
      </c>
      <c r="L33" s="150" t="str">
        <f t="shared" ref="L33:L63" si="6">TEXT(E33,"mmm")</f>
        <v>Nov</v>
      </c>
      <c r="M33" s="150" t="str">
        <f t="shared" ref="M33:M63" si="7">TEXT(E33,"yy")</f>
        <v>18</v>
      </c>
      <c r="N33" s="153" t="s">
        <v>188</v>
      </c>
      <c r="Q33" s="150">
        <v>64791</v>
      </c>
      <c r="R33" s="155">
        <v>43412</v>
      </c>
      <c r="S33" s="150" t="s">
        <v>192</v>
      </c>
      <c r="T33" s="150">
        <v>3000</v>
      </c>
      <c r="V33" s="151">
        <f t="shared" ref="V33:V34" si="8">F33-Q33</f>
        <v>0</v>
      </c>
      <c r="W33" s="151">
        <f t="shared" ref="W33:W34" si="9">E33-R33</f>
        <v>0</v>
      </c>
      <c r="X33" s="151">
        <f t="shared" ref="X33:X34" si="10">G33-T33</f>
        <v>0</v>
      </c>
      <c r="Y33" s="151">
        <f t="shared" si="5"/>
        <v>0</v>
      </c>
    </row>
    <row r="34" spans="1:25" ht="36" x14ac:dyDescent="0.25">
      <c r="A34" s="150" t="s">
        <v>192</v>
      </c>
      <c r="B34" s="152">
        <v>43435</v>
      </c>
      <c r="C34" s="153">
        <v>1</v>
      </c>
      <c r="D34" s="154">
        <v>43405</v>
      </c>
      <c r="E34" s="154">
        <v>43470</v>
      </c>
      <c r="F34" s="153">
        <v>78389</v>
      </c>
      <c r="G34" s="153">
        <v>3000</v>
      </c>
      <c r="H34" s="153" t="s">
        <v>27</v>
      </c>
      <c r="I34" s="153" t="s">
        <v>548</v>
      </c>
      <c r="J34" s="153" t="s">
        <v>550</v>
      </c>
      <c r="K34" s="153" t="s">
        <v>266</v>
      </c>
      <c r="L34" s="150" t="str">
        <f t="shared" si="6"/>
        <v>Jan</v>
      </c>
      <c r="M34" s="150" t="str">
        <f t="shared" si="7"/>
        <v>19</v>
      </c>
      <c r="N34" s="153" t="s">
        <v>188</v>
      </c>
      <c r="Q34" s="150">
        <v>78389</v>
      </c>
      <c r="R34" s="155">
        <v>43470</v>
      </c>
      <c r="S34" s="150" t="s">
        <v>192</v>
      </c>
      <c r="T34" s="150">
        <v>3000</v>
      </c>
      <c r="V34" s="151">
        <f t="shared" si="8"/>
        <v>0</v>
      </c>
      <c r="W34" s="151">
        <f t="shared" si="9"/>
        <v>0</v>
      </c>
      <c r="X34" s="151">
        <f t="shared" si="10"/>
        <v>0</v>
      </c>
      <c r="Y34" s="151">
        <f t="shared" si="5"/>
        <v>0</v>
      </c>
    </row>
    <row r="35" spans="1:25" ht="36" x14ac:dyDescent="0.25">
      <c r="A35" s="150" t="s">
        <v>192</v>
      </c>
      <c r="B35" s="152">
        <v>43466</v>
      </c>
      <c r="C35" s="153">
        <v>1</v>
      </c>
      <c r="D35" s="154">
        <v>43466</v>
      </c>
      <c r="E35" s="154">
        <v>43503</v>
      </c>
      <c r="F35" s="153">
        <v>84675</v>
      </c>
      <c r="G35" s="153">
        <v>3000</v>
      </c>
      <c r="H35" s="153" t="s">
        <v>27</v>
      </c>
      <c r="I35" s="153" t="s">
        <v>548</v>
      </c>
      <c r="J35" s="153" t="s">
        <v>550</v>
      </c>
      <c r="K35" s="153" t="s">
        <v>266</v>
      </c>
      <c r="L35" s="153" t="str">
        <f t="shared" si="6"/>
        <v>Feb</v>
      </c>
      <c r="M35" s="153" t="str">
        <f t="shared" si="7"/>
        <v>19</v>
      </c>
      <c r="N35" s="153" t="s">
        <v>188</v>
      </c>
      <c r="Q35" s="150">
        <v>84675</v>
      </c>
      <c r="R35" s="155">
        <v>43503</v>
      </c>
      <c r="S35" s="150" t="s">
        <v>192</v>
      </c>
      <c r="T35" s="150">
        <v>3000</v>
      </c>
      <c r="V35" s="151">
        <f t="shared" ref="V35:V78" si="11">F35-Q35</f>
        <v>0</v>
      </c>
      <c r="W35" s="151">
        <f t="shared" ref="W35:W78" si="12">E35-R35</f>
        <v>0</v>
      </c>
      <c r="X35" s="151">
        <f t="shared" ref="X35:X78" si="13">G35-T35</f>
        <v>0</v>
      </c>
      <c r="Y35" s="151">
        <f t="shared" si="5"/>
        <v>0</v>
      </c>
    </row>
    <row r="36" spans="1:25" ht="36" x14ac:dyDescent="0.25">
      <c r="A36" s="150" t="s">
        <v>192</v>
      </c>
      <c r="B36" s="152">
        <v>43466</v>
      </c>
      <c r="C36" s="153">
        <v>2</v>
      </c>
      <c r="D36" s="154">
        <v>43435</v>
      </c>
      <c r="E36" s="154">
        <v>43503</v>
      </c>
      <c r="F36" s="153">
        <v>84676</v>
      </c>
      <c r="G36" s="153">
        <v>3000</v>
      </c>
      <c r="H36" s="153" t="s">
        <v>27</v>
      </c>
      <c r="I36" s="153" t="s">
        <v>548</v>
      </c>
      <c r="J36" s="153" t="s">
        <v>550</v>
      </c>
      <c r="K36" s="153" t="s">
        <v>266</v>
      </c>
      <c r="L36" s="150" t="str">
        <f t="shared" si="6"/>
        <v>Feb</v>
      </c>
      <c r="M36" s="150" t="str">
        <f t="shared" si="7"/>
        <v>19</v>
      </c>
      <c r="N36" s="153" t="s">
        <v>188</v>
      </c>
      <c r="Q36" s="150">
        <v>84676</v>
      </c>
      <c r="R36" s="155">
        <v>43503</v>
      </c>
      <c r="S36" s="150" t="s">
        <v>192</v>
      </c>
      <c r="T36" s="150">
        <v>3000</v>
      </c>
      <c r="V36" s="151">
        <f t="shared" si="11"/>
        <v>0</v>
      </c>
      <c r="W36" s="151">
        <f t="shared" si="12"/>
        <v>0</v>
      </c>
      <c r="X36" s="151">
        <f t="shared" si="13"/>
        <v>0</v>
      </c>
      <c r="Y36" s="151">
        <f t="shared" si="5"/>
        <v>0</v>
      </c>
    </row>
    <row r="37" spans="1:25" ht="36" x14ac:dyDescent="0.25">
      <c r="A37" s="150" t="s">
        <v>192</v>
      </c>
      <c r="B37" s="152">
        <v>43497</v>
      </c>
      <c r="C37" s="153">
        <v>1</v>
      </c>
      <c r="D37" s="154">
        <v>43497</v>
      </c>
      <c r="E37" s="154">
        <v>43526</v>
      </c>
      <c r="F37" s="153">
        <v>89654</v>
      </c>
      <c r="G37" s="153">
        <v>3000</v>
      </c>
      <c r="H37" s="153" t="s">
        <v>27</v>
      </c>
      <c r="I37" s="153" t="s">
        <v>548</v>
      </c>
      <c r="J37" s="153" t="s">
        <v>550</v>
      </c>
      <c r="K37" s="153" t="s">
        <v>266</v>
      </c>
      <c r="L37" s="150" t="str">
        <f t="shared" si="6"/>
        <v>Mar</v>
      </c>
      <c r="M37" s="150" t="str">
        <f t="shared" si="7"/>
        <v>19</v>
      </c>
      <c r="N37" s="153" t="s">
        <v>188</v>
      </c>
      <c r="Q37" s="150">
        <v>89654</v>
      </c>
      <c r="R37" s="155">
        <v>43526</v>
      </c>
      <c r="S37" s="150" t="s">
        <v>192</v>
      </c>
      <c r="T37" s="150">
        <v>3000</v>
      </c>
      <c r="V37" s="151">
        <f t="shared" si="11"/>
        <v>0</v>
      </c>
      <c r="W37" s="151">
        <f t="shared" si="12"/>
        <v>0</v>
      </c>
      <c r="X37" s="151">
        <f t="shared" si="13"/>
        <v>0</v>
      </c>
      <c r="Y37" s="151">
        <f t="shared" si="5"/>
        <v>0</v>
      </c>
    </row>
    <row r="38" spans="1:25" ht="36" x14ac:dyDescent="0.25">
      <c r="A38" s="150" t="s">
        <v>246</v>
      </c>
      <c r="B38" s="152">
        <v>43525</v>
      </c>
      <c r="C38" s="153">
        <v>1</v>
      </c>
      <c r="D38" s="154">
        <v>43525</v>
      </c>
      <c r="E38" s="154">
        <v>43567</v>
      </c>
      <c r="F38" s="153">
        <v>2067</v>
      </c>
      <c r="G38" s="153">
        <v>3000</v>
      </c>
      <c r="H38" s="153" t="s">
        <v>27</v>
      </c>
      <c r="I38" s="153" t="s">
        <v>548</v>
      </c>
      <c r="J38" s="153" t="s">
        <v>550</v>
      </c>
      <c r="K38" s="153" t="s">
        <v>266</v>
      </c>
      <c r="L38" s="150" t="str">
        <f t="shared" si="6"/>
        <v>Apr</v>
      </c>
      <c r="M38" s="150" t="str">
        <f t="shared" si="7"/>
        <v>19</v>
      </c>
      <c r="N38" s="153" t="s">
        <v>188</v>
      </c>
      <c r="Q38" s="150">
        <v>2067</v>
      </c>
      <c r="R38" s="155">
        <v>43567</v>
      </c>
      <c r="S38" s="150" t="s">
        <v>246</v>
      </c>
      <c r="T38" s="150">
        <v>3000</v>
      </c>
      <c r="V38" s="151">
        <f t="shared" si="11"/>
        <v>0</v>
      </c>
      <c r="W38" s="151">
        <f t="shared" si="12"/>
        <v>0</v>
      </c>
      <c r="X38" s="151">
        <f t="shared" si="13"/>
        <v>0</v>
      </c>
      <c r="Y38" s="151">
        <f t="shared" si="5"/>
        <v>0</v>
      </c>
    </row>
    <row r="39" spans="1:25" ht="36" x14ac:dyDescent="0.25">
      <c r="A39" s="150" t="s">
        <v>246</v>
      </c>
      <c r="B39" s="152">
        <v>43556</v>
      </c>
      <c r="C39" s="153">
        <v>1</v>
      </c>
      <c r="D39" s="154">
        <v>43556</v>
      </c>
      <c r="E39" s="154">
        <v>43586</v>
      </c>
      <c r="F39" s="153">
        <v>7783</v>
      </c>
      <c r="G39" s="153">
        <v>3000</v>
      </c>
      <c r="H39" s="153" t="s">
        <v>27</v>
      </c>
      <c r="I39" s="153" t="s">
        <v>548</v>
      </c>
      <c r="J39" s="153" t="s">
        <v>550</v>
      </c>
      <c r="K39" s="153" t="s">
        <v>266</v>
      </c>
      <c r="L39" s="150" t="str">
        <f t="shared" si="6"/>
        <v>May</v>
      </c>
      <c r="M39" s="150" t="str">
        <f t="shared" si="7"/>
        <v>19</v>
      </c>
      <c r="N39" s="153" t="s">
        <v>188</v>
      </c>
      <c r="Q39" s="150">
        <v>7783</v>
      </c>
      <c r="R39" s="155">
        <v>43586</v>
      </c>
      <c r="S39" s="150" t="s">
        <v>246</v>
      </c>
      <c r="T39" s="150">
        <v>3000</v>
      </c>
      <c r="V39" s="151">
        <f t="shared" si="11"/>
        <v>0</v>
      </c>
      <c r="W39" s="151">
        <f t="shared" si="12"/>
        <v>0</v>
      </c>
      <c r="X39" s="151">
        <f t="shared" si="13"/>
        <v>0</v>
      </c>
      <c r="Y39" s="151">
        <f t="shared" si="5"/>
        <v>0</v>
      </c>
    </row>
    <row r="40" spans="1:25" ht="36" x14ac:dyDescent="0.25">
      <c r="A40" s="150" t="s">
        <v>246</v>
      </c>
      <c r="B40" s="152">
        <v>43586</v>
      </c>
      <c r="C40" s="153">
        <v>1</v>
      </c>
      <c r="D40" s="154">
        <v>43586</v>
      </c>
      <c r="E40" s="154">
        <v>43626</v>
      </c>
      <c r="F40" s="153">
        <v>13083</v>
      </c>
      <c r="G40" s="153">
        <v>3000</v>
      </c>
      <c r="H40" s="153" t="s">
        <v>27</v>
      </c>
      <c r="I40" s="153" t="s">
        <v>548</v>
      </c>
      <c r="J40" s="153" t="s">
        <v>550</v>
      </c>
      <c r="K40" s="153" t="s">
        <v>266</v>
      </c>
      <c r="L40" s="150" t="str">
        <f t="shared" si="6"/>
        <v>Jun</v>
      </c>
      <c r="M40" s="150" t="str">
        <f t="shared" si="7"/>
        <v>19</v>
      </c>
      <c r="N40" s="153" t="s">
        <v>188</v>
      </c>
      <c r="Q40" s="150">
        <v>13083</v>
      </c>
      <c r="R40" s="155">
        <v>43626</v>
      </c>
      <c r="S40" s="150" t="s">
        <v>246</v>
      </c>
      <c r="T40" s="150">
        <v>3000</v>
      </c>
      <c r="V40" s="151">
        <f t="shared" si="11"/>
        <v>0</v>
      </c>
      <c r="W40" s="151">
        <f t="shared" si="12"/>
        <v>0</v>
      </c>
      <c r="X40" s="151">
        <f t="shared" si="13"/>
        <v>0</v>
      </c>
      <c r="Y40" s="151">
        <f t="shared" si="5"/>
        <v>0</v>
      </c>
    </row>
    <row r="41" spans="1:25" ht="36" x14ac:dyDescent="0.25">
      <c r="A41" s="150" t="s">
        <v>246</v>
      </c>
      <c r="B41" s="152">
        <v>43617</v>
      </c>
      <c r="C41" s="153">
        <v>1</v>
      </c>
      <c r="D41" s="154">
        <v>43617</v>
      </c>
      <c r="E41" s="154">
        <v>43648</v>
      </c>
      <c r="F41" s="153">
        <v>17962</v>
      </c>
      <c r="G41" s="153">
        <v>3000</v>
      </c>
      <c r="H41" s="153" t="s">
        <v>27</v>
      </c>
      <c r="I41" s="153" t="s">
        <v>548</v>
      </c>
      <c r="J41" s="153" t="s">
        <v>550</v>
      </c>
      <c r="K41" s="153" t="s">
        <v>266</v>
      </c>
      <c r="L41" s="150" t="str">
        <f t="shared" si="6"/>
        <v>Jul</v>
      </c>
      <c r="M41" s="150" t="str">
        <f t="shared" si="7"/>
        <v>19</v>
      </c>
      <c r="N41" s="153" t="s">
        <v>188</v>
      </c>
      <c r="Q41" s="150">
        <v>17962</v>
      </c>
      <c r="R41" s="155">
        <v>43648</v>
      </c>
      <c r="S41" s="150" t="s">
        <v>246</v>
      </c>
      <c r="T41" s="150">
        <v>3000</v>
      </c>
      <c r="V41" s="151">
        <f t="shared" si="11"/>
        <v>0</v>
      </c>
      <c r="W41" s="151">
        <f t="shared" si="12"/>
        <v>0</v>
      </c>
      <c r="X41" s="151">
        <f t="shared" si="13"/>
        <v>0</v>
      </c>
      <c r="Y41" s="151">
        <f t="shared" si="5"/>
        <v>0</v>
      </c>
    </row>
    <row r="42" spans="1:25" ht="36" x14ac:dyDescent="0.25">
      <c r="A42" s="150" t="s">
        <v>246</v>
      </c>
      <c r="B42" s="152">
        <v>43647</v>
      </c>
      <c r="C42" s="153">
        <v>1</v>
      </c>
      <c r="D42" s="154">
        <v>43647</v>
      </c>
      <c r="E42" s="154">
        <v>43683</v>
      </c>
      <c r="F42" s="153">
        <v>22832</v>
      </c>
      <c r="G42" s="153">
        <v>3000</v>
      </c>
      <c r="H42" s="153" t="s">
        <v>27</v>
      </c>
      <c r="I42" s="153" t="s">
        <v>548</v>
      </c>
      <c r="J42" s="153" t="s">
        <v>550</v>
      </c>
      <c r="K42" s="153" t="s">
        <v>266</v>
      </c>
      <c r="L42" s="150" t="str">
        <f t="shared" si="6"/>
        <v>Aug</v>
      </c>
      <c r="M42" s="150" t="str">
        <f t="shared" si="7"/>
        <v>19</v>
      </c>
      <c r="N42" s="153" t="s">
        <v>188</v>
      </c>
      <c r="Q42" s="150">
        <v>22832</v>
      </c>
      <c r="R42" s="155">
        <v>43683</v>
      </c>
      <c r="S42" s="150" t="s">
        <v>246</v>
      </c>
      <c r="T42" s="150">
        <v>3000</v>
      </c>
      <c r="V42" s="151">
        <f t="shared" si="11"/>
        <v>0</v>
      </c>
      <c r="W42" s="151">
        <f t="shared" si="12"/>
        <v>0</v>
      </c>
      <c r="X42" s="151">
        <f t="shared" si="13"/>
        <v>0</v>
      </c>
      <c r="Y42" s="151">
        <f t="shared" si="5"/>
        <v>0</v>
      </c>
    </row>
    <row r="43" spans="1:25" ht="36" x14ac:dyDescent="0.25">
      <c r="A43" s="150" t="s">
        <v>246</v>
      </c>
      <c r="B43" s="152">
        <v>43678</v>
      </c>
      <c r="C43" s="153">
        <v>1</v>
      </c>
      <c r="D43" s="154">
        <v>43678</v>
      </c>
      <c r="E43" s="154">
        <v>43710</v>
      </c>
      <c r="F43" s="153">
        <v>28118</v>
      </c>
      <c r="G43" s="153">
        <v>3000</v>
      </c>
      <c r="H43" s="153" t="s">
        <v>27</v>
      </c>
      <c r="I43" s="153" t="s">
        <v>548</v>
      </c>
      <c r="J43" s="153" t="s">
        <v>550</v>
      </c>
      <c r="K43" s="153" t="s">
        <v>266</v>
      </c>
      <c r="L43" s="150" t="str">
        <f t="shared" si="6"/>
        <v>Sep</v>
      </c>
      <c r="M43" s="150" t="str">
        <f t="shared" si="7"/>
        <v>19</v>
      </c>
      <c r="N43" s="153" t="s">
        <v>188</v>
      </c>
      <c r="Q43" s="150">
        <v>28118</v>
      </c>
      <c r="R43" s="155">
        <v>43710</v>
      </c>
      <c r="S43" s="150" t="s">
        <v>246</v>
      </c>
      <c r="T43" s="150">
        <v>3000</v>
      </c>
      <c r="V43" s="151">
        <f t="shared" si="11"/>
        <v>0</v>
      </c>
      <c r="W43" s="151">
        <f t="shared" si="12"/>
        <v>0</v>
      </c>
      <c r="X43" s="151">
        <f t="shared" si="13"/>
        <v>0</v>
      </c>
      <c r="Y43" s="151">
        <f t="shared" si="5"/>
        <v>0</v>
      </c>
    </row>
    <row r="44" spans="1:25" ht="36" x14ac:dyDescent="0.25">
      <c r="A44" s="150" t="s">
        <v>246</v>
      </c>
      <c r="B44" s="152">
        <v>43709</v>
      </c>
      <c r="C44" s="153">
        <v>1</v>
      </c>
      <c r="D44" s="154">
        <v>43709</v>
      </c>
      <c r="E44" s="154">
        <v>43739</v>
      </c>
      <c r="F44" s="153">
        <v>35390</v>
      </c>
      <c r="G44" s="153">
        <v>3000</v>
      </c>
      <c r="H44" s="153" t="s">
        <v>27</v>
      </c>
      <c r="I44" s="153" t="s">
        <v>548</v>
      </c>
      <c r="J44" s="153" t="s">
        <v>550</v>
      </c>
      <c r="K44" s="153" t="s">
        <v>266</v>
      </c>
      <c r="L44" s="150" t="str">
        <f t="shared" si="6"/>
        <v>Oct</v>
      </c>
      <c r="M44" s="150" t="str">
        <f t="shared" si="7"/>
        <v>19</v>
      </c>
      <c r="N44" s="153" t="s">
        <v>188</v>
      </c>
      <c r="Q44" s="150">
        <v>35390</v>
      </c>
      <c r="R44" s="155">
        <v>43739</v>
      </c>
      <c r="S44" s="150" t="s">
        <v>246</v>
      </c>
      <c r="T44" s="150">
        <v>3000</v>
      </c>
      <c r="V44" s="151">
        <f t="shared" si="11"/>
        <v>0</v>
      </c>
      <c r="W44" s="151">
        <f t="shared" si="12"/>
        <v>0</v>
      </c>
      <c r="X44" s="151">
        <f t="shared" si="13"/>
        <v>0</v>
      </c>
      <c r="Y44" s="151">
        <f t="shared" si="5"/>
        <v>0</v>
      </c>
    </row>
    <row r="45" spans="1:25" ht="36" x14ac:dyDescent="0.25">
      <c r="A45" s="150" t="s">
        <v>246</v>
      </c>
      <c r="B45" s="152">
        <v>43739</v>
      </c>
      <c r="C45" s="153">
        <v>1</v>
      </c>
      <c r="D45" s="154">
        <v>43739</v>
      </c>
      <c r="E45" s="154">
        <v>43770</v>
      </c>
      <c r="F45" s="153">
        <v>41375</v>
      </c>
      <c r="G45" s="153">
        <v>3000</v>
      </c>
      <c r="H45" s="153" t="s">
        <v>27</v>
      </c>
      <c r="I45" s="153" t="s">
        <v>548</v>
      </c>
      <c r="J45" s="153" t="s">
        <v>550</v>
      </c>
      <c r="K45" s="153" t="s">
        <v>266</v>
      </c>
      <c r="L45" s="150" t="str">
        <f t="shared" si="6"/>
        <v>Nov</v>
      </c>
      <c r="M45" s="150" t="str">
        <f t="shared" si="7"/>
        <v>19</v>
      </c>
      <c r="N45" s="153" t="s">
        <v>188</v>
      </c>
      <c r="Q45" s="150">
        <v>41375</v>
      </c>
      <c r="R45" s="155">
        <v>43770</v>
      </c>
      <c r="S45" s="150" t="s">
        <v>246</v>
      </c>
      <c r="T45" s="150">
        <v>3000</v>
      </c>
      <c r="V45" s="151">
        <f t="shared" si="11"/>
        <v>0</v>
      </c>
      <c r="W45" s="151">
        <f t="shared" si="12"/>
        <v>0</v>
      </c>
      <c r="X45" s="151">
        <f t="shared" si="13"/>
        <v>0</v>
      </c>
      <c r="Y45" s="151">
        <f t="shared" si="5"/>
        <v>0</v>
      </c>
    </row>
    <row r="46" spans="1:25" ht="36" x14ac:dyDescent="0.25">
      <c r="A46" s="150" t="s">
        <v>246</v>
      </c>
      <c r="B46" s="152">
        <v>43770</v>
      </c>
      <c r="C46" s="153">
        <v>1</v>
      </c>
      <c r="D46" s="154">
        <v>43770</v>
      </c>
      <c r="E46" s="154">
        <v>43802</v>
      </c>
      <c r="F46" s="153">
        <v>48035</v>
      </c>
      <c r="G46" s="153">
        <v>3000</v>
      </c>
      <c r="H46" s="153" t="s">
        <v>27</v>
      </c>
      <c r="I46" s="153" t="s">
        <v>548</v>
      </c>
      <c r="J46" s="153" t="s">
        <v>550</v>
      </c>
      <c r="K46" s="153" t="s">
        <v>266</v>
      </c>
      <c r="L46" s="150" t="str">
        <f t="shared" si="6"/>
        <v>Dec</v>
      </c>
      <c r="M46" s="150" t="str">
        <f t="shared" si="7"/>
        <v>19</v>
      </c>
      <c r="N46" s="153" t="s">
        <v>188</v>
      </c>
      <c r="Q46" s="150">
        <v>48035</v>
      </c>
      <c r="R46" s="155">
        <v>43802</v>
      </c>
      <c r="S46" s="150" t="s">
        <v>246</v>
      </c>
      <c r="T46" s="150">
        <v>3000</v>
      </c>
      <c r="V46" s="151">
        <f t="shared" si="11"/>
        <v>0</v>
      </c>
      <c r="W46" s="151">
        <f t="shared" si="12"/>
        <v>0</v>
      </c>
      <c r="X46" s="151">
        <f t="shared" si="13"/>
        <v>0</v>
      </c>
      <c r="Y46" s="151">
        <f t="shared" si="5"/>
        <v>0</v>
      </c>
    </row>
    <row r="47" spans="1:25" ht="36" x14ac:dyDescent="0.25">
      <c r="A47" s="150" t="s">
        <v>246</v>
      </c>
      <c r="B47" s="152">
        <v>43800</v>
      </c>
      <c r="C47" s="153">
        <v>1</v>
      </c>
      <c r="D47" s="154">
        <v>43800</v>
      </c>
      <c r="E47" s="154">
        <v>43833</v>
      </c>
      <c r="F47" s="153">
        <v>53590</v>
      </c>
      <c r="G47" s="153">
        <v>3000</v>
      </c>
      <c r="H47" s="153" t="s">
        <v>27</v>
      </c>
      <c r="I47" s="153" t="s">
        <v>548</v>
      </c>
      <c r="J47" s="153" t="s">
        <v>550</v>
      </c>
      <c r="K47" s="153" t="s">
        <v>266</v>
      </c>
      <c r="L47" s="150" t="str">
        <f t="shared" si="6"/>
        <v>Jan</v>
      </c>
      <c r="M47" s="150" t="str">
        <f t="shared" si="7"/>
        <v>20</v>
      </c>
      <c r="N47" s="153" t="s">
        <v>188</v>
      </c>
      <c r="Q47" s="150">
        <v>53590</v>
      </c>
      <c r="R47" s="155">
        <v>43833</v>
      </c>
      <c r="S47" s="150" t="s">
        <v>246</v>
      </c>
      <c r="T47" s="150">
        <v>3000</v>
      </c>
      <c r="V47" s="151">
        <f t="shared" si="11"/>
        <v>0</v>
      </c>
      <c r="W47" s="151">
        <f t="shared" si="12"/>
        <v>0</v>
      </c>
      <c r="X47" s="151">
        <f t="shared" si="13"/>
        <v>0</v>
      </c>
      <c r="Y47" s="151">
        <f t="shared" si="5"/>
        <v>0</v>
      </c>
    </row>
    <row r="48" spans="1:25" ht="36" x14ac:dyDescent="0.25">
      <c r="A48" s="150" t="s">
        <v>246</v>
      </c>
      <c r="B48" s="152">
        <v>43831</v>
      </c>
      <c r="C48" s="153">
        <v>1</v>
      </c>
      <c r="D48" s="154">
        <v>43831</v>
      </c>
      <c r="E48" s="154">
        <v>43862</v>
      </c>
      <c r="F48" s="153">
        <v>58674</v>
      </c>
      <c r="G48" s="153">
        <v>3000</v>
      </c>
      <c r="H48" s="153" t="s">
        <v>27</v>
      </c>
      <c r="I48" s="153" t="s">
        <v>548</v>
      </c>
      <c r="J48" s="153" t="s">
        <v>550</v>
      </c>
      <c r="K48" s="153" t="s">
        <v>266</v>
      </c>
      <c r="L48" s="150" t="str">
        <f t="shared" si="6"/>
        <v>Feb</v>
      </c>
      <c r="M48" s="150" t="str">
        <f t="shared" si="7"/>
        <v>20</v>
      </c>
      <c r="N48" s="153" t="s">
        <v>188</v>
      </c>
      <c r="Q48" s="150">
        <v>58674</v>
      </c>
      <c r="R48" s="155">
        <v>43862</v>
      </c>
      <c r="S48" s="150" t="s">
        <v>246</v>
      </c>
      <c r="T48" s="150">
        <v>3000</v>
      </c>
      <c r="V48" s="151">
        <f t="shared" si="11"/>
        <v>0</v>
      </c>
      <c r="W48" s="151">
        <f t="shared" si="12"/>
        <v>0</v>
      </c>
      <c r="X48" s="151">
        <f t="shared" si="13"/>
        <v>0</v>
      </c>
      <c r="Y48" s="151">
        <f t="shared" si="5"/>
        <v>0</v>
      </c>
    </row>
    <row r="49" spans="1:25" ht="36" x14ac:dyDescent="0.25">
      <c r="A49" s="150" t="s">
        <v>246</v>
      </c>
      <c r="B49" s="152">
        <v>43862</v>
      </c>
      <c r="C49" s="153">
        <v>1</v>
      </c>
      <c r="D49" s="154">
        <v>43831</v>
      </c>
      <c r="E49" s="154">
        <v>43894</v>
      </c>
      <c r="F49" s="153">
        <v>65112</v>
      </c>
      <c r="G49" s="153">
        <v>3000</v>
      </c>
      <c r="H49" s="153" t="s">
        <v>27</v>
      </c>
      <c r="I49" s="153" t="s">
        <v>548</v>
      </c>
      <c r="J49" s="153" t="s">
        <v>550</v>
      </c>
      <c r="K49" s="153" t="s">
        <v>266</v>
      </c>
      <c r="L49" s="150" t="str">
        <f t="shared" si="6"/>
        <v>Mar</v>
      </c>
      <c r="M49" s="150" t="str">
        <f t="shared" si="7"/>
        <v>20</v>
      </c>
      <c r="N49" s="153" t="s">
        <v>188</v>
      </c>
      <c r="Q49" s="150">
        <v>65112</v>
      </c>
      <c r="R49" s="155">
        <v>43894</v>
      </c>
      <c r="S49" s="150" t="s">
        <v>246</v>
      </c>
      <c r="T49" s="150">
        <v>3000</v>
      </c>
      <c r="V49" s="151">
        <f t="shared" si="11"/>
        <v>0</v>
      </c>
      <c r="W49" s="151">
        <f t="shared" si="12"/>
        <v>0</v>
      </c>
      <c r="X49" s="151">
        <f t="shared" si="13"/>
        <v>0</v>
      </c>
      <c r="Y49" s="151">
        <f t="shared" si="5"/>
        <v>0</v>
      </c>
    </row>
    <row r="50" spans="1:25" ht="24" x14ac:dyDescent="0.25">
      <c r="A50" s="150" t="s">
        <v>342</v>
      </c>
      <c r="B50" s="152">
        <v>43891</v>
      </c>
      <c r="C50" s="150"/>
      <c r="D50" s="150"/>
      <c r="L50" s="150" t="str">
        <f t="shared" si="6"/>
        <v>Jan</v>
      </c>
      <c r="M50" s="150" t="str">
        <f t="shared" si="7"/>
        <v>00</v>
      </c>
      <c r="N50" s="153" t="s">
        <v>555</v>
      </c>
      <c r="Q50" s="150"/>
      <c r="R50" s="155"/>
      <c r="S50" s="150"/>
      <c r="T50" s="150"/>
      <c r="V50" s="151">
        <f t="shared" si="11"/>
        <v>0</v>
      </c>
      <c r="W50" s="151">
        <f t="shared" si="12"/>
        <v>0</v>
      </c>
      <c r="X50" s="151">
        <f t="shared" si="13"/>
        <v>0</v>
      </c>
      <c r="Y50" s="151">
        <f t="shared" si="5"/>
        <v>0</v>
      </c>
    </row>
    <row r="51" spans="1:25" ht="36" x14ac:dyDescent="0.25">
      <c r="A51" s="150" t="s">
        <v>342</v>
      </c>
      <c r="B51" s="152">
        <v>43922</v>
      </c>
      <c r="C51" s="153">
        <v>1</v>
      </c>
      <c r="D51" s="154">
        <v>43922</v>
      </c>
      <c r="E51" s="154">
        <v>43956</v>
      </c>
      <c r="F51" s="153">
        <v>4971</v>
      </c>
      <c r="G51" s="153">
        <v>5000</v>
      </c>
      <c r="H51" s="153" t="s">
        <v>27</v>
      </c>
      <c r="I51" s="153" t="s">
        <v>548</v>
      </c>
      <c r="J51" s="153" t="s">
        <v>550</v>
      </c>
      <c r="K51" s="153" t="s">
        <v>266</v>
      </c>
      <c r="L51" s="150" t="str">
        <f t="shared" si="6"/>
        <v>May</v>
      </c>
      <c r="M51" s="150" t="str">
        <f t="shared" si="7"/>
        <v>20</v>
      </c>
      <c r="N51" s="153" t="s">
        <v>188</v>
      </c>
      <c r="Q51" s="330">
        <v>4971</v>
      </c>
      <c r="R51" s="335">
        <v>43956</v>
      </c>
      <c r="S51" s="330" t="s">
        <v>342</v>
      </c>
      <c r="T51" s="330">
        <v>5000</v>
      </c>
      <c r="V51" s="151">
        <f t="shared" si="11"/>
        <v>0</v>
      </c>
      <c r="W51" s="151">
        <f t="shared" si="12"/>
        <v>0</v>
      </c>
      <c r="X51" s="151">
        <f t="shared" si="13"/>
        <v>0</v>
      </c>
      <c r="Y51" s="151">
        <f t="shared" si="5"/>
        <v>0</v>
      </c>
    </row>
    <row r="52" spans="1:25" ht="36" x14ac:dyDescent="0.25">
      <c r="A52" s="150" t="s">
        <v>342</v>
      </c>
      <c r="B52" s="152">
        <v>43952</v>
      </c>
      <c r="C52" s="153">
        <v>1</v>
      </c>
      <c r="D52" s="154">
        <v>43952</v>
      </c>
      <c r="E52" s="154">
        <v>43983</v>
      </c>
      <c r="F52" s="153">
        <v>10260</v>
      </c>
      <c r="G52" s="153">
        <v>10000</v>
      </c>
      <c r="H52" s="153" t="s">
        <v>27</v>
      </c>
      <c r="I52" s="153" t="s">
        <v>548</v>
      </c>
      <c r="J52" s="153" t="s">
        <v>550</v>
      </c>
      <c r="K52" s="153" t="s">
        <v>266</v>
      </c>
      <c r="L52" s="150" t="str">
        <f t="shared" si="6"/>
        <v>Jun</v>
      </c>
      <c r="M52" s="150" t="str">
        <f t="shared" si="7"/>
        <v>20</v>
      </c>
      <c r="N52" s="153" t="s">
        <v>188</v>
      </c>
      <c r="Q52" s="330">
        <v>10260</v>
      </c>
      <c r="R52" s="335">
        <v>43983</v>
      </c>
      <c r="S52" s="330" t="s">
        <v>342</v>
      </c>
      <c r="T52" s="330">
        <v>10000</v>
      </c>
      <c r="V52" s="151">
        <f t="shared" si="11"/>
        <v>0</v>
      </c>
      <c r="W52" s="151">
        <f t="shared" si="12"/>
        <v>0</v>
      </c>
      <c r="X52" s="151">
        <f t="shared" si="13"/>
        <v>0</v>
      </c>
      <c r="Y52" s="151">
        <f t="shared" si="5"/>
        <v>0</v>
      </c>
    </row>
    <row r="53" spans="1:25" ht="36" x14ac:dyDescent="0.25">
      <c r="A53" s="150" t="s">
        <v>342</v>
      </c>
      <c r="B53" s="152">
        <v>43983</v>
      </c>
      <c r="C53" s="153">
        <v>1</v>
      </c>
      <c r="D53" s="154">
        <v>43983</v>
      </c>
      <c r="E53" s="154">
        <v>44015</v>
      </c>
      <c r="F53" s="153">
        <v>17622</v>
      </c>
      <c r="G53" s="153">
        <v>5000</v>
      </c>
      <c r="H53" s="153" t="s">
        <v>27</v>
      </c>
      <c r="I53" s="153" t="s">
        <v>548</v>
      </c>
      <c r="J53" s="153" t="s">
        <v>550</v>
      </c>
      <c r="K53" s="153" t="s">
        <v>266</v>
      </c>
      <c r="L53" s="150" t="str">
        <f t="shared" si="6"/>
        <v>Jul</v>
      </c>
      <c r="M53" s="150" t="str">
        <f t="shared" si="7"/>
        <v>20</v>
      </c>
      <c r="N53" s="153" t="s">
        <v>188</v>
      </c>
      <c r="Q53" s="330">
        <v>17622</v>
      </c>
      <c r="R53" s="335">
        <v>44015</v>
      </c>
      <c r="S53" s="330" t="s">
        <v>342</v>
      </c>
      <c r="T53" s="330">
        <v>5000</v>
      </c>
      <c r="V53" s="151">
        <f t="shared" si="11"/>
        <v>0</v>
      </c>
      <c r="W53" s="151">
        <f t="shared" si="12"/>
        <v>0</v>
      </c>
      <c r="X53" s="151">
        <f t="shared" si="13"/>
        <v>0</v>
      </c>
      <c r="Y53" s="151">
        <f t="shared" si="5"/>
        <v>0</v>
      </c>
    </row>
    <row r="54" spans="1:25" ht="36" x14ac:dyDescent="0.25">
      <c r="A54" s="150" t="s">
        <v>342</v>
      </c>
      <c r="B54" s="152">
        <v>44013</v>
      </c>
      <c r="C54" s="153">
        <v>1</v>
      </c>
      <c r="D54" s="154">
        <v>44013</v>
      </c>
      <c r="E54" s="154">
        <v>44048</v>
      </c>
      <c r="F54" s="153">
        <v>23350</v>
      </c>
      <c r="G54" s="153">
        <v>5000</v>
      </c>
      <c r="H54" s="153" t="s">
        <v>27</v>
      </c>
      <c r="I54" s="153" t="s">
        <v>548</v>
      </c>
      <c r="J54" s="153" t="s">
        <v>550</v>
      </c>
      <c r="K54" s="153" t="s">
        <v>266</v>
      </c>
      <c r="L54" s="150" t="str">
        <f t="shared" si="6"/>
        <v>Aug</v>
      </c>
      <c r="M54" s="150" t="str">
        <f t="shared" si="7"/>
        <v>20</v>
      </c>
      <c r="N54" s="153" t="s">
        <v>188</v>
      </c>
      <c r="Q54" s="330">
        <v>23350</v>
      </c>
      <c r="R54" s="335">
        <v>44048</v>
      </c>
      <c r="S54" s="330" t="s">
        <v>342</v>
      </c>
      <c r="T54" s="330">
        <v>5000</v>
      </c>
      <c r="V54" s="151">
        <f t="shared" si="11"/>
        <v>0</v>
      </c>
      <c r="W54" s="151">
        <f t="shared" si="12"/>
        <v>0</v>
      </c>
      <c r="X54" s="151">
        <f t="shared" si="13"/>
        <v>0</v>
      </c>
      <c r="Y54" s="151">
        <f t="shared" si="5"/>
        <v>0</v>
      </c>
    </row>
    <row r="55" spans="1:25" ht="36" x14ac:dyDescent="0.25">
      <c r="A55" s="150" t="s">
        <v>342</v>
      </c>
      <c r="B55" s="152">
        <v>44044</v>
      </c>
      <c r="C55" s="153">
        <v>1</v>
      </c>
      <c r="D55" s="154">
        <v>44044</v>
      </c>
      <c r="E55" s="154">
        <v>44077</v>
      </c>
      <c r="F55" s="153">
        <v>28462</v>
      </c>
      <c r="G55" s="153">
        <v>5000</v>
      </c>
      <c r="H55" s="153" t="s">
        <v>27</v>
      </c>
      <c r="I55" s="153" t="s">
        <v>548</v>
      </c>
      <c r="J55" s="153" t="s">
        <v>550</v>
      </c>
      <c r="K55" s="153" t="s">
        <v>266</v>
      </c>
      <c r="L55" s="150" t="str">
        <f t="shared" si="6"/>
        <v>Sep</v>
      </c>
      <c r="M55" s="150" t="str">
        <f t="shared" si="7"/>
        <v>20</v>
      </c>
      <c r="N55" s="153" t="s">
        <v>188</v>
      </c>
      <c r="Q55" s="330">
        <v>28462</v>
      </c>
      <c r="R55" s="335">
        <v>44077</v>
      </c>
      <c r="S55" s="330" t="s">
        <v>342</v>
      </c>
      <c r="T55" s="330">
        <v>5000</v>
      </c>
      <c r="V55" s="151">
        <f t="shared" si="11"/>
        <v>0</v>
      </c>
      <c r="W55" s="151">
        <f t="shared" si="12"/>
        <v>0</v>
      </c>
      <c r="X55" s="151">
        <f t="shared" si="13"/>
        <v>0</v>
      </c>
      <c r="Y55" s="151">
        <f t="shared" si="5"/>
        <v>0</v>
      </c>
    </row>
    <row r="56" spans="1:25" ht="36" x14ac:dyDescent="0.25">
      <c r="A56" s="150" t="s">
        <v>342</v>
      </c>
      <c r="B56" s="152">
        <v>44075</v>
      </c>
      <c r="C56" s="153">
        <v>1</v>
      </c>
      <c r="D56" s="154">
        <v>44075</v>
      </c>
      <c r="E56" s="154">
        <v>44109</v>
      </c>
      <c r="F56" s="153">
        <v>33490</v>
      </c>
      <c r="G56" s="153">
        <v>5000</v>
      </c>
      <c r="H56" s="153" t="s">
        <v>27</v>
      </c>
      <c r="I56" s="153" t="s">
        <v>548</v>
      </c>
      <c r="J56" s="153" t="s">
        <v>550</v>
      </c>
      <c r="K56" s="153" t="s">
        <v>266</v>
      </c>
      <c r="L56" s="150" t="str">
        <f t="shared" si="6"/>
        <v>Oct</v>
      </c>
      <c r="M56" s="150" t="str">
        <f t="shared" si="7"/>
        <v>20</v>
      </c>
      <c r="N56" s="153" t="s">
        <v>188</v>
      </c>
      <c r="Q56" s="330">
        <v>33490</v>
      </c>
      <c r="R56" s="335">
        <v>44109</v>
      </c>
      <c r="S56" s="330" t="s">
        <v>342</v>
      </c>
      <c r="T56" s="330">
        <v>5000</v>
      </c>
      <c r="V56" s="151">
        <f t="shared" si="11"/>
        <v>0</v>
      </c>
      <c r="W56" s="151">
        <f t="shared" si="12"/>
        <v>0</v>
      </c>
      <c r="X56" s="151">
        <f t="shared" si="13"/>
        <v>0</v>
      </c>
      <c r="Y56" s="151">
        <f t="shared" si="5"/>
        <v>0</v>
      </c>
    </row>
    <row r="57" spans="1:25" ht="36" x14ac:dyDescent="0.25">
      <c r="A57" s="150" t="s">
        <v>342</v>
      </c>
      <c r="B57" s="152">
        <v>44105</v>
      </c>
      <c r="C57" s="153">
        <v>1</v>
      </c>
      <c r="D57" s="154">
        <v>44105</v>
      </c>
      <c r="E57" s="154">
        <v>44137</v>
      </c>
      <c r="F57" s="153">
        <v>38388</v>
      </c>
      <c r="G57" s="153">
        <v>5000</v>
      </c>
      <c r="H57" s="153" t="s">
        <v>27</v>
      </c>
      <c r="I57" s="153" t="s">
        <v>548</v>
      </c>
      <c r="J57" s="153" t="s">
        <v>550</v>
      </c>
      <c r="K57" s="153" t="s">
        <v>266</v>
      </c>
      <c r="L57" s="150" t="str">
        <f t="shared" si="6"/>
        <v>Nov</v>
      </c>
      <c r="M57" s="150" t="str">
        <f t="shared" si="7"/>
        <v>20</v>
      </c>
      <c r="N57" s="153" t="s">
        <v>188</v>
      </c>
      <c r="Q57" s="330">
        <v>38388</v>
      </c>
      <c r="R57" s="335">
        <v>44137</v>
      </c>
      <c r="S57" s="330" t="s">
        <v>342</v>
      </c>
      <c r="T57" s="330">
        <v>5000</v>
      </c>
      <c r="V57" s="151">
        <f t="shared" si="11"/>
        <v>0</v>
      </c>
      <c r="W57" s="151">
        <f t="shared" si="12"/>
        <v>0</v>
      </c>
      <c r="X57" s="151">
        <f t="shared" si="13"/>
        <v>0</v>
      </c>
      <c r="Y57" s="151">
        <f t="shared" si="5"/>
        <v>0</v>
      </c>
    </row>
    <row r="58" spans="1:25" ht="36" x14ac:dyDescent="0.25">
      <c r="A58" s="150" t="s">
        <v>342</v>
      </c>
      <c r="B58" s="152">
        <v>44136</v>
      </c>
      <c r="C58" s="153">
        <v>1</v>
      </c>
      <c r="D58" s="154">
        <v>44136</v>
      </c>
      <c r="E58" s="154">
        <v>44169</v>
      </c>
      <c r="F58" s="153">
        <v>45971</v>
      </c>
      <c r="G58" s="153">
        <v>5000</v>
      </c>
      <c r="H58" s="153" t="s">
        <v>27</v>
      </c>
      <c r="I58" s="153" t="s">
        <v>548</v>
      </c>
      <c r="J58" s="153" t="s">
        <v>550</v>
      </c>
      <c r="K58" s="153" t="s">
        <v>266</v>
      </c>
      <c r="L58" s="150" t="str">
        <f t="shared" si="6"/>
        <v>Dec</v>
      </c>
      <c r="M58" s="150" t="str">
        <f t="shared" si="7"/>
        <v>20</v>
      </c>
      <c r="N58" s="153" t="s">
        <v>188</v>
      </c>
      <c r="Q58" s="330">
        <v>45971</v>
      </c>
      <c r="R58" s="335">
        <v>44169</v>
      </c>
      <c r="S58" s="330" t="s">
        <v>342</v>
      </c>
      <c r="T58" s="330">
        <v>5000</v>
      </c>
      <c r="V58" s="151">
        <f t="shared" si="11"/>
        <v>0</v>
      </c>
      <c r="W58" s="151">
        <f t="shared" si="12"/>
        <v>0</v>
      </c>
      <c r="X58" s="151">
        <f t="shared" si="13"/>
        <v>0</v>
      </c>
      <c r="Y58" s="151">
        <f t="shared" si="5"/>
        <v>0</v>
      </c>
    </row>
    <row r="59" spans="1:25" ht="36" x14ac:dyDescent="0.25">
      <c r="A59" s="150" t="s">
        <v>342</v>
      </c>
      <c r="B59" s="152">
        <v>44166</v>
      </c>
      <c r="C59" s="153">
        <v>1</v>
      </c>
      <c r="D59" s="154">
        <v>44166</v>
      </c>
      <c r="E59" s="154">
        <v>44197</v>
      </c>
      <c r="F59" s="153">
        <v>52244</v>
      </c>
      <c r="G59" s="153">
        <v>5000</v>
      </c>
      <c r="H59" s="153" t="s">
        <v>27</v>
      </c>
      <c r="I59" s="153" t="s">
        <v>548</v>
      </c>
      <c r="J59" s="153" t="s">
        <v>550</v>
      </c>
      <c r="K59" s="153" t="s">
        <v>266</v>
      </c>
      <c r="L59" s="150" t="str">
        <f t="shared" si="6"/>
        <v>Jan</v>
      </c>
      <c r="M59" s="150" t="str">
        <f t="shared" si="7"/>
        <v>21</v>
      </c>
      <c r="N59" s="153" t="s">
        <v>188</v>
      </c>
      <c r="Q59" s="330">
        <v>52244</v>
      </c>
      <c r="R59" s="335">
        <v>44197</v>
      </c>
      <c r="S59" s="330" t="s">
        <v>342</v>
      </c>
      <c r="T59" s="330">
        <v>5000</v>
      </c>
      <c r="V59" s="151">
        <f t="shared" si="11"/>
        <v>0</v>
      </c>
      <c r="W59" s="151">
        <f t="shared" si="12"/>
        <v>0</v>
      </c>
      <c r="X59" s="151">
        <f t="shared" si="13"/>
        <v>0</v>
      </c>
      <c r="Y59" s="151">
        <f t="shared" si="5"/>
        <v>0</v>
      </c>
    </row>
    <row r="60" spans="1:25" ht="36" x14ac:dyDescent="0.25">
      <c r="A60" s="150" t="s">
        <v>342</v>
      </c>
      <c r="B60" s="152">
        <v>44197</v>
      </c>
      <c r="C60" s="153">
        <v>1</v>
      </c>
      <c r="D60" s="154">
        <v>44197</v>
      </c>
      <c r="E60" s="154">
        <v>44231</v>
      </c>
      <c r="F60" s="153">
        <v>58485</v>
      </c>
      <c r="G60" s="153">
        <v>5000</v>
      </c>
      <c r="H60" s="153" t="s">
        <v>27</v>
      </c>
      <c r="I60" s="153" t="s">
        <v>548</v>
      </c>
      <c r="J60" s="153" t="s">
        <v>550</v>
      </c>
      <c r="K60" s="153" t="s">
        <v>266</v>
      </c>
      <c r="L60" s="150" t="str">
        <f t="shared" si="6"/>
        <v>Feb</v>
      </c>
      <c r="M60" s="150" t="str">
        <f t="shared" si="7"/>
        <v>21</v>
      </c>
      <c r="N60" s="153" t="s">
        <v>188</v>
      </c>
      <c r="Q60" s="330">
        <v>58485</v>
      </c>
      <c r="R60" s="335">
        <v>44231</v>
      </c>
      <c r="S60" s="330" t="s">
        <v>342</v>
      </c>
      <c r="T60" s="330">
        <v>5000</v>
      </c>
      <c r="V60" s="151">
        <f t="shared" si="11"/>
        <v>0</v>
      </c>
      <c r="W60" s="151">
        <f t="shared" si="12"/>
        <v>0</v>
      </c>
      <c r="X60" s="151">
        <f t="shared" si="13"/>
        <v>0</v>
      </c>
      <c r="Y60" s="151">
        <f t="shared" si="5"/>
        <v>0</v>
      </c>
    </row>
    <row r="61" spans="1:25" ht="36" x14ac:dyDescent="0.25">
      <c r="A61" s="150" t="s">
        <v>342</v>
      </c>
      <c r="B61" s="152">
        <v>44228</v>
      </c>
      <c r="C61" s="153">
        <v>1</v>
      </c>
      <c r="D61" s="154">
        <v>44228</v>
      </c>
      <c r="E61" s="154">
        <v>44258</v>
      </c>
      <c r="F61" s="153">
        <v>63803</v>
      </c>
      <c r="G61" s="153">
        <v>5000</v>
      </c>
      <c r="H61" s="153" t="s">
        <v>27</v>
      </c>
      <c r="I61" s="153" t="s">
        <v>548</v>
      </c>
      <c r="J61" s="153" t="s">
        <v>550</v>
      </c>
      <c r="K61" s="153" t="s">
        <v>266</v>
      </c>
      <c r="L61" s="150" t="str">
        <f t="shared" si="6"/>
        <v>Mar</v>
      </c>
      <c r="M61" s="150" t="str">
        <f t="shared" si="7"/>
        <v>21</v>
      </c>
      <c r="N61" s="153" t="s">
        <v>188</v>
      </c>
      <c r="Q61" s="330">
        <v>63803</v>
      </c>
      <c r="R61" s="335">
        <v>44258</v>
      </c>
      <c r="S61" s="330" t="s">
        <v>342</v>
      </c>
      <c r="T61" s="330">
        <v>5000</v>
      </c>
      <c r="V61" s="151">
        <f t="shared" si="11"/>
        <v>0</v>
      </c>
      <c r="W61" s="151">
        <f t="shared" si="12"/>
        <v>0</v>
      </c>
      <c r="X61" s="151">
        <f t="shared" si="13"/>
        <v>0</v>
      </c>
      <c r="Y61" s="151">
        <f t="shared" si="5"/>
        <v>0</v>
      </c>
    </row>
    <row r="62" spans="1:25" ht="36" x14ac:dyDescent="0.25">
      <c r="A62" s="150" t="s">
        <v>416</v>
      </c>
      <c r="B62" s="152">
        <v>44256</v>
      </c>
      <c r="C62" s="153">
        <v>1</v>
      </c>
      <c r="D62" s="154">
        <v>44256</v>
      </c>
      <c r="E62" s="154">
        <v>44294</v>
      </c>
      <c r="F62" s="153">
        <v>1971</v>
      </c>
      <c r="G62" s="153">
        <v>5000</v>
      </c>
      <c r="H62" s="153" t="s">
        <v>27</v>
      </c>
      <c r="I62" s="153" t="s">
        <v>548</v>
      </c>
      <c r="J62" s="153" t="s">
        <v>550</v>
      </c>
      <c r="K62" s="153" t="s">
        <v>266</v>
      </c>
      <c r="L62" s="150" t="str">
        <f t="shared" si="6"/>
        <v>Apr</v>
      </c>
      <c r="M62" s="150" t="str">
        <f t="shared" si="7"/>
        <v>21</v>
      </c>
      <c r="N62" s="153" t="s">
        <v>188</v>
      </c>
      <c r="Q62" s="330">
        <v>1971</v>
      </c>
      <c r="R62" s="335">
        <v>44294</v>
      </c>
      <c r="S62" s="330" t="s">
        <v>416</v>
      </c>
      <c r="T62" s="330">
        <v>5000</v>
      </c>
      <c r="V62" s="151">
        <f t="shared" si="11"/>
        <v>0</v>
      </c>
      <c r="W62" s="151">
        <f t="shared" si="12"/>
        <v>0</v>
      </c>
      <c r="X62" s="151">
        <f t="shared" si="13"/>
        <v>0</v>
      </c>
      <c r="Y62" s="151">
        <f t="shared" si="5"/>
        <v>0</v>
      </c>
    </row>
    <row r="63" spans="1:25" ht="36" x14ac:dyDescent="0.25">
      <c r="A63" s="150" t="s">
        <v>416</v>
      </c>
      <c r="B63" s="152">
        <v>44287</v>
      </c>
      <c r="C63" s="153">
        <v>1</v>
      </c>
      <c r="D63" s="154">
        <v>44287</v>
      </c>
      <c r="E63" s="154">
        <v>44320</v>
      </c>
      <c r="F63" s="153">
        <v>6836</v>
      </c>
      <c r="G63" s="153">
        <v>5000</v>
      </c>
      <c r="H63" s="153" t="s">
        <v>27</v>
      </c>
      <c r="I63" s="153" t="s">
        <v>548</v>
      </c>
      <c r="J63" s="153" t="s">
        <v>550</v>
      </c>
      <c r="K63" s="153" t="s">
        <v>266</v>
      </c>
      <c r="L63" s="150" t="str">
        <f t="shared" si="6"/>
        <v>May</v>
      </c>
      <c r="M63" s="150" t="str">
        <f t="shared" si="7"/>
        <v>21</v>
      </c>
      <c r="N63" s="153" t="s">
        <v>188</v>
      </c>
      <c r="Q63" s="330">
        <v>6836</v>
      </c>
      <c r="R63" s="335">
        <v>44320</v>
      </c>
      <c r="S63" s="330" t="s">
        <v>416</v>
      </c>
      <c r="T63" s="330">
        <v>5000</v>
      </c>
      <c r="V63" s="151">
        <f t="shared" si="11"/>
        <v>0</v>
      </c>
      <c r="W63" s="151">
        <f t="shared" si="12"/>
        <v>0</v>
      </c>
      <c r="X63" s="151">
        <f t="shared" si="13"/>
        <v>0</v>
      </c>
      <c r="Y63" s="151">
        <f t="shared" si="5"/>
        <v>0</v>
      </c>
    </row>
    <row r="64" spans="1:25" ht="36" x14ac:dyDescent="0.25">
      <c r="A64" s="150" t="s">
        <v>416</v>
      </c>
      <c r="B64" s="152">
        <v>44317</v>
      </c>
      <c r="C64" s="153">
        <v>1</v>
      </c>
      <c r="D64" s="154">
        <v>44317</v>
      </c>
      <c r="E64" s="154">
        <v>44354</v>
      </c>
      <c r="F64" s="153">
        <v>12477</v>
      </c>
      <c r="G64" s="153">
        <v>5000</v>
      </c>
      <c r="H64" s="153" t="s">
        <v>27</v>
      </c>
      <c r="I64" s="153" t="s">
        <v>548</v>
      </c>
      <c r="J64" s="153" t="s">
        <v>550</v>
      </c>
      <c r="K64" s="153" t="s">
        <v>266</v>
      </c>
      <c r="L64" s="150" t="str">
        <f t="shared" ref="L64:L77" si="14">TEXT(E64,"mmm")</f>
        <v>Jun</v>
      </c>
      <c r="M64" s="150" t="str">
        <f t="shared" ref="M64:M77" si="15">TEXT(E64,"yy")</f>
        <v>21</v>
      </c>
      <c r="N64" s="153" t="s">
        <v>188</v>
      </c>
      <c r="Q64" s="330">
        <v>12477</v>
      </c>
      <c r="R64" s="335">
        <v>44354</v>
      </c>
      <c r="S64" s="330" t="s">
        <v>416</v>
      </c>
      <c r="T64" s="330">
        <v>5000</v>
      </c>
      <c r="V64" s="151">
        <f t="shared" si="11"/>
        <v>0</v>
      </c>
      <c r="W64" s="151">
        <f t="shared" si="12"/>
        <v>0</v>
      </c>
      <c r="X64" s="151">
        <f t="shared" si="13"/>
        <v>0</v>
      </c>
      <c r="Y64" s="151">
        <f t="shared" si="5"/>
        <v>0</v>
      </c>
    </row>
    <row r="65" spans="1:25" ht="36" x14ac:dyDescent="0.25">
      <c r="A65" s="150" t="s">
        <v>416</v>
      </c>
      <c r="B65" s="152">
        <v>44348</v>
      </c>
      <c r="C65" s="153">
        <v>1</v>
      </c>
      <c r="D65" s="154">
        <v>44348</v>
      </c>
      <c r="E65" s="154">
        <v>44383</v>
      </c>
      <c r="F65" s="153">
        <v>17505</v>
      </c>
      <c r="G65" s="153">
        <v>5000</v>
      </c>
      <c r="H65" s="153" t="s">
        <v>27</v>
      </c>
      <c r="I65" s="153" t="s">
        <v>548</v>
      </c>
      <c r="J65" s="153" t="s">
        <v>550</v>
      </c>
      <c r="K65" s="153" t="s">
        <v>266</v>
      </c>
      <c r="L65" s="150" t="str">
        <f t="shared" si="14"/>
        <v>Jul</v>
      </c>
      <c r="M65" s="150" t="str">
        <f t="shared" si="15"/>
        <v>21</v>
      </c>
      <c r="N65" s="153" t="s">
        <v>188</v>
      </c>
      <c r="Q65" s="330">
        <v>17505</v>
      </c>
      <c r="R65" s="335">
        <v>44383</v>
      </c>
      <c r="S65" s="330" t="s">
        <v>416</v>
      </c>
      <c r="T65" s="330">
        <v>5000</v>
      </c>
      <c r="V65" s="151">
        <f t="shared" si="11"/>
        <v>0</v>
      </c>
      <c r="W65" s="151">
        <f t="shared" si="12"/>
        <v>0</v>
      </c>
      <c r="X65" s="151">
        <f t="shared" si="13"/>
        <v>0</v>
      </c>
      <c r="Y65" s="151">
        <f t="shared" si="5"/>
        <v>0</v>
      </c>
    </row>
    <row r="66" spans="1:25" ht="36" x14ac:dyDescent="0.25">
      <c r="A66" s="150" t="s">
        <v>416</v>
      </c>
      <c r="B66" s="152">
        <v>44378</v>
      </c>
      <c r="C66" s="153">
        <v>1</v>
      </c>
      <c r="D66" s="154">
        <v>44378</v>
      </c>
      <c r="E66" s="154">
        <v>44411</v>
      </c>
      <c r="F66" s="153">
        <v>22702</v>
      </c>
      <c r="G66" s="153">
        <v>5000</v>
      </c>
      <c r="H66" s="153" t="s">
        <v>27</v>
      </c>
      <c r="I66" s="153" t="s">
        <v>548</v>
      </c>
      <c r="J66" s="153" t="s">
        <v>550</v>
      </c>
      <c r="K66" s="153" t="s">
        <v>266</v>
      </c>
      <c r="L66" s="150" t="str">
        <f t="shared" si="14"/>
        <v>Aug</v>
      </c>
      <c r="M66" s="150" t="str">
        <f t="shared" si="15"/>
        <v>21</v>
      </c>
      <c r="N66" s="153" t="s">
        <v>188</v>
      </c>
      <c r="Q66" s="330">
        <v>22702</v>
      </c>
      <c r="R66" s="335">
        <v>44411</v>
      </c>
      <c r="S66" s="330" t="s">
        <v>416</v>
      </c>
      <c r="T66" s="330">
        <v>5000</v>
      </c>
      <c r="V66" s="151">
        <f t="shared" si="11"/>
        <v>0</v>
      </c>
      <c r="W66" s="151">
        <f t="shared" si="12"/>
        <v>0</v>
      </c>
      <c r="X66" s="151">
        <f t="shared" si="13"/>
        <v>0</v>
      </c>
      <c r="Y66" s="151">
        <f t="shared" si="5"/>
        <v>0</v>
      </c>
    </row>
    <row r="67" spans="1:25" ht="36" x14ac:dyDescent="0.25">
      <c r="A67" s="150" t="s">
        <v>416</v>
      </c>
      <c r="B67" s="152">
        <v>44409</v>
      </c>
      <c r="C67" s="153">
        <v>1</v>
      </c>
      <c r="D67" s="154">
        <v>44409</v>
      </c>
      <c r="E67" s="154">
        <v>44440</v>
      </c>
      <c r="F67" s="153">
        <v>28815</v>
      </c>
      <c r="G67" s="153">
        <v>5000</v>
      </c>
      <c r="H67" s="153" t="s">
        <v>27</v>
      </c>
      <c r="I67" s="153" t="s">
        <v>548</v>
      </c>
      <c r="J67" s="153" t="s">
        <v>550</v>
      </c>
      <c r="K67" s="153" t="s">
        <v>266</v>
      </c>
      <c r="L67" s="150" t="str">
        <f t="shared" si="14"/>
        <v>Sep</v>
      </c>
      <c r="M67" s="150" t="str">
        <f t="shared" si="15"/>
        <v>21</v>
      </c>
      <c r="N67" s="153" t="s">
        <v>188</v>
      </c>
      <c r="Q67" s="330">
        <v>28815</v>
      </c>
      <c r="R67" s="335">
        <v>44440</v>
      </c>
      <c r="S67" s="330" t="s">
        <v>416</v>
      </c>
      <c r="T67" s="330">
        <v>5000</v>
      </c>
      <c r="V67" s="151">
        <f t="shared" si="11"/>
        <v>0</v>
      </c>
      <c r="W67" s="151">
        <f t="shared" si="12"/>
        <v>0</v>
      </c>
      <c r="X67" s="151">
        <f t="shared" si="13"/>
        <v>0</v>
      </c>
      <c r="Y67" s="151">
        <f t="shared" ref="Y67:Y130" si="16">V67+W67+X67</f>
        <v>0</v>
      </c>
    </row>
    <row r="68" spans="1:25" ht="36" x14ac:dyDescent="0.25">
      <c r="A68" s="150" t="s">
        <v>416</v>
      </c>
      <c r="B68" s="152">
        <v>44440</v>
      </c>
      <c r="C68" s="153">
        <v>1</v>
      </c>
      <c r="D68" s="154">
        <v>44440</v>
      </c>
      <c r="E68" s="154">
        <v>44480</v>
      </c>
      <c r="F68" s="153">
        <v>36889</v>
      </c>
      <c r="G68" s="153">
        <v>5000</v>
      </c>
      <c r="H68" s="153" t="s">
        <v>27</v>
      </c>
      <c r="I68" s="153" t="s">
        <v>548</v>
      </c>
      <c r="J68" s="153" t="s">
        <v>550</v>
      </c>
      <c r="K68" s="153" t="s">
        <v>266</v>
      </c>
      <c r="L68" s="150" t="str">
        <f t="shared" si="14"/>
        <v>Oct</v>
      </c>
      <c r="M68" s="150" t="str">
        <f t="shared" si="15"/>
        <v>21</v>
      </c>
      <c r="N68" s="153" t="s">
        <v>188</v>
      </c>
      <c r="Q68" s="330">
        <v>36889</v>
      </c>
      <c r="R68" s="335">
        <v>44480</v>
      </c>
      <c r="S68" s="330" t="s">
        <v>416</v>
      </c>
      <c r="T68" s="330">
        <v>5000</v>
      </c>
      <c r="V68" s="151">
        <f t="shared" si="11"/>
        <v>0</v>
      </c>
      <c r="W68" s="151">
        <f t="shared" si="12"/>
        <v>0</v>
      </c>
      <c r="X68" s="151">
        <f t="shared" si="13"/>
        <v>0</v>
      </c>
      <c r="Y68" s="151">
        <f t="shared" si="16"/>
        <v>0</v>
      </c>
    </row>
    <row r="69" spans="1:25" ht="36" x14ac:dyDescent="0.25">
      <c r="A69" s="150" t="s">
        <v>416</v>
      </c>
      <c r="B69" s="152">
        <v>44470</v>
      </c>
      <c r="C69" s="153">
        <v>1</v>
      </c>
      <c r="D69" s="154">
        <v>44470</v>
      </c>
      <c r="E69" s="154">
        <v>44501</v>
      </c>
      <c r="F69" s="153">
        <v>40146</v>
      </c>
      <c r="G69" s="153">
        <v>5000</v>
      </c>
      <c r="H69" s="153" t="s">
        <v>27</v>
      </c>
      <c r="I69" s="153" t="s">
        <v>548</v>
      </c>
      <c r="J69" s="153" t="s">
        <v>550</v>
      </c>
      <c r="K69" s="153" t="s">
        <v>266</v>
      </c>
      <c r="L69" s="150" t="str">
        <f t="shared" si="14"/>
        <v>Nov</v>
      </c>
      <c r="M69" s="150" t="str">
        <f t="shared" si="15"/>
        <v>21</v>
      </c>
      <c r="N69" s="153" t="s">
        <v>188</v>
      </c>
      <c r="Q69" s="330">
        <v>40146</v>
      </c>
      <c r="R69" s="335">
        <v>44501</v>
      </c>
      <c r="S69" s="330" t="s">
        <v>416</v>
      </c>
      <c r="T69" s="330">
        <v>5000</v>
      </c>
      <c r="V69" s="151">
        <f t="shared" si="11"/>
        <v>0</v>
      </c>
      <c r="W69" s="151">
        <f t="shared" si="12"/>
        <v>0</v>
      </c>
      <c r="X69" s="151">
        <f t="shared" si="13"/>
        <v>0</v>
      </c>
      <c r="Y69" s="151">
        <f t="shared" si="16"/>
        <v>0</v>
      </c>
    </row>
    <row r="70" spans="1:25" ht="36" x14ac:dyDescent="0.25">
      <c r="A70" s="150" t="s">
        <v>416</v>
      </c>
      <c r="B70" s="152">
        <v>44501</v>
      </c>
      <c r="C70" s="153">
        <v>1</v>
      </c>
      <c r="D70" s="154">
        <v>44501</v>
      </c>
      <c r="E70" s="154">
        <v>44531</v>
      </c>
      <c r="F70" s="153">
        <v>48467</v>
      </c>
      <c r="G70" s="153">
        <v>5000</v>
      </c>
      <c r="H70" s="153" t="s">
        <v>27</v>
      </c>
      <c r="I70" s="153" t="s">
        <v>548</v>
      </c>
      <c r="J70" s="153" t="s">
        <v>550</v>
      </c>
      <c r="K70" s="153" t="s">
        <v>266</v>
      </c>
      <c r="L70" s="150" t="str">
        <f t="shared" si="14"/>
        <v>Dec</v>
      </c>
      <c r="M70" s="150" t="str">
        <f t="shared" si="15"/>
        <v>21</v>
      </c>
      <c r="N70" s="153" t="s">
        <v>188</v>
      </c>
      <c r="Q70" s="330">
        <v>48467</v>
      </c>
      <c r="R70" s="335">
        <v>44531</v>
      </c>
      <c r="S70" s="330" t="s">
        <v>416</v>
      </c>
      <c r="T70" s="330">
        <v>5000</v>
      </c>
      <c r="V70" s="151">
        <f t="shared" si="11"/>
        <v>0</v>
      </c>
      <c r="W70" s="151">
        <f t="shared" si="12"/>
        <v>0</v>
      </c>
      <c r="X70" s="151">
        <f t="shared" si="13"/>
        <v>0</v>
      </c>
      <c r="Y70" s="151">
        <f t="shared" si="16"/>
        <v>0</v>
      </c>
    </row>
    <row r="71" spans="1:25" ht="36" x14ac:dyDescent="0.25">
      <c r="A71" s="150" t="s">
        <v>416</v>
      </c>
      <c r="B71" s="152">
        <v>44531</v>
      </c>
      <c r="C71" s="153">
        <v>1</v>
      </c>
      <c r="D71" s="154">
        <v>44531</v>
      </c>
      <c r="E71" s="154">
        <v>44562</v>
      </c>
      <c r="F71" s="153">
        <v>55697</v>
      </c>
      <c r="G71" s="153">
        <v>5000</v>
      </c>
      <c r="H71" s="153" t="s">
        <v>27</v>
      </c>
      <c r="I71" s="153" t="s">
        <v>548</v>
      </c>
      <c r="J71" s="153" t="s">
        <v>550</v>
      </c>
      <c r="K71" s="153" t="s">
        <v>266</v>
      </c>
      <c r="L71" s="150" t="str">
        <f t="shared" si="14"/>
        <v>Jan</v>
      </c>
      <c r="M71" s="150" t="str">
        <f t="shared" si="15"/>
        <v>22</v>
      </c>
      <c r="N71" s="153" t="s">
        <v>188</v>
      </c>
      <c r="Q71" s="330">
        <v>55697</v>
      </c>
      <c r="R71" s="335">
        <v>44562</v>
      </c>
      <c r="S71" s="330" t="s">
        <v>416</v>
      </c>
      <c r="T71" s="330">
        <v>5000</v>
      </c>
      <c r="V71" s="151">
        <f t="shared" si="11"/>
        <v>0</v>
      </c>
      <c r="W71" s="151">
        <f t="shared" si="12"/>
        <v>0</v>
      </c>
      <c r="X71" s="151">
        <f t="shared" si="13"/>
        <v>0</v>
      </c>
      <c r="Y71" s="151">
        <f t="shared" si="16"/>
        <v>0</v>
      </c>
    </row>
    <row r="72" spans="1:25" ht="36" x14ac:dyDescent="0.25">
      <c r="A72" s="150" t="s">
        <v>416</v>
      </c>
      <c r="B72" s="152">
        <v>44562</v>
      </c>
      <c r="C72" s="153">
        <v>1</v>
      </c>
      <c r="D72" s="154">
        <v>44562</v>
      </c>
      <c r="E72" s="154">
        <v>44593</v>
      </c>
      <c r="F72" s="153">
        <v>63392</v>
      </c>
      <c r="G72" s="153">
        <v>5000</v>
      </c>
      <c r="H72" s="153" t="s">
        <v>27</v>
      </c>
      <c r="I72" s="153" t="s">
        <v>548</v>
      </c>
      <c r="J72" s="153" t="s">
        <v>550</v>
      </c>
      <c r="K72" s="153" t="s">
        <v>266</v>
      </c>
      <c r="L72" s="150" t="str">
        <f t="shared" si="14"/>
        <v>Feb</v>
      </c>
      <c r="M72" s="150" t="str">
        <f t="shared" si="15"/>
        <v>22</v>
      </c>
      <c r="N72" s="153" t="s">
        <v>188</v>
      </c>
      <c r="Q72" s="330">
        <v>63392</v>
      </c>
      <c r="R72" s="335">
        <v>44593</v>
      </c>
      <c r="S72" s="330" t="s">
        <v>416</v>
      </c>
      <c r="T72" s="330">
        <v>5000</v>
      </c>
      <c r="V72" s="151">
        <f t="shared" si="11"/>
        <v>0</v>
      </c>
      <c r="W72" s="151">
        <f t="shared" si="12"/>
        <v>0</v>
      </c>
      <c r="X72" s="151">
        <f t="shared" si="13"/>
        <v>0</v>
      </c>
      <c r="Y72" s="151">
        <f t="shared" si="16"/>
        <v>0</v>
      </c>
    </row>
    <row r="73" spans="1:25" ht="36" x14ac:dyDescent="0.25">
      <c r="A73" s="150" t="s">
        <v>416</v>
      </c>
      <c r="B73" s="152">
        <v>44593</v>
      </c>
      <c r="C73" s="153">
        <v>1</v>
      </c>
      <c r="D73" s="154">
        <v>44593</v>
      </c>
      <c r="E73" s="154">
        <v>44621</v>
      </c>
      <c r="F73" s="153">
        <v>69267</v>
      </c>
      <c r="G73" s="153">
        <v>5000</v>
      </c>
      <c r="H73" s="153" t="s">
        <v>27</v>
      </c>
      <c r="I73" s="153" t="s">
        <v>548</v>
      </c>
      <c r="J73" s="153" t="s">
        <v>550</v>
      </c>
      <c r="K73" s="153" t="s">
        <v>266</v>
      </c>
      <c r="L73" s="150" t="str">
        <f t="shared" si="14"/>
        <v>Mar</v>
      </c>
      <c r="M73" s="150" t="str">
        <f t="shared" si="15"/>
        <v>22</v>
      </c>
      <c r="N73" s="153" t="s">
        <v>188</v>
      </c>
      <c r="Q73" s="330">
        <v>69267</v>
      </c>
      <c r="R73" s="335">
        <v>44621</v>
      </c>
      <c r="S73" s="330" t="s">
        <v>416</v>
      </c>
      <c r="T73" s="330">
        <v>5000</v>
      </c>
      <c r="V73" s="151">
        <f t="shared" si="11"/>
        <v>0</v>
      </c>
      <c r="W73" s="151">
        <f t="shared" si="12"/>
        <v>0</v>
      </c>
      <c r="X73" s="151">
        <f t="shared" si="13"/>
        <v>0</v>
      </c>
      <c r="Y73" s="151">
        <f t="shared" si="16"/>
        <v>0</v>
      </c>
    </row>
    <row r="74" spans="1:25" ht="36" x14ac:dyDescent="0.25">
      <c r="A74" s="150" t="s">
        <v>516</v>
      </c>
      <c r="B74" s="152">
        <v>44621</v>
      </c>
      <c r="C74" s="153">
        <v>1</v>
      </c>
      <c r="D74" s="154">
        <v>44621</v>
      </c>
      <c r="E74" s="154">
        <v>44653</v>
      </c>
      <c r="F74" s="153">
        <v>1076</v>
      </c>
      <c r="G74" s="153">
        <v>5000</v>
      </c>
      <c r="H74" s="153" t="s">
        <v>27</v>
      </c>
      <c r="I74" s="153" t="s">
        <v>548</v>
      </c>
      <c r="J74" s="153" t="s">
        <v>550</v>
      </c>
      <c r="K74" s="153" t="s">
        <v>266</v>
      </c>
      <c r="L74" s="150" t="str">
        <f t="shared" si="14"/>
        <v>Apr</v>
      </c>
      <c r="M74" s="150" t="str">
        <f t="shared" si="15"/>
        <v>22</v>
      </c>
      <c r="N74" s="153" t="s">
        <v>188</v>
      </c>
      <c r="Q74" s="330">
        <v>1076</v>
      </c>
      <c r="R74" s="335">
        <v>44653</v>
      </c>
      <c r="S74" s="330" t="s">
        <v>516</v>
      </c>
      <c r="T74" s="330">
        <v>5000</v>
      </c>
      <c r="V74" s="151">
        <f t="shared" si="11"/>
        <v>0</v>
      </c>
      <c r="W74" s="151">
        <f t="shared" si="12"/>
        <v>0</v>
      </c>
      <c r="X74" s="151">
        <f t="shared" si="13"/>
        <v>0</v>
      </c>
      <c r="Y74" s="151">
        <f t="shared" si="16"/>
        <v>0</v>
      </c>
    </row>
    <row r="75" spans="1:25" ht="36" x14ac:dyDescent="0.25">
      <c r="A75" s="150" t="s">
        <v>516</v>
      </c>
      <c r="B75" s="152">
        <v>44652</v>
      </c>
      <c r="C75" s="153">
        <v>1</v>
      </c>
      <c r="D75" s="154">
        <v>44652</v>
      </c>
      <c r="E75" s="154">
        <v>44685</v>
      </c>
      <c r="F75" s="153">
        <v>6842</v>
      </c>
      <c r="G75" s="153">
        <v>5000</v>
      </c>
      <c r="H75" s="153" t="s">
        <v>27</v>
      </c>
      <c r="I75" s="153" t="s">
        <v>548</v>
      </c>
      <c r="J75" s="153" t="s">
        <v>550</v>
      </c>
      <c r="K75" s="153" t="s">
        <v>266</v>
      </c>
      <c r="L75" s="150" t="str">
        <f t="shared" si="14"/>
        <v>May</v>
      </c>
      <c r="M75" s="150" t="str">
        <f t="shared" si="15"/>
        <v>22</v>
      </c>
      <c r="N75" s="153" t="s">
        <v>188</v>
      </c>
      <c r="Q75" s="330">
        <v>6842</v>
      </c>
      <c r="R75" s="335">
        <v>44685</v>
      </c>
      <c r="S75" s="330" t="s">
        <v>516</v>
      </c>
      <c r="T75" s="330">
        <v>5000</v>
      </c>
      <c r="V75" s="151">
        <f t="shared" si="11"/>
        <v>0</v>
      </c>
      <c r="W75" s="151">
        <f t="shared" si="12"/>
        <v>0</v>
      </c>
      <c r="X75" s="151">
        <f t="shared" si="13"/>
        <v>0</v>
      </c>
      <c r="Y75" s="151">
        <f t="shared" si="16"/>
        <v>0</v>
      </c>
    </row>
    <row r="76" spans="1:25" ht="36" x14ac:dyDescent="0.25">
      <c r="A76" s="150" t="s">
        <v>516</v>
      </c>
      <c r="B76" s="152">
        <v>44682</v>
      </c>
      <c r="C76" s="153">
        <v>1</v>
      </c>
      <c r="D76" s="154">
        <v>44682</v>
      </c>
      <c r="E76" s="154">
        <v>44713</v>
      </c>
      <c r="F76" s="153">
        <v>12278</v>
      </c>
      <c r="G76" s="153">
        <v>5000</v>
      </c>
      <c r="H76" s="153" t="s">
        <v>27</v>
      </c>
      <c r="I76" s="153" t="s">
        <v>548</v>
      </c>
      <c r="J76" s="153" t="s">
        <v>550</v>
      </c>
      <c r="K76" s="153" t="s">
        <v>266</v>
      </c>
      <c r="L76" s="150" t="str">
        <f t="shared" si="14"/>
        <v>Jun</v>
      </c>
      <c r="M76" s="150" t="str">
        <f t="shared" si="15"/>
        <v>22</v>
      </c>
      <c r="N76" s="150" t="s">
        <v>188</v>
      </c>
      <c r="Q76" s="330">
        <v>12278</v>
      </c>
      <c r="R76" s="335">
        <v>44713</v>
      </c>
      <c r="S76" s="330" t="s">
        <v>516</v>
      </c>
      <c r="T76" s="330">
        <v>5000</v>
      </c>
      <c r="V76" s="151">
        <f t="shared" si="11"/>
        <v>0</v>
      </c>
      <c r="W76" s="151">
        <f t="shared" si="12"/>
        <v>0</v>
      </c>
      <c r="X76" s="151">
        <f t="shared" si="13"/>
        <v>0</v>
      </c>
      <c r="Y76" s="151">
        <f t="shared" si="16"/>
        <v>0</v>
      </c>
    </row>
    <row r="77" spans="1:25" ht="36" x14ac:dyDescent="0.25">
      <c r="A77" s="150" t="s">
        <v>516</v>
      </c>
      <c r="B77" s="152">
        <v>44713</v>
      </c>
      <c r="C77" s="153">
        <v>1</v>
      </c>
      <c r="D77" s="154">
        <v>44713</v>
      </c>
      <c r="E77" s="154">
        <v>44743</v>
      </c>
      <c r="F77" s="153">
        <v>19496</v>
      </c>
      <c r="G77" s="153">
        <v>5000</v>
      </c>
      <c r="H77" s="153" t="s">
        <v>27</v>
      </c>
      <c r="I77" s="153" t="s">
        <v>548</v>
      </c>
      <c r="J77" s="153" t="s">
        <v>550</v>
      </c>
      <c r="K77" s="153" t="s">
        <v>266</v>
      </c>
      <c r="L77" s="150" t="str">
        <f t="shared" si="14"/>
        <v>Jul</v>
      </c>
      <c r="M77" s="150" t="str">
        <f t="shared" si="15"/>
        <v>22</v>
      </c>
      <c r="N77" s="150" t="s">
        <v>188</v>
      </c>
      <c r="Q77" s="330">
        <v>19496</v>
      </c>
      <c r="R77" s="335">
        <v>44743</v>
      </c>
      <c r="S77" s="330" t="s">
        <v>516</v>
      </c>
      <c r="T77" s="330">
        <v>5000</v>
      </c>
      <c r="V77" s="151">
        <f t="shared" si="11"/>
        <v>0</v>
      </c>
      <c r="W77" s="151">
        <f t="shared" si="12"/>
        <v>0</v>
      </c>
      <c r="X77" s="151">
        <f t="shared" si="13"/>
        <v>0</v>
      </c>
      <c r="Y77" s="151">
        <f t="shared" si="16"/>
        <v>0</v>
      </c>
    </row>
    <row r="78" spans="1:25" ht="36" x14ac:dyDescent="0.25">
      <c r="A78" s="150" t="s">
        <v>516</v>
      </c>
      <c r="B78" s="158">
        <v>44743</v>
      </c>
      <c r="C78" s="153">
        <v>1</v>
      </c>
      <c r="D78" s="154">
        <v>44743</v>
      </c>
      <c r="E78" s="154">
        <v>44774</v>
      </c>
      <c r="F78" s="153">
        <v>25322</v>
      </c>
      <c r="G78" s="153">
        <v>5000</v>
      </c>
      <c r="H78" s="153" t="s">
        <v>27</v>
      </c>
      <c r="I78" s="153" t="s">
        <v>548</v>
      </c>
      <c r="J78" s="153" t="s">
        <v>550</v>
      </c>
      <c r="K78" s="153" t="s">
        <v>266</v>
      </c>
      <c r="L78" s="150" t="str">
        <f t="shared" ref="L78:L85" si="17">TEXT(E78,"mmm")</f>
        <v>Aug</v>
      </c>
      <c r="M78" s="150" t="str">
        <f t="shared" ref="M78:M85" si="18">TEXT(E78,"yy")</f>
        <v>22</v>
      </c>
      <c r="N78" s="153" t="s">
        <v>188</v>
      </c>
      <c r="Q78" s="330">
        <v>25322</v>
      </c>
      <c r="R78" s="335">
        <v>44774</v>
      </c>
      <c r="S78" s="330" t="s">
        <v>516</v>
      </c>
      <c r="T78" s="330">
        <v>5000</v>
      </c>
      <c r="V78" s="151">
        <f t="shared" si="11"/>
        <v>0</v>
      </c>
      <c r="W78" s="151">
        <f t="shared" si="12"/>
        <v>0</v>
      </c>
      <c r="X78" s="151">
        <f t="shared" si="13"/>
        <v>0</v>
      </c>
      <c r="Y78" s="151">
        <f t="shared" si="16"/>
        <v>0</v>
      </c>
    </row>
    <row r="79" spans="1:25" ht="36" x14ac:dyDescent="0.25">
      <c r="A79" s="150" t="s">
        <v>516</v>
      </c>
      <c r="B79" s="158">
        <v>44774</v>
      </c>
      <c r="C79" s="153">
        <v>1</v>
      </c>
      <c r="D79" s="154">
        <v>44774</v>
      </c>
      <c r="E79" s="154">
        <v>44805</v>
      </c>
      <c r="F79" s="153">
        <v>31626</v>
      </c>
      <c r="G79" s="153">
        <v>5000</v>
      </c>
      <c r="H79" s="153" t="s">
        <v>27</v>
      </c>
      <c r="I79" s="153" t="s">
        <v>548</v>
      </c>
      <c r="J79" s="153" t="s">
        <v>550</v>
      </c>
      <c r="K79" s="153" t="s">
        <v>266</v>
      </c>
      <c r="L79" s="150" t="str">
        <f t="shared" si="17"/>
        <v>Sep</v>
      </c>
      <c r="M79" s="150" t="str">
        <f t="shared" si="18"/>
        <v>22</v>
      </c>
      <c r="N79" s="153" t="s">
        <v>188</v>
      </c>
      <c r="Q79" s="330">
        <v>31626</v>
      </c>
      <c r="R79" s="335">
        <v>44805</v>
      </c>
      <c r="S79" s="330" t="s">
        <v>516</v>
      </c>
      <c r="T79" s="330">
        <v>5000</v>
      </c>
      <c r="V79" s="151">
        <f t="shared" ref="V79:V80" si="19">F79-Q79</f>
        <v>0</v>
      </c>
      <c r="W79" s="151">
        <f t="shared" ref="W79:W80" si="20">E79-R79</f>
        <v>0</v>
      </c>
      <c r="X79" s="151">
        <f t="shared" ref="X79:X80" si="21">G79-T79</f>
        <v>0</v>
      </c>
      <c r="Y79" s="151">
        <f t="shared" si="16"/>
        <v>0</v>
      </c>
    </row>
    <row r="80" spans="1:25" ht="36" x14ac:dyDescent="0.25">
      <c r="A80" s="150" t="s">
        <v>516</v>
      </c>
      <c r="B80" s="158">
        <v>44805</v>
      </c>
      <c r="C80" s="153">
        <v>1</v>
      </c>
      <c r="D80" s="154">
        <v>44805</v>
      </c>
      <c r="E80" s="154">
        <v>44835</v>
      </c>
      <c r="F80" s="153">
        <v>38533</v>
      </c>
      <c r="G80" s="153">
        <v>5000</v>
      </c>
      <c r="H80" s="153" t="s">
        <v>27</v>
      </c>
      <c r="I80" s="153" t="s">
        <v>548</v>
      </c>
      <c r="J80" s="153" t="s">
        <v>550</v>
      </c>
      <c r="K80" s="153" t="s">
        <v>266</v>
      </c>
      <c r="L80" s="150" t="str">
        <f t="shared" si="17"/>
        <v>Oct</v>
      </c>
      <c r="M80" s="150" t="str">
        <f t="shared" si="18"/>
        <v>22</v>
      </c>
      <c r="N80" s="153" t="s">
        <v>188</v>
      </c>
      <c r="Q80" s="330">
        <v>38533</v>
      </c>
      <c r="R80" s="335">
        <v>44835</v>
      </c>
      <c r="S80" s="330" t="s">
        <v>516</v>
      </c>
      <c r="T80" s="330">
        <v>5000</v>
      </c>
      <c r="V80" s="151">
        <f t="shared" si="19"/>
        <v>0</v>
      </c>
      <c r="W80" s="151">
        <f t="shared" si="20"/>
        <v>0</v>
      </c>
      <c r="X80" s="151">
        <f t="shared" si="21"/>
        <v>0</v>
      </c>
      <c r="Y80" s="151">
        <f t="shared" si="16"/>
        <v>0</v>
      </c>
    </row>
    <row r="81" spans="1:25" ht="36" x14ac:dyDescent="0.25">
      <c r="A81" s="150" t="s">
        <v>516</v>
      </c>
      <c r="B81" s="158" t="s">
        <v>719</v>
      </c>
      <c r="C81" s="153">
        <v>1</v>
      </c>
      <c r="D81" s="154">
        <v>44835</v>
      </c>
      <c r="E81" s="154">
        <v>44866</v>
      </c>
      <c r="F81" s="153">
        <v>47806</v>
      </c>
      <c r="G81" s="153">
        <v>5000</v>
      </c>
      <c r="H81" s="153" t="s">
        <v>27</v>
      </c>
      <c r="I81" s="153" t="s">
        <v>548</v>
      </c>
      <c r="J81" s="153" t="s">
        <v>550</v>
      </c>
      <c r="K81" s="153" t="s">
        <v>266</v>
      </c>
      <c r="L81" s="150" t="str">
        <f t="shared" si="17"/>
        <v>Nov</v>
      </c>
      <c r="M81" s="150" t="str">
        <f t="shared" si="18"/>
        <v>22</v>
      </c>
      <c r="N81" s="153" t="s">
        <v>188</v>
      </c>
      <c r="Q81" s="330">
        <v>47806</v>
      </c>
      <c r="R81" s="335">
        <v>44866</v>
      </c>
      <c r="S81" s="330" t="s">
        <v>516</v>
      </c>
      <c r="T81" s="330">
        <v>5000</v>
      </c>
      <c r="V81" s="151">
        <f t="shared" ref="V81" si="22">F81-Q81</f>
        <v>0</v>
      </c>
      <c r="W81" s="151">
        <f t="shared" ref="W81" si="23">E81-R81</f>
        <v>0</v>
      </c>
      <c r="X81" s="151">
        <f t="shared" ref="X81" si="24">G81-T81</f>
        <v>0</v>
      </c>
      <c r="Y81" s="151">
        <f t="shared" si="16"/>
        <v>0</v>
      </c>
    </row>
    <row r="82" spans="1:25" ht="36" x14ac:dyDescent="0.25">
      <c r="A82" s="150" t="s">
        <v>516</v>
      </c>
      <c r="B82" s="158">
        <v>44866</v>
      </c>
      <c r="C82" s="153">
        <v>1</v>
      </c>
      <c r="D82" s="154">
        <v>44866</v>
      </c>
      <c r="E82" s="154">
        <v>44896</v>
      </c>
      <c r="F82" s="153">
        <v>52784</v>
      </c>
      <c r="G82" s="153">
        <v>5000</v>
      </c>
      <c r="H82" s="153" t="s">
        <v>27</v>
      </c>
      <c r="I82" s="153" t="s">
        <v>548</v>
      </c>
      <c r="J82" s="153" t="s">
        <v>550</v>
      </c>
      <c r="K82" s="153" t="s">
        <v>266</v>
      </c>
      <c r="L82" s="150" t="str">
        <f t="shared" si="17"/>
        <v>Dec</v>
      </c>
      <c r="M82" s="150" t="str">
        <f t="shared" si="18"/>
        <v>22</v>
      </c>
      <c r="N82" s="153" t="s">
        <v>188</v>
      </c>
      <c r="Q82" s="330">
        <v>52784</v>
      </c>
      <c r="R82" s="335">
        <v>44896</v>
      </c>
      <c r="S82" s="330" t="s">
        <v>516</v>
      </c>
      <c r="T82" s="330">
        <v>5000</v>
      </c>
      <c r="V82" s="151">
        <f t="shared" ref="V82:V83" si="25">F82-Q82</f>
        <v>0</v>
      </c>
      <c r="W82" s="151">
        <f t="shared" ref="W82" si="26">E82-R82</f>
        <v>0</v>
      </c>
      <c r="X82" s="151">
        <f t="shared" ref="X82" si="27">G82-T82</f>
        <v>0</v>
      </c>
      <c r="Y82" s="151">
        <f t="shared" si="16"/>
        <v>0</v>
      </c>
    </row>
    <row r="83" spans="1:25" ht="36" x14ac:dyDescent="0.25">
      <c r="A83" s="150" t="s">
        <v>516</v>
      </c>
      <c r="B83" s="158">
        <v>44896</v>
      </c>
      <c r="C83" s="153">
        <v>1</v>
      </c>
      <c r="D83" s="154">
        <v>44896</v>
      </c>
      <c r="E83" s="154">
        <v>44928</v>
      </c>
      <c r="F83" s="153">
        <v>60602</v>
      </c>
      <c r="G83" s="153">
        <v>5000</v>
      </c>
      <c r="H83" s="153" t="s">
        <v>27</v>
      </c>
      <c r="I83" s="153" t="s">
        <v>548</v>
      </c>
      <c r="J83" s="153" t="s">
        <v>550</v>
      </c>
      <c r="K83" s="153" t="s">
        <v>266</v>
      </c>
      <c r="L83" s="150" t="str">
        <f t="shared" si="17"/>
        <v>Jan</v>
      </c>
      <c r="M83" s="150" t="str">
        <f t="shared" si="18"/>
        <v>23</v>
      </c>
      <c r="N83" s="153" t="s">
        <v>188</v>
      </c>
      <c r="Q83" s="330">
        <v>60602</v>
      </c>
      <c r="R83" s="335">
        <v>44928</v>
      </c>
      <c r="S83" s="330" t="s">
        <v>516</v>
      </c>
      <c r="T83" s="330">
        <v>5000</v>
      </c>
      <c r="V83" s="151">
        <f t="shared" si="25"/>
        <v>0</v>
      </c>
      <c r="W83" s="151">
        <f t="shared" ref="W83" si="28">E83-R83</f>
        <v>0</v>
      </c>
      <c r="X83" s="151">
        <f t="shared" ref="X83" si="29">G83-T83</f>
        <v>0</v>
      </c>
      <c r="Y83" s="151">
        <f t="shared" si="16"/>
        <v>0</v>
      </c>
    </row>
    <row r="84" spans="1:25" ht="36" x14ac:dyDescent="0.25">
      <c r="A84" s="150" t="s">
        <v>516</v>
      </c>
      <c r="B84" s="158">
        <v>44927</v>
      </c>
      <c r="C84" s="153">
        <v>1</v>
      </c>
      <c r="D84" s="154">
        <v>44927</v>
      </c>
      <c r="E84" s="154">
        <v>44958</v>
      </c>
      <c r="F84" s="153">
        <v>68683</v>
      </c>
      <c r="G84" s="153">
        <v>5000</v>
      </c>
      <c r="H84" s="153" t="s">
        <v>27</v>
      </c>
      <c r="I84" s="153" t="s">
        <v>548</v>
      </c>
      <c r="J84" s="153" t="s">
        <v>550</v>
      </c>
      <c r="K84" s="153" t="s">
        <v>266</v>
      </c>
      <c r="L84" s="150" t="str">
        <f t="shared" si="17"/>
        <v>Feb</v>
      </c>
      <c r="M84" s="150" t="str">
        <f t="shared" si="18"/>
        <v>23</v>
      </c>
      <c r="N84" s="153" t="s">
        <v>188</v>
      </c>
      <c r="Q84" s="330">
        <v>68683</v>
      </c>
      <c r="R84" s="335">
        <v>44958</v>
      </c>
      <c r="S84" s="330" t="s">
        <v>516</v>
      </c>
      <c r="T84" s="330">
        <v>5000</v>
      </c>
      <c r="V84" s="151">
        <f t="shared" ref="V84:V86" si="30">F84-Q84</f>
        <v>0</v>
      </c>
      <c r="W84" s="151">
        <f t="shared" ref="W84:W86" si="31">E84-R84</f>
        <v>0</v>
      </c>
      <c r="X84" s="151">
        <f t="shared" ref="X84:X86" si="32">G84-T84</f>
        <v>0</v>
      </c>
      <c r="Y84" s="151">
        <f t="shared" si="16"/>
        <v>0</v>
      </c>
    </row>
    <row r="85" spans="1:25" ht="36" x14ac:dyDescent="0.25">
      <c r="A85" s="150" t="s">
        <v>516</v>
      </c>
      <c r="B85" s="158">
        <v>44958</v>
      </c>
      <c r="C85" s="153">
        <v>1</v>
      </c>
      <c r="D85" s="154">
        <v>44958</v>
      </c>
      <c r="E85" s="154">
        <v>44986</v>
      </c>
      <c r="F85" s="153">
        <v>77782</v>
      </c>
      <c r="G85" s="153">
        <v>5000</v>
      </c>
      <c r="H85" s="153" t="s">
        <v>27</v>
      </c>
      <c r="I85" s="153" t="s">
        <v>548</v>
      </c>
      <c r="J85" s="153" t="s">
        <v>550</v>
      </c>
      <c r="K85" s="153" t="s">
        <v>266</v>
      </c>
      <c r="L85" s="150" t="str">
        <f t="shared" si="17"/>
        <v>Mar</v>
      </c>
      <c r="M85" s="150" t="str">
        <f t="shared" si="18"/>
        <v>23</v>
      </c>
      <c r="N85" s="153" t="s">
        <v>188</v>
      </c>
      <c r="Q85" s="330">
        <v>77782</v>
      </c>
      <c r="R85" s="335">
        <v>44986</v>
      </c>
      <c r="S85" s="330" t="s">
        <v>516</v>
      </c>
      <c r="T85" s="330">
        <v>5000</v>
      </c>
      <c r="V85" s="151">
        <f t="shared" si="30"/>
        <v>0</v>
      </c>
      <c r="W85" s="151">
        <f t="shared" si="31"/>
        <v>0</v>
      </c>
      <c r="X85" s="151">
        <f t="shared" si="32"/>
        <v>0</v>
      </c>
      <c r="Y85" s="151">
        <f t="shared" si="16"/>
        <v>0</v>
      </c>
    </row>
    <row r="86" spans="1:25" ht="36" x14ac:dyDescent="0.25">
      <c r="A86" s="157" t="s">
        <v>654</v>
      </c>
      <c r="B86" s="158">
        <v>44986</v>
      </c>
      <c r="C86" s="153">
        <v>1</v>
      </c>
      <c r="D86" s="154">
        <v>44986</v>
      </c>
      <c r="E86" s="154">
        <v>45019</v>
      </c>
      <c r="F86" s="153">
        <v>763</v>
      </c>
      <c r="G86" s="153">
        <v>5000</v>
      </c>
      <c r="H86" s="153" t="s">
        <v>27</v>
      </c>
      <c r="I86" s="153" t="s">
        <v>548</v>
      </c>
      <c r="J86" s="153" t="s">
        <v>773</v>
      </c>
      <c r="K86" s="153" t="s">
        <v>774</v>
      </c>
      <c r="L86" s="157" t="str">
        <f>TEXT(E86,"mmm")</f>
        <v>Apr</v>
      </c>
      <c r="M86" s="157" t="str">
        <f>TEXT(E86,"yy")</f>
        <v>23</v>
      </c>
      <c r="N86" s="153" t="s">
        <v>188</v>
      </c>
      <c r="Q86" s="330">
        <v>763</v>
      </c>
      <c r="R86" s="335">
        <v>45019</v>
      </c>
      <c r="S86" s="330" t="s">
        <v>654</v>
      </c>
      <c r="T86" s="330">
        <v>5000</v>
      </c>
      <c r="V86" s="151">
        <f t="shared" si="30"/>
        <v>0</v>
      </c>
      <c r="W86" s="151">
        <f t="shared" si="31"/>
        <v>0</v>
      </c>
      <c r="X86" s="151">
        <f t="shared" si="32"/>
        <v>0</v>
      </c>
      <c r="Y86" s="151">
        <f t="shared" si="16"/>
        <v>0</v>
      </c>
    </row>
    <row r="87" spans="1:25" ht="36" x14ac:dyDescent="0.25">
      <c r="A87" s="157" t="s">
        <v>654</v>
      </c>
      <c r="B87" s="158">
        <v>45017</v>
      </c>
      <c r="C87" s="153">
        <v>1</v>
      </c>
      <c r="D87" s="154">
        <v>45017</v>
      </c>
      <c r="E87" s="154">
        <v>45061</v>
      </c>
      <c r="F87" s="153">
        <v>11389</v>
      </c>
      <c r="G87" s="153">
        <v>5000</v>
      </c>
      <c r="H87" s="153" t="s">
        <v>27</v>
      </c>
      <c r="I87" s="153" t="s">
        <v>548</v>
      </c>
      <c r="J87" s="153" t="s">
        <v>773</v>
      </c>
      <c r="K87" s="153" t="s">
        <v>774</v>
      </c>
      <c r="L87" s="150" t="str">
        <f t="shared" ref="L87:L93" si="33">TEXT(E87,"mmm")</f>
        <v>May</v>
      </c>
      <c r="M87" s="150" t="str">
        <f t="shared" ref="M87:M93" si="34">TEXT(E87,"yy")</f>
        <v>23</v>
      </c>
      <c r="N87" s="153" t="s">
        <v>188</v>
      </c>
      <c r="Q87" s="330">
        <v>11389</v>
      </c>
      <c r="R87" s="335">
        <v>45061</v>
      </c>
      <c r="S87" s="330" t="s">
        <v>654</v>
      </c>
      <c r="T87" s="330">
        <v>5000</v>
      </c>
      <c r="V87" s="151">
        <f t="shared" ref="V87:V99" si="35">F87-Q87</f>
        <v>0</v>
      </c>
      <c r="W87" s="151">
        <f t="shared" ref="W87:W99" si="36">E87-R87</f>
        <v>0</v>
      </c>
      <c r="X87" s="151">
        <f t="shared" ref="X87:X99" si="37">G87-T87</f>
        <v>0</v>
      </c>
      <c r="Y87" s="151">
        <f t="shared" si="16"/>
        <v>0</v>
      </c>
    </row>
    <row r="88" spans="1:25" ht="36" x14ac:dyDescent="0.25">
      <c r="A88" s="157" t="s">
        <v>654</v>
      </c>
      <c r="B88" s="158">
        <v>45047</v>
      </c>
      <c r="C88" s="153">
        <v>1</v>
      </c>
      <c r="D88" s="154">
        <v>45047</v>
      </c>
      <c r="E88" s="154">
        <v>45078</v>
      </c>
      <c r="F88" s="153">
        <v>15727</v>
      </c>
      <c r="G88" s="153">
        <v>5000</v>
      </c>
      <c r="H88" s="153" t="s">
        <v>27</v>
      </c>
      <c r="I88" s="153" t="s">
        <v>548</v>
      </c>
      <c r="J88" s="153" t="s">
        <v>773</v>
      </c>
      <c r="K88" s="153" t="s">
        <v>774</v>
      </c>
      <c r="L88" s="150" t="str">
        <f t="shared" si="33"/>
        <v>Jun</v>
      </c>
      <c r="M88" s="150" t="str">
        <f t="shared" si="34"/>
        <v>23</v>
      </c>
      <c r="N88" s="153" t="s">
        <v>188</v>
      </c>
      <c r="Q88" s="330">
        <v>15727</v>
      </c>
      <c r="R88" s="335">
        <v>45078</v>
      </c>
      <c r="S88" s="330" t="s">
        <v>654</v>
      </c>
      <c r="T88" s="330">
        <v>5000</v>
      </c>
      <c r="V88" s="151">
        <f t="shared" si="35"/>
        <v>0</v>
      </c>
      <c r="W88" s="151">
        <f t="shared" si="36"/>
        <v>0</v>
      </c>
      <c r="X88" s="151">
        <f t="shared" si="37"/>
        <v>0</v>
      </c>
      <c r="Y88" s="151">
        <f t="shared" si="16"/>
        <v>0</v>
      </c>
    </row>
    <row r="89" spans="1:25" ht="36" x14ac:dyDescent="0.25">
      <c r="A89" s="157" t="s">
        <v>654</v>
      </c>
      <c r="B89" s="158">
        <v>45078</v>
      </c>
      <c r="C89" s="153">
        <v>1</v>
      </c>
      <c r="D89" s="154">
        <v>45078</v>
      </c>
      <c r="E89" s="154">
        <v>45108</v>
      </c>
      <c r="F89" s="153">
        <v>19972</v>
      </c>
      <c r="G89" s="153">
        <v>5000</v>
      </c>
      <c r="H89" s="153" t="s">
        <v>27</v>
      </c>
      <c r="I89" s="153" t="s">
        <v>548</v>
      </c>
      <c r="J89" s="153" t="s">
        <v>773</v>
      </c>
      <c r="K89" s="153" t="s">
        <v>774</v>
      </c>
      <c r="L89" s="150" t="str">
        <f t="shared" si="33"/>
        <v>Jul</v>
      </c>
      <c r="M89" s="150" t="str">
        <f t="shared" si="34"/>
        <v>23</v>
      </c>
      <c r="N89" s="153" t="s">
        <v>188</v>
      </c>
      <c r="Q89" s="330">
        <v>19972</v>
      </c>
      <c r="R89" s="335">
        <v>45108</v>
      </c>
      <c r="S89" s="330" t="s">
        <v>654</v>
      </c>
      <c r="T89" s="330">
        <v>5000</v>
      </c>
      <c r="V89" s="151">
        <f t="shared" si="35"/>
        <v>0</v>
      </c>
      <c r="W89" s="151">
        <f t="shared" si="36"/>
        <v>0</v>
      </c>
      <c r="X89" s="151">
        <f t="shared" si="37"/>
        <v>0</v>
      </c>
      <c r="Y89" s="151">
        <f t="shared" si="16"/>
        <v>0</v>
      </c>
    </row>
    <row r="90" spans="1:25" ht="36" x14ac:dyDescent="0.25">
      <c r="A90" s="157" t="s">
        <v>654</v>
      </c>
      <c r="B90" s="158">
        <v>45108</v>
      </c>
      <c r="C90" s="153">
        <v>1</v>
      </c>
      <c r="D90" s="154">
        <v>45108</v>
      </c>
      <c r="E90" s="154">
        <v>45145</v>
      </c>
      <c r="F90" s="153">
        <v>30437</v>
      </c>
      <c r="G90" s="153">
        <v>5000</v>
      </c>
      <c r="H90" s="153" t="s">
        <v>27</v>
      </c>
      <c r="I90" s="153" t="s">
        <v>548</v>
      </c>
      <c r="J90" s="153" t="s">
        <v>773</v>
      </c>
      <c r="K90" s="153" t="s">
        <v>774</v>
      </c>
      <c r="L90" s="150" t="str">
        <f t="shared" si="33"/>
        <v>Aug</v>
      </c>
      <c r="M90" s="150" t="str">
        <f t="shared" si="34"/>
        <v>23</v>
      </c>
      <c r="N90" s="153" t="s">
        <v>188</v>
      </c>
      <c r="Q90" s="330">
        <v>30437</v>
      </c>
      <c r="R90" s="335">
        <v>45145</v>
      </c>
      <c r="S90" s="330" t="s">
        <v>654</v>
      </c>
      <c r="T90" s="330">
        <v>5000</v>
      </c>
      <c r="V90" s="151">
        <f t="shared" si="35"/>
        <v>0</v>
      </c>
      <c r="W90" s="151">
        <f t="shared" si="36"/>
        <v>0</v>
      </c>
      <c r="X90" s="151">
        <f t="shared" si="37"/>
        <v>0</v>
      </c>
      <c r="Y90" s="151">
        <f t="shared" si="16"/>
        <v>0</v>
      </c>
    </row>
    <row r="91" spans="1:25" ht="36" x14ac:dyDescent="0.25">
      <c r="A91" s="157" t="s">
        <v>654</v>
      </c>
      <c r="B91" s="158">
        <v>45139</v>
      </c>
      <c r="C91" s="153">
        <v>1</v>
      </c>
      <c r="D91" s="154">
        <v>45139</v>
      </c>
      <c r="E91" s="154">
        <v>45170</v>
      </c>
      <c r="F91" s="153">
        <v>34957</v>
      </c>
      <c r="G91" s="153">
        <v>5000</v>
      </c>
      <c r="H91" s="153" t="s">
        <v>27</v>
      </c>
      <c r="I91" s="153" t="s">
        <v>548</v>
      </c>
      <c r="J91" s="153" t="s">
        <v>773</v>
      </c>
      <c r="K91" s="153" t="s">
        <v>774</v>
      </c>
      <c r="L91" s="150" t="str">
        <f t="shared" si="33"/>
        <v>Sep</v>
      </c>
      <c r="M91" s="150" t="str">
        <f t="shared" si="34"/>
        <v>23</v>
      </c>
      <c r="N91" s="153" t="s">
        <v>188</v>
      </c>
      <c r="Q91" s="330">
        <v>34957</v>
      </c>
      <c r="R91" s="335">
        <v>45170</v>
      </c>
      <c r="S91" s="330" t="s">
        <v>654</v>
      </c>
      <c r="T91" s="330">
        <v>5000</v>
      </c>
      <c r="V91" s="151">
        <f t="shared" si="35"/>
        <v>0</v>
      </c>
      <c r="W91" s="151">
        <f t="shared" si="36"/>
        <v>0</v>
      </c>
      <c r="X91" s="151">
        <f t="shared" si="37"/>
        <v>0</v>
      </c>
      <c r="Y91" s="151">
        <f t="shared" si="16"/>
        <v>0</v>
      </c>
    </row>
    <row r="92" spans="1:25" ht="36" x14ac:dyDescent="0.25">
      <c r="A92" s="157" t="s">
        <v>654</v>
      </c>
      <c r="B92" s="158">
        <v>45170</v>
      </c>
      <c r="C92" s="153">
        <v>1</v>
      </c>
      <c r="D92" s="154">
        <v>45170</v>
      </c>
      <c r="E92" s="154">
        <v>45202</v>
      </c>
      <c r="F92" s="153">
        <v>40520</v>
      </c>
      <c r="G92" s="153">
        <v>5000</v>
      </c>
      <c r="H92" s="153" t="s">
        <v>27</v>
      </c>
      <c r="I92" s="153" t="s">
        <v>548</v>
      </c>
      <c r="J92" s="153" t="s">
        <v>773</v>
      </c>
      <c r="K92" s="153" t="s">
        <v>774</v>
      </c>
      <c r="L92" s="150" t="str">
        <f t="shared" si="33"/>
        <v>Oct</v>
      </c>
      <c r="M92" s="150" t="str">
        <f t="shared" si="34"/>
        <v>23</v>
      </c>
      <c r="N92" s="153" t="s">
        <v>188</v>
      </c>
      <c r="Q92" s="330">
        <v>40520</v>
      </c>
      <c r="R92" s="335">
        <v>45202</v>
      </c>
      <c r="S92" s="330" t="s">
        <v>654</v>
      </c>
      <c r="T92" s="330">
        <v>5000</v>
      </c>
      <c r="V92" s="151">
        <f t="shared" si="35"/>
        <v>0</v>
      </c>
      <c r="W92" s="151">
        <f t="shared" si="36"/>
        <v>0</v>
      </c>
      <c r="X92" s="151">
        <f t="shared" si="37"/>
        <v>0</v>
      </c>
      <c r="Y92" s="151">
        <f t="shared" si="16"/>
        <v>0</v>
      </c>
    </row>
    <row r="93" spans="1:25" ht="36" x14ac:dyDescent="0.25">
      <c r="A93" s="157" t="s">
        <v>654</v>
      </c>
      <c r="B93" s="158">
        <v>45200</v>
      </c>
      <c r="C93" s="153">
        <v>1</v>
      </c>
      <c r="D93" s="154">
        <v>45200</v>
      </c>
      <c r="E93" s="154">
        <v>45231</v>
      </c>
      <c r="F93" s="153">
        <v>45911</v>
      </c>
      <c r="G93" s="153">
        <v>5000</v>
      </c>
      <c r="H93" s="153" t="s">
        <v>27</v>
      </c>
      <c r="I93" s="153" t="s">
        <v>548</v>
      </c>
      <c r="J93" s="153" t="s">
        <v>773</v>
      </c>
      <c r="K93" s="153" t="s">
        <v>774</v>
      </c>
      <c r="L93" s="150" t="str">
        <f t="shared" si="33"/>
        <v>Nov</v>
      </c>
      <c r="M93" s="150" t="str">
        <f t="shared" si="34"/>
        <v>23</v>
      </c>
      <c r="N93" s="153" t="s">
        <v>188</v>
      </c>
      <c r="Q93" s="330">
        <v>45911</v>
      </c>
      <c r="R93" s="335">
        <v>45231</v>
      </c>
      <c r="S93" s="330" t="s">
        <v>654</v>
      </c>
      <c r="T93" s="330">
        <v>5000</v>
      </c>
      <c r="V93" s="151">
        <f t="shared" si="35"/>
        <v>0</v>
      </c>
      <c r="W93" s="151">
        <f t="shared" si="36"/>
        <v>0</v>
      </c>
      <c r="X93" s="151">
        <f t="shared" si="37"/>
        <v>0</v>
      </c>
      <c r="Y93" s="151">
        <f t="shared" si="16"/>
        <v>0</v>
      </c>
    </row>
    <row r="94" spans="1:25" ht="36" x14ac:dyDescent="0.25">
      <c r="A94" s="157" t="s">
        <v>654</v>
      </c>
      <c r="B94" s="158">
        <v>45231</v>
      </c>
      <c r="C94" s="153">
        <v>1</v>
      </c>
      <c r="D94" s="154">
        <v>45231</v>
      </c>
      <c r="E94" s="154">
        <v>45261</v>
      </c>
      <c r="F94" s="153">
        <v>54122</v>
      </c>
      <c r="G94" s="153">
        <v>5000</v>
      </c>
      <c r="H94" s="153" t="s">
        <v>27</v>
      </c>
      <c r="I94" s="153" t="s">
        <v>548</v>
      </c>
      <c r="J94" s="153" t="s">
        <v>773</v>
      </c>
      <c r="K94" s="153" t="s">
        <v>774</v>
      </c>
      <c r="L94" s="150" t="str">
        <f t="shared" ref="L94:L157" si="38">TEXT(E94,"mmm")</f>
        <v>Dec</v>
      </c>
      <c r="M94" s="150" t="str">
        <f t="shared" ref="M94:M103" si="39">TEXT(E94,"yy")</f>
        <v>23</v>
      </c>
      <c r="N94" s="153" t="s">
        <v>188</v>
      </c>
      <c r="Q94" s="330">
        <v>54122</v>
      </c>
      <c r="R94" s="335">
        <v>45261</v>
      </c>
      <c r="S94" s="330" t="s">
        <v>654</v>
      </c>
      <c r="T94" s="330">
        <v>5000</v>
      </c>
      <c r="V94" s="151">
        <f t="shared" si="35"/>
        <v>0</v>
      </c>
      <c r="W94" s="151">
        <f t="shared" si="36"/>
        <v>0</v>
      </c>
      <c r="X94" s="151">
        <f t="shared" si="37"/>
        <v>0</v>
      </c>
      <c r="Y94" s="151">
        <f t="shared" si="16"/>
        <v>0</v>
      </c>
    </row>
    <row r="95" spans="1:25" ht="36" x14ac:dyDescent="0.25">
      <c r="A95" s="157" t="s">
        <v>654</v>
      </c>
      <c r="B95" s="158">
        <v>45261</v>
      </c>
      <c r="C95" s="153">
        <v>1</v>
      </c>
      <c r="D95" s="154">
        <v>45261</v>
      </c>
      <c r="E95" s="154">
        <v>45292</v>
      </c>
      <c r="F95" s="153">
        <v>61348</v>
      </c>
      <c r="G95" s="153">
        <v>5000</v>
      </c>
      <c r="H95" s="153" t="s">
        <v>27</v>
      </c>
      <c r="I95" s="153" t="s">
        <v>548</v>
      </c>
      <c r="J95" s="153" t="s">
        <v>773</v>
      </c>
      <c r="K95" s="153" t="s">
        <v>774</v>
      </c>
      <c r="L95" s="150" t="str">
        <f t="shared" si="38"/>
        <v>Jan</v>
      </c>
      <c r="M95" s="150" t="str">
        <f t="shared" si="39"/>
        <v>24</v>
      </c>
      <c r="N95" s="153" t="s">
        <v>188</v>
      </c>
      <c r="Q95" s="330">
        <v>61348</v>
      </c>
      <c r="R95" s="335">
        <v>45292</v>
      </c>
      <c r="S95" s="330" t="s">
        <v>654</v>
      </c>
      <c r="T95" s="330">
        <v>5000</v>
      </c>
      <c r="V95" s="151">
        <f t="shared" si="35"/>
        <v>0</v>
      </c>
      <c r="W95" s="151">
        <f t="shared" si="36"/>
        <v>0</v>
      </c>
      <c r="X95" s="151">
        <f t="shared" si="37"/>
        <v>0</v>
      </c>
      <c r="Y95" s="151">
        <f t="shared" si="16"/>
        <v>0</v>
      </c>
    </row>
    <row r="96" spans="1:25" ht="36" x14ac:dyDescent="0.25">
      <c r="A96" s="157" t="s">
        <v>654</v>
      </c>
      <c r="B96" s="158">
        <v>45292</v>
      </c>
      <c r="C96" s="153">
        <v>1</v>
      </c>
      <c r="D96" s="154">
        <v>45292</v>
      </c>
      <c r="E96" s="154">
        <v>45323</v>
      </c>
      <c r="F96" s="153">
        <v>70303</v>
      </c>
      <c r="G96" s="153">
        <v>5000</v>
      </c>
      <c r="H96" s="153" t="s">
        <v>27</v>
      </c>
      <c r="I96" s="153" t="s">
        <v>548</v>
      </c>
      <c r="J96" s="153" t="s">
        <v>773</v>
      </c>
      <c r="K96" s="153" t="s">
        <v>774</v>
      </c>
      <c r="L96" s="150" t="str">
        <f t="shared" si="38"/>
        <v>Feb</v>
      </c>
      <c r="M96" s="150" t="str">
        <f t="shared" si="39"/>
        <v>24</v>
      </c>
      <c r="N96" s="153" t="s">
        <v>188</v>
      </c>
      <c r="Q96" s="330">
        <v>70303</v>
      </c>
      <c r="R96" s="335">
        <v>45323</v>
      </c>
      <c r="S96" s="330" t="s">
        <v>654</v>
      </c>
      <c r="T96" s="330">
        <v>5000</v>
      </c>
      <c r="V96" s="151">
        <f t="shared" si="35"/>
        <v>0</v>
      </c>
      <c r="W96" s="151">
        <f t="shared" si="36"/>
        <v>0</v>
      </c>
      <c r="X96" s="151">
        <f t="shared" si="37"/>
        <v>0</v>
      </c>
      <c r="Y96" s="151">
        <f t="shared" si="16"/>
        <v>0</v>
      </c>
    </row>
    <row r="97" spans="1:25" ht="36" x14ac:dyDescent="0.25">
      <c r="A97" s="157" t="s">
        <v>654</v>
      </c>
      <c r="B97" s="158">
        <v>45323</v>
      </c>
      <c r="C97" s="153">
        <v>1</v>
      </c>
      <c r="D97" s="154">
        <v>45323</v>
      </c>
      <c r="E97" s="154">
        <v>45355</v>
      </c>
      <c r="F97" s="153">
        <v>77719</v>
      </c>
      <c r="G97" s="153">
        <v>5000</v>
      </c>
      <c r="H97" s="153" t="s">
        <v>27</v>
      </c>
      <c r="I97" s="153" t="s">
        <v>548</v>
      </c>
      <c r="J97" s="153" t="s">
        <v>773</v>
      </c>
      <c r="K97" s="153" t="s">
        <v>774</v>
      </c>
      <c r="L97" s="150" t="str">
        <f t="shared" si="38"/>
        <v>Mar</v>
      </c>
      <c r="M97" s="150" t="str">
        <f t="shared" si="39"/>
        <v>24</v>
      </c>
      <c r="N97" s="153" t="s">
        <v>188</v>
      </c>
      <c r="Q97" s="330">
        <v>77719</v>
      </c>
      <c r="R97" s="335">
        <v>45355</v>
      </c>
      <c r="S97" s="330" t="s">
        <v>654</v>
      </c>
      <c r="T97" s="330">
        <v>5000</v>
      </c>
      <c r="V97" s="151">
        <f t="shared" si="35"/>
        <v>0</v>
      </c>
      <c r="W97" s="151">
        <f t="shared" si="36"/>
        <v>0</v>
      </c>
      <c r="X97" s="151">
        <f t="shared" si="37"/>
        <v>0</v>
      </c>
      <c r="Y97" s="151">
        <f t="shared" si="16"/>
        <v>0</v>
      </c>
    </row>
    <row r="98" spans="1:25" ht="36" x14ac:dyDescent="0.25">
      <c r="A98" s="150" t="s">
        <v>568</v>
      </c>
      <c r="B98" s="158">
        <v>45352</v>
      </c>
      <c r="C98" s="153">
        <v>1</v>
      </c>
      <c r="D98" s="154">
        <v>45352</v>
      </c>
      <c r="E98" s="154">
        <v>45384</v>
      </c>
      <c r="F98" s="153">
        <v>859</v>
      </c>
      <c r="G98" s="153">
        <v>5000</v>
      </c>
      <c r="H98" s="153" t="s">
        <v>27</v>
      </c>
      <c r="I98" s="153" t="s">
        <v>548</v>
      </c>
      <c r="J98" s="153" t="s">
        <v>773</v>
      </c>
      <c r="K98" s="153" t="s">
        <v>774</v>
      </c>
      <c r="L98" s="150" t="str">
        <f t="shared" si="38"/>
        <v>Apr</v>
      </c>
      <c r="M98" s="150" t="str">
        <f t="shared" si="39"/>
        <v>24</v>
      </c>
      <c r="N98" s="153" t="s">
        <v>188</v>
      </c>
      <c r="Q98" s="330">
        <v>859</v>
      </c>
      <c r="R98" s="335">
        <v>45384</v>
      </c>
      <c r="S98" s="330" t="s">
        <v>568</v>
      </c>
      <c r="T98" s="330">
        <v>5000</v>
      </c>
      <c r="V98" s="151">
        <f t="shared" si="35"/>
        <v>0</v>
      </c>
      <c r="W98" s="151">
        <f t="shared" si="36"/>
        <v>0</v>
      </c>
      <c r="X98" s="151">
        <f t="shared" si="37"/>
        <v>0</v>
      </c>
      <c r="Y98" s="151">
        <f t="shared" si="16"/>
        <v>0</v>
      </c>
    </row>
    <row r="99" spans="1:25" ht="36" x14ac:dyDescent="0.25">
      <c r="A99" s="150" t="s">
        <v>568</v>
      </c>
      <c r="B99" s="158">
        <v>45383</v>
      </c>
      <c r="C99" s="153">
        <v>1</v>
      </c>
      <c r="D99" s="154">
        <v>45383</v>
      </c>
      <c r="E99" s="154">
        <v>45419</v>
      </c>
      <c r="F99" s="153">
        <v>8364</v>
      </c>
      <c r="G99" s="153">
        <v>5000</v>
      </c>
      <c r="H99" s="153" t="s">
        <v>27</v>
      </c>
      <c r="I99" s="153" t="s">
        <v>548</v>
      </c>
      <c r="J99" s="153" t="s">
        <v>773</v>
      </c>
      <c r="K99" s="153" t="s">
        <v>774</v>
      </c>
      <c r="L99" s="150" t="str">
        <f t="shared" si="38"/>
        <v>May</v>
      </c>
      <c r="M99" s="150" t="str">
        <f t="shared" si="39"/>
        <v>24</v>
      </c>
      <c r="N99" s="153" t="s">
        <v>188</v>
      </c>
      <c r="Q99" s="330">
        <v>8364</v>
      </c>
      <c r="R99" s="335">
        <v>45419</v>
      </c>
      <c r="S99" s="330" t="s">
        <v>568</v>
      </c>
      <c r="T99" s="330">
        <v>5000</v>
      </c>
      <c r="V99" s="151">
        <f t="shared" si="35"/>
        <v>0</v>
      </c>
      <c r="W99" s="151">
        <f t="shared" si="36"/>
        <v>0</v>
      </c>
      <c r="X99" s="151">
        <f t="shared" si="37"/>
        <v>0</v>
      </c>
      <c r="Y99" s="151">
        <f t="shared" si="16"/>
        <v>0</v>
      </c>
    </row>
    <row r="100" spans="1:25" ht="36" x14ac:dyDescent="0.25">
      <c r="A100" s="150" t="s">
        <v>568</v>
      </c>
      <c r="B100" s="158">
        <v>45413</v>
      </c>
      <c r="C100" s="153">
        <v>1</v>
      </c>
      <c r="D100" s="154">
        <v>45413</v>
      </c>
      <c r="E100" s="154">
        <v>45444</v>
      </c>
      <c r="F100" s="153">
        <v>13029</v>
      </c>
      <c r="G100" s="153">
        <v>5000</v>
      </c>
      <c r="H100" s="153" t="s">
        <v>27</v>
      </c>
      <c r="I100" s="153" t="s">
        <v>548</v>
      </c>
      <c r="J100" s="153" t="s">
        <v>773</v>
      </c>
      <c r="K100" s="153" t="s">
        <v>774</v>
      </c>
      <c r="L100" s="150" t="str">
        <f t="shared" si="38"/>
        <v>Jun</v>
      </c>
      <c r="M100" s="150" t="str">
        <f t="shared" si="39"/>
        <v>24</v>
      </c>
      <c r="N100" s="153" t="s">
        <v>188</v>
      </c>
      <c r="Q100" s="330">
        <v>13029</v>
      </c>
      <c r="R100" s="335">
        <v>45444</v>
      </c>
      <c r="S100" s="330" t="s">
        <v>568</v>
      </c>
      <c r="T100" s="330">
        <v>5000</v>
      </c>
      <c r="V100" s="151">
        <f t="shared" ref="V100:V159" si="40">F100-Q100</f>
        <v>0</v>
      </c>
      <c r="W100" s="151">
        <f t="shared" ref="W100:W159" si="41">E100-R100</f>
        <v>0</v>
      </c>
      <c r="X100" s="151">
        <f t="shared" ref="X100:X159" si="42">G100-T100</f>
        <v>0</v>
      </c>
      <c r="Y100" s="151">
        <f t="shared" si="16"/>
        <v>0</v>
      </c>
    </row>
    <row r="101" spans="1:25" ht="36" x14ac:dyDescent="0.25">
      <c r="A101" s="150" t="s">
        <v>568</v>
      </c>
      <c r="B101" s="158">
        <v>45444</v>
      </c>
      <c r="C101" s="153">
        <v>1</v>
      </c>
      <c r="D101" s="154">
        <v>45444</v>
      </c>
      <c r="E101" s="154">
        <v>45474</v>
      </c>
      <c r="F101" s="153">
        <v>19255</v>
      </c>
      <c r="G101" s="153">
        <v>5000</v>
      </c>
      <c r="H101" s="153" t="s">
        <v>27</v>
      </c>
      <c r="I101" s="153" t="s">
        <v>548</v>
      </c>
      <c r="J101" s="153" t="s">
        <v>773</v>
      </c>
      <c r="K101" s="153" t="s">
        <v>774</v>
      </c>
      <c r="L101" s="150" t="str">
        <f t="shared" si="38"/>
        <v>Jul</v>
      </c>
      <c r="M101" s="150" t="str">
        <f t="shared" si="39"/>
        <v>24</v>
      </c>
      <c r="N101" s="153" t="s">
        <v>188</v>
      </c>
      <c r="Q101" s="330">
        <v>19255</v>
      </c>
      <c r="R101" s="335">
        <v>45474</v>
      </c>
      <c r="S101" s="330" t="s">
        <v>568</v>
      </c>
      <c r="T101" s="330">
        <v>5000</v>
      </c>
      <c r="V101" s="151">
        <f t="shared" si="40"/>
        <v>0</v>
      </c>
      <c r="W101" s="151">
        <f t="shared" si="41"/>
        <v>0</v>
      </c>
      <c r="X101" s="151">
        <f t="shared" si="42"/>
        <v>0</v>
      </c>
      <c r="Y101" s="151">
        <f t="shared" si="16"/>
        <v>0</v>
      </c>
    </row>
    <row r="102" spans="1:25" ht="36" x14ac:dyDescent="0.25">
      <c r="A102" s="150" t="s">
        <v>568</v>
      </c>
      <c r="B102" s="158">
        <v>45474</v>
      </c>
      <c r="C102" s="153">
        <v>1</v>
      </c>
      <c r="D102" s="154">
        <v>45474</v>
      </c>
      <c r="E102" s="154">
        <v>45505</v>
      </c>
      <c r="F102" s="153">
        <v>25295</v>
      </c>
      <c r="G102" s="153">
        <v>5000</v>
      </c>
      <c r="H102" s="153" t="s">
        <v>27</v>
      </c>
      <c r="I102" s="153" t="s">
        <v>548</v>
      </c>
      <c r="J102" s="153" t="s">
        <v>773</v>
      </c>
      <c r="K102" s="153" t="s">
        <v>774</v>
      </c>
      <c r="L102" s="150" t="str">
        <f t="shared" si="38"/>
        <v>Aug</v>
      </c>
      <c r="M102" s="150" t="str">
        <f t="shared" si="39"/>
        <v>24</v>
      </c>
      <c r="N102" s="153" t="s">
        <v>188</v>
      </c>
      <c r="Q102" s="330">
        <v>25295</v>
      </c>
      <c r="R102" s="335">
        <v>45505</v>
      </c>
      <c r="S102" s="330" t="s">
        <v>568</v>
      </c>
      <c r="T102" s="330">
        <v>5000</v>
      </c>
      <c r="V102" s="151">
        <f t="shared" si="40"/>
        <v>0</v>
      </c>
      <c r="W102" s="151">
        <f t="shared" si="41"/>
        <v>0</v>
      </c>
      <c r="X102" s="151">
        <f t="shared" si="42"/>
        <v>0</v>
      </c>
      <c r="Y102" s="151">
        <f t="shared" si="16"/>
        <v>0</v>
      </c>
    </row>
    <row r="103" spans="1:25" ht="36" x14ac:dyDescent="0.25">
      <c r="A103" s="150" t="s">
        <v>568</v>
      </c>
      <c r="B103" s="158">
        <v>45505</v>
      </c>
      <c r="C103" s="153">
        <v>1</v>
      </c>
      <c r="D103" s="154">
        <v>45505</v>
      </c>
      <c r="E103" s="154">
        <v>45537</v>
      </c>
      <c r="F103" s="153">
        <v>31671</v>
      </c>
      <c r="G103" s="153">
        <v>5000</v>
      </c>
      <c r="H103" s="153" t="s">
        <v>27</v>
      </c>
      <c r="I103" s="153" t="s">
        <v>548</v>
      </c>
      <c r="J103" s="153" t="s">
        <v>773</v>
      </c>
      <c r="K103" s="153" t="s">
        <v>774</v>
      </c>
      <c r="L103" s="150" t="str">
        <f t="shared" si="38"/>
        <v>Sep</v>
      </c>
      <c r="M103" s="150" t="str">
        <f t="shared" si="39"/>
        <v>24</v>
      </c>
      <c r="N103" s="153" t="s">
        <v>188</v>
      </c>
      <c r="Q103" s="330">
        <v>31671</v>
      </c>
      <c r="R103" s="335">
        <v>45537</v>
      </c>
      <c r="S103" s="330" t="s">
        <v>568</v>
      </c>
      <c r="T103" s="330">
        <v>5000</v>
      </c>
      <c r="V103" s="151">
        <f t="shared" si="40"/>
        <v>0</v>
      </c>
      <c r="W103" s="151">
        <f t="shared" si="41"/>
        <v>0</v>
      </c>
      <c r="X103" s="151">
        <f t="shared" si="42"/>
        <v>0</v>
      </c>
      <c r="Y103" s="151">
        <f t="shared" si="16"/>
        <v>0</v>
      </c>
    </row>
    <row r="104" spans="1:25" ht="36" x14ac:dyDescent="0.25">
      <c r="A104" s="150" t="s">
        <v>568</v>
      </c>
      <c r="B104" s="158">
        <v>45536</v>
      </c>
      <c r="C104" s="153">
        <v>1</v>
      </c>
      <c r="D104" s="154">
        <v>45536</v>
      </c>
      <c r="E104" s="154">
        <v>45566</v>
      </c>
      <c r="F104" s="153">
        <v>37968</v>
      </c>
      <c r="G104" s="153">
        <v>5000</v>
      </c>
      <c r="H104" s="153" t="s">
        <v>27</v>
      </c>
      <c r="I104" s="153" t="s">
        <v>548</v>
      </c>
      <c r="J104" s="153" t="s">
        <v>773</v>
      </c>
      <c r="K104" s="153" t="s">
        <v>774</v>
      </c>
      <c r="L104" s="150" t="str">
        <f>TEXT(E104,"mmm")</f>
        <v>Oct</v>
      </c>
      <c r="M104" s="150" t="str">
        <f>TEXT(E104,"yy")</f>
        <v>24</v>
      </c>
      <c r="N104" s="153" t="s">
        <v>188</v>
      </c>
      <c r="Q104" s="330">
        <v>37968</v>
      </c>
      <c r="R104" s="335">
        <v>45566</v>
      </c>
      <c r="S104" s="330" t="s">
        <v>568</v>
      </c>
      <c r="T104" s="330">
        <v>5000</v>
      </c>
      <c r="V104" s="151">
        <f>F104-Q104</f>
        <v>0</v>
      </c>
      <c r="W104" s="151">
        <f>E104-R104</f>
        <v>0</v>
      </c>
      <c r="X104" s="151">
        <f>G104-T104</f>
        <v>0</v>
      </c>
      <c r="Y104" s="151">
        <f t="shared" si="16"/>
        <v>0</v>
      </c>
    </row>
    <row r="105" spans="1:25" ht="36" x14ac:dyDescent="0.25">
      <c r="A105" s="150" t="s">
        <v>568</v>
      </c>
      <c r="B105" s="158">
        <v>45536</v>
      </c>
      <c r="C105" s="153">
        <v>2</v>
      </c>
      <c r="D105" s="154">
        <v>45566</v>
      </c>
      <c r="E105" s="154">
        <v>45595</v>
      </c>
      <c r="F105" s="153">
        <v>49705</v>
      </c>
      <c r="G105" s="153">
        <v>5000</v>
      </c>
      <c r="H105" s="153" t="s">
        <v>27</v>
      </c>
      <c r="I105" s="153" t="s">
        <v>548</v>
      </c>
      <c r="J105" s="153" t="s">
        <v>773</v>
      </c>
      <c r="K105" s="153" t="s">
        <v>774</v>
      </c>
      <c r="L105" s="150" t="str">
        <f>TEXT(E105,"mmm")</f>
        <v>Oct</v>
      </c>
      <c r="M105" s="150" t="str">
        <f>TEXT(E105,"yy")</f>
        <v>24</v>
      </c>
      <c r="N105" s="153" t="s">
        <v>188</v>
      </c>
      <c r="Q105" s="330">
        <v>49705</v>
      </c>
      <c r="R105" s="335">
        <v>45595</v>
      </c>
      <c r="S105" s="330" t="s">
        <v>568</v>
      </c>
      <c r="T105" s="330">
        <v>5000</v>
      </c>
      <c r="V105" s="151">
        <f>F105-Q105</f>
        <v>0</v>
      </c>
      <c r="W105" s="151">
        <f>E105-R105</f>
        <v>0</v>
      </c>
      <c r="X105" s="151">
        <f>G105-T105</f>
        <v>0</v>
      </c>
      <c r="Y105" s="151">
        <f t="shared" si="16"/>
        <v>0</v>
      </c>
    </row>
    <row r="106" spans="1:25" ht="36" x14ac:dyDescent="0.25">
      <c r="A106" s="150" t="s">
        <v>568</v>
      </c>
      <c r="B106" s="158">
        <v>45597</v>
      </c>
      <c r="C106" s="153">
        <v>1</v>
      </c>
      <c r="D106" s="154">
        <v>45597</v>
      </c>
      <c r="E106" s="154">
        <v>45628</v>
      </c>
      <c r="F106" s="203">
        <v>57448</v>
      </c>
      <c r="G106" s="203">
        <v>5000</v>
      </c>
      <c r="H106" s="203" t="s">
        <v>27</v>
      </c>
      <c r="I106" s="203" t="s">
        <v>548</v>
      </c>
      <c r="J106" s="203" t="s">
        <v>773</v>
      </c>
      <c r="K106" s="204" t="s">
        <v>774</v>
      </c>
      <c r="L106" s="150" t="str">
        <f>TEXT(E106,"mmm")</f>
        <v>Dec</v>
      </c>
      <c r="M106" s="150" t="str">
        <f t="shared" ref="M106:M169" si="43">TEXT(E106,"yy")</f>
        <v>24</v>
      </c>
      <c r="N106" s="153" t="s">
        <v>188</v>
      </c>
      <c r="Q106" s="330">
        <v>57448</v>
      </c>
      <c r="R106" s="335">
        <v>45628</v>
      </c>
      <c r="S106" s="330" t="s">
        <v>568</v>
      </c>
      <c r="T106" s="330">
        <v>5000</v>
      </c>
      <c r="V106" s="151">
        <f>F106-Q106</f>
        <v>0</v>
      </c>
      <c r="W106" s="151">
        <f>E106-R106</f>
        <v>0</v>
      </c>
      <c r="X106" s="151">
        <f>G106-T106</f>
        <v>0</v>
      </c>
      <c r="Y106" s="151">
        <f t="shared" si="16"/>
        <v>0</v>
      </c>
    </row>
    <row r="107" spans="1:25" ht="36" x14ac:dyDescent="0.25">
      <c r="A107" s="150" t="s">
        <v>568</v>
      </c>
      <c r="B107" s="158">
        <v>45627</v>
      </c>
      <c r="C107" s="153">
        <v>1</v>
      </c>
      <c r="D107" s="154">
        <v>45627</v>
      </c>
      <c r="E107" s="154">
        <v>45658</v>
      </c>
      <c r="F107" s="203">
        <v>63222</v>
      </c>
      <c r="G107" s="203">
        <v>5000</v>
      </c>
      <c r="H107" s="203" t="s">
        <v>27</v>
      </c>
      <c r="I107" s="203" t="s">
        <v>548</v>
      </c>
      <c r="J107" s="203" t="s">
        <v>773</v>
      </c>
      <c r="K107" s="204" t="s">
        <v>774</v>
      </c>
      <c r="L107" s="150" t="str">
        <f t="shared" si="38"/>
        <v>Jan</v>
      </c>
      <c r="M107" s="150" t="str">
        <f t="shared" si="43"/>
        <v>25</v>
      </c>
      <c r="N107" s="153" t="s">
        <v>188</v>
      </c>
      <c r="Q107" s="330">
        <v>63222</v>
      </c>
      <c r="R107" s="335">
        <v>45658</v>
      </c>
      <c r="S107" s="330" t="s">
        <v>568</v>
      </c>
      <c r="T107" s="330">
        <v>5000</v>
      </c>
      <c r="V107" s="151">
        <f t="shared" si="40"/>
        <v>0</v>
      </c>
      <c r="W107" s="151">
        <f t="shared" si="41"/>
        <v>0</v>
      </c>
      <c r="X107" s="151">
        <f t="shared" si="42"/>
        <v>0</v>
      </c>
      <c r="Y107" s="151">
        <f t="shared" si="16"/>
        <v>0</v>
      </c>
    </row>
    <row r="108" spans="1:25" ht="36" x14ac:dyDescent="0.25">
      <c r="A108" s="150" t="s">
        <v>568</v>
      </c>
      <c r="B108" s="158">
        <v>45658</v>
      </c>
      <c r="C108" s="153">
        <v>1</v>
      </c>
      <c r="D108" s="154">
        <v>45658</v>
      </c>
      <c r="E108" s="154">
        <v>45693</v>
      </c>
      <c r="F108" s="203">
        <v>72172</v>
      </c>
      <c r="G108" s="203">
        <v>5000</v>
      </c>
      <c r="H108" s="203" t="s">
        <v>27</v>
      </c>
      <c r="I108" s="203" t="s">
        <v>548</v>
      </c>
      <c r="J108" s="203" t="s">
        <v>773</v>
      </c>
      <c r="K108" s="204" t="s">
        <v>774</v>
      </c>
      <c r="L108" s="150" t="str">
        <f t="shared" si="38"/>
        <v>Feb</v>
      </c>
      <c r="M108" s="150" t="str">
        <f t="shared" si="43"/>
        <v>25</v>
      </c>
      <c r="N108" s="153" t="s">
        <v>188</v>
      </c>
      <c r="Q108" s="336">
        <v>72172</v>
      </c>
      <c r="R108" s="337">
        <v>45693</v>
      </c>
      <c r="S108" s="330" t="s">
        <v>568</v>
      </c>
      <c r="T108" s="330">
        <v>5000</v>
      </c>
      <c r="V108" s="151">
        <f t="shared" si="40"/>
        <v>0</v>
      </c>
      <c r="W108" s="151">
        <f t="shared" si="41"/>
        <v>0</v>
      </c>
      <c r="X108" s="151">
        <f t="shared" si="42"/>
        <v>0</v>
      </c>
      <c r="Y108" s="151">
        <f t="shared" si="16"/>
        <v>0</v>
      </c>
    </row>
    <row r="109" spans="1:25" ht="36" x14ac:dyDescent="0.25">
      <c r="A109" s="150" t="s">
        <v>568</v>
      </c>
      <c r="B109" s="158">
        <v>45689</v>
      </c>
      <c r="C109" s="153">
        <v>1</v>
      </c>
      <c r="D109" s="154">
        <v>45689</v>
      </c>
      <c r="E109" s="154">
        <v>45717</v>
      </c>
      <c r="F109" s="203">
        <v>77782</v>
      </c>
      <c r="G109" s="203">
        <v>5000</v>
      </c>
      <c r="H109" s="203" t="s">
        <v>27</v>
      </c>
      <c r="I109" s="203" t="s">
        <v>548</v>
      </c>
      <c r="J109" s="203" t="s">
        <v>773</v>
      </c>
      <c r="K109" s="204" t="s">
        <v>774</v>
      </c>
      <c r="L109" s="150" t="str">
        <f t="shared" si="38"/>
        <v>Mar</v>
      </c>
      <c r="M109" s="150" t="str">
        <f t="shared" si="43"/>
        <v>25</v>
      </c>
      <c r="N109" s="153" t="s">
        <v>188</v>
      </c>
      <c r="Q109" s="338">
        <v>77782</v>
      </c>
      <c r="R109" s="337">
        <v>45717</v>
      </c>
      <c r="S109" s="330" t="s">
        <v>568</v>
      </c>
      <c r="T109" s="330">
        <v>5000</v>
      </c>
      <c r="V109" s="151">
        <f t="shared" si="40"/>
        <v>0</v>
      </c>
      <c r="W109" s="151">
        <f t="shared" si="41"/>
        <v>0</v>
      </c>
      <c r="X109" s="151">
        <f t="shared" si="42"/>
        <v>0</v>
      </c>
      <c r="Y109" s="151">
        <f t="shared" si="16"/>
        <v>0</v>
      </c>
    </row>
    <row r="110" spans="1:25" ht="36" x14ac:dyDescent="0.25">
      <c r="A110" s="150" t="s">
        <v>569</v>
      </c>
      <c r="B110" s="158">
        <v>45717</v>
      </c>
      <c r="C110" s="153">
        <v>1</v>
      </c>
      <c r="D110" s="154">
        <v>45717</v>
      </c>
      <c r="E110" s="154">
        <v>45749</v>
      </c>
      <c r="F110" s="203">
        <v>49331</v>
      </c>
      <c r="G110" s="203">
        <v>5000</v>
      </c>
      <c r="H110" s="203" t="s">
        <v>27</v>
      </c>
      <c r="I110" s="203" t="s">
        <v>548</v>
      </c>
      <c r="J110" s="203" t="s">
        <v>773</v>
      </c>
      <c r="K110" s="204" t="s">
        <v>774</v>
      </c>
      <c r="L110" s="150" t="str">
        <f t="shared" si="38"/>
        <v>Apr</v>
      </c>
      <c r="M110" s="150" t="str">
        <f t="shared" si="43"/>
        <v>25</v>
      </c>
      <c r="N110" s="153" t="s">
        <v>188</v>
      </c>
      <c r="Q110" s="339">
        <v>49331</v>
      </c>
      <c r="R110" s="340">
        <v>45749</v>
      </c>
      <c r="S110" s="330" t="s">
        <v>569</v>
      </c>
      <c r="T110" s="330">
        <v>5000</v>
      </c>
      <c r="V110" s="151">
        <f t="shared" si="40"/>
        <v>0</v>
      </c>
      <c r="W110" s="151">
        <f t="shared" si="41"/>
        <v>0</v>
      </c>
      <c r="X110" s="151">
        <f t="shared" si="42"/>
        <v>0</v>
      </c>
      <c r="Y110" s="151">
        <f t="shared" si="16"/>
        <v>0</v>
      </c>
    </row>
    <row r="111" spans="1:25" ht="36" x14ac:dyDescent="0.25">
      <c r="A111" s="150" t="s">
        <v>569</v>
      </c>
      <c r="B111" s="158">
        <v>45748</v>
      </c>
      <c r="C111" s="153">
        <v>1</v>
      </c>
      <c r="D111" s="154">
        <v>45790</v>
      </c>
      <c r="E111" s="154">
        <v>45790</v>
      </c>
      <c r="F111" s="203">
        <v>621685</v>
      </c>
      <c r="G111" s="203">
        <v>434500</v>
      </c>
      <c r="H111" s="203" t="s">
        <v>1046</v>
      </c>
      <c r="I111" s="203" t="s">
        <v>548</v>
      </c>
      <c r="J111" s="203" t="s">
        <v>773</v>
      </c>
      <c r="K111" s="204" t="s">
        <v>774</v>
      </c>
      <c r="L111" s="150" t="str">
        <f t="shared" si="38"/>
        <v>May</v>
      </c>
      <c r="M111" s="150" t="str">
        <f t="shared" si="43"/>
        <v>25</v>
      </c>
      <c r="N111" s="153" t="s">
        <v>188</v>
      </c>
      <c r="Q111" s="339">
        <v>621685</v>
      </c>
      <c r="R111" s="340">
        <v>45790</v>
      </c>
      <c r="S111" s="330" t="s">
        <v>569</v>
      </c>
      <c r="T111" s="330">
        <v>434500</v>
      </c>
      <c r="V111" s="151">
        <f t="shared" si="40"/>
        <v>0</v>
      </c>
      <c r="W111" s="151">
        <f t="shared" si="41"/>
        <v>0</v>
      </c>
      <c r="X111" s="151">
        <f t="shared" si="42"/>
        <v>0</v>
      </c>
      <c r="Y111" s="151">
        <f t="shared" si="16"/>
        <v>0</v>
      </c>
    </row>
    <row r="112" spans="1:25" ht="36" x14ac:dyDescent="0.25">
      <c r="A112" s="150" t="s">
        <v>569</v>
      </c>
      <c r="B112" s="158">
        <v>45748</v>
      </c>
      <c r="C112" s="153">
        <v>2</v>
      </c>
      <c r="D112" s="154">
        <v>45748</v>
      </c>
      <c r="E112" s="154">
        <v>45778</v>
      </c>
      <c r="F112" s="203">
        <v>432978</v>
      </c>
      <c r="G112" s="203">
        <v>5000</v>
      </c>
      <c r="H112" s="203" t="s">
        <v>27</v>
      </c>
      <c r="I112" s="203" t="s">
        <v>548</v>
      </c>
      <c r="J112" s="203" t="s">
        <v>773</v>
      </c>
      <c r="K112" s="204" t="s">
        <v>774</v>
      </c>
      <c r="L112" s="150" t="str">
        <f t="shared" si="38"/>
        <v>May</v>
      </c>
      <c r="M112" s="150" t="str">
        <f t="shared" si="43"/>
        <v>25</v>
      </c>
      <c r="N112" s="153" t="s">
        <v>188</v>
      </c>
      <c r="Q112" s="339">
        <v>432978</v>
      </c>
      <c r="R112" s="340">
        <v>45778</v>
      </c>
      <c r="S112" s="330" t="s">
        <v>569</v>
      </c>
      <c r="T112" s="330">
        <v>5000</v>
      </c>
      <c r="V112" s="151">
        <f t="shared" si="40"/>
        <v>0</v>
      </c>
      <c r="W112" s="151">
        <f t="shared" si="41"/>
        <v>0</v>
      </c>
      <c r="X112" s="151">
        <f t="shared" si="42"/>
        <v>0</v>
      </c>
      <c r="Y112" s="151">
        <f t="shared" si="16"/>
        <v>0</v>
      </c>
    </row>
    <row r="113" spans="1:25" ht="36" x14ac:dyDescent="0.25">
      <c r="A113" s="150" t="s">
        <v>569</v>
      </c>
      <c r="B113" s="158">
        <v>45778</v>
      </c>
      <c r="C113" s="153">
        <v>1</v>
      </c>
      <c r="D113" s="154">
        <v>45778</v>
      </c>
      <c r="E113" s="154">
        <v>45810</v>
      </c>
      <c r="F113" s="203">
        <v>876297</v>
      </c>
      <c r="G113" s="203">
        <v>5000</v>
      </c>
      <c r="H113" s="203" t="s">
        <v>27</v>
      </c>
      <c r="I113" s="203" t="s">
        <v>548</v>
      </c>
      <c r="J113" s="203" t="s">
        <v>773</v>
      </c>
      <c r="K113" s="204" t="s">
        <v>774</v>
      </c>
      <c r="L113" s="150" t="str">
        <f t="shared" si="38"/>
        <v>Jun</v>
      </c>
      <c r="M113" s="150" t="str">
        <f t="shared" si="43"/>
        <v>25</v>
      </c>
      <c r="N113" s="153" t="s">
        <v>188</v>
      </c>
      <c r="Q113" s="339">
        <v>876297</v>
      </c>
      <c r="R113" s="340">
        <v>45810</v>
      </c>
      <c r="S113" s="330" t="s">
        <v>569</v>
      </c>
      <c r="T113" s="330">
        <v>5000</v>
      </c>
      <c r="V113" s="151">
        <f t="shared" si="40"/>
        <v>0</v>
      </c>
      <c r="W113" s="151">
        <f t="shared" si="41"/>
        <v>0</v>
      </c>
      <c r="X113" s="151">
        <f t="shared" si="42"/>
        <v>0</v>
      </c>
      <c r="Y113" s="151">
        <f t="shared" si="16"/>
        <v>0</v>
      </c>
    </row>
    <row r="114" spans="1:25" ht="36" x14ac:dyDescent="0.25">
      <c r="A114" s="150" t="s">
        <v>569</v>
      </c>
      <c r="B114" s="158">
        <v>45809</v>
      </c>
      <c r="C114" s="153">
        <v>1</v>
      </c>
      <c r="D114" s="154">
        <v>45809</v>
      </c>
      <c r="E114" s="154">
        <v>45839</v>
      </c>
      <c r="F114" s="203">
        <v>1272439</v>
      </c>
      <c r="G114" s="203">
        <v>12242</v>
      </c>
      <c r="H114" s="203" t="s">
        <v>27</v>
      </c>
      <c r="I114" s="203" t="s">
        <v>548</v>
      </c>
      <c r="J114" s="203" t="s">
        <v>773</v>
      </c>
      <c r="K114" s="204" t="s">
        <v>774</v>
      </c>
      <c r="L114" s="150" t="str">
        <f t="shared" si="38"/>
        <v>Jul</v>
      </c>
      <c r="M114" s="150" t="str">
        <f t="shared" si="43"/>
        <v>25</v>
      </c>
      <c r="N114" s="153" t="s">
        <v>188</v>
      </c>
      <c r="Q114" s="339">
        <v>1272439</v>
      </c>
      <c r="R114" s="340">
        <v>45839</v>
      </c>
      <c r="S114" s="330" t="s">
        <v>569</v>
      </c>
      <c r="T114" s="330">
        <v>12242</v>
      </c>
      <c r="V114" s="151">
        <f t="shared" si="40"/>
        <v>0</v>
      </c>
      <c r="W114" s="151">
        <f t="shared" si="41"/>
        <v>0</v>
      </c>
      <c r="X114" s="151">
        <f t="shared" si="42"/>
        <v>0</v>
      </c>
      <c r="Y114" s="151">
        <f t="shared" si="16"/>
        <v>0</v>
      </c>
    </row>
    <row r="115" spans="1:25" ht="36" x14ac:dyDescent="0.25">
      <c r="A115" s="150" t="s">
        <v>569</v>
      </c>
      <c r="B115" s="158">
        <v>45839</v>
      </c>
      <c r="C115" s="153">
        <v>1</v>
      </c>
      <c r="D115" s="154">
        <v>45839</v>
      </c>
      <c r="E115" s="154">
        <v>45870</v>
      </c>
      <c r="F115" s="203">
        <v>1714317</v>
      </c>
      <c r="G115" s="203">
        <v>12242</v>
      </c>
      <c r="H115" s="203" t="s">
        <v>27</v>
      </c>
      <c r="I115" s="203" t="s">
        <v>548</v>
      </c>
      <c r="J115" s="203" t="s">
        <v>773</v>
      </c>
      <c r="K115" s="204" t="s">
        <v>774</v>
      </c>
      <c r="L115" s="150" t="str">
        <f t="shared" si="38"/>
        <v>Aug</v>
      </c>
      <c r="M115" s="150" t="str">
        <f t="shared" si="43"/>
        <v>25</v>
      </c>
      <c r="N115" s="153" t="s">
        <v>188</v>
      </c>
      <c r="Q115" s="341">
        <v>1714317</v>
      </c>
      <c r="R115" s="340">
        <v>45870</v>
      </c>
      <c r="S115" s="330" t="s">
        <v>569</v>
      </c>
      <c r="T115" s="330">
        <v>12242</v>
      </c>
      <c r="V115" s="151">
        <f t="shared" si="40"/>
        <v>0</v>
      </c>
      <c r="W115" s="151">
        <f t="shared" si="41"/>
        <v>0</v>
      </c>
      <c r="X115" s="151">
        <f t="shared" si="42"/>
        <v>0</v>
      </c>
      <c r="Y115" s="151">
        <f t="shared" si="16"/>
        <v>0</v>
      </c>
    </row>
    <row r="116" spans="1:25" ht="48" x14ac:dyDescent="0.25">
      <c r="A116" s="150" t="s">
        <v>569</v>
      </c>
      <c r="B116" s="158">
        <v>45870</v>
      </c>
      <c r="C116" s="153">
        <v>1</v>
      </c>
      <c r="D116" s="154">
        <v>45870</v>
      </c>
      <c r="E116" s="154">
        <v>45903</v>
      </c>
      <c r="F116" s="203">
        <v>2127637</v>
      </c>
      <c r="G116" s="203">
        <v>12242</v>
      </c>
      <c r="H116" s="203" t="s">
        <v>27</v>
      </c>
      <c r="I116" s="203" t="s">
        <v>1047</v>
      </c>
      <c r="J116" s="203" t="s">
        <v>1048</v>
      </c>
      <c r="K116" s="204" t="s">
        <v>1049</v>
      </c>
      <c r="L116" s="150" t="str">
        <f t="shared" si="38"/>
        <v>Sep</v>
      </c>
      <c r="M116" s="150" t="str">
        <f t="shared" si="43"/>
        <v>25</v>
      </c>
      <c r="N116" s="153" t="s">
        <v>188</v>
      </c>
      <c r="Q116" s="341">
        <v>2127637</v>
      </c>
      <c r="R116" s="340">
        <v>45903</v>
      </c>
      <c r="S116" s="330" t="s">
        <v>569</v>
      </c>
      <c r="T116" s="330">
        <v>12242</v>
      </c>
      <c r="V116" s="151">
        <f t="shared" si="40"/>
        <v>0</v>
      </c>
      <c r="W116" s="151">
        <f t="shared" si="41"/>
        <v>0</v>
      </c>
      <c r="X116" s="151">
        <f t="shared" si="42"/>
        <v>0</v>
      </c>
      <c r="Y116" s="151">
        <f t="shared" si="16"/>
        <v>0</v>
      </c>
    </row>
    <row r="117" spans="1:25" ht="48" x14ac:dyDescent="0.25">
      <c r="A117" s="150" t="s">
        <v>569</v>
      </c>
      <c r="B117" s="158">
        <v>45901</v>
      </c>
      <c r="C117" s="153">
        <v>1</v>
      </c>
      <c r="D117" s="154">
        <v>45901</v>
      </c>
      <c r="E117" s="154">
        <v>45931</v>
      </c>
      <c r="F117" s="203">
        <v>2401620</v>
      </c>
      <c r="G117" s="203">
        <v>12242</v>
      </c>
      <c r="H117" s="203" t="s">
        <v>27</v>
      </c>
      <c r="I117" s="203" t="s">
        <v>1047</v>
      </c>
      <c r="J117" s="203" t="s">
        <v>1048</v>
      </c>
      <c r="K117" s="204" t="s">
        <v>1049</v>
      </c>
      <c r="L117" s="150" t="str">
        <f t="shared" si="38"/>
        <v>Oct</v>
      </c>
      <c r="M117" s="150" t="str">
        <f t="shared" si="43"/>
        <v>25</v>
      </c>
      <c r="N117" s="153" t="s">
        <v>188</v>
      </c>
      <c r="Q117" s="341">
        <v>2401620</v>
      </c>
      <c r="R117" s="340">
        <v>45931</v>
      </c>
      <c r="S117" s="330" t="s">
        <v>569</v>
      </c>
      <c r="T117" s="330">
        <v>12242</v>
      </c>
      <c r="V117" s="151">
        <f t="shared" si="40"/>
        <v>0</v>
      </c>
      <c r="W117" s="151">
        <f t="shared" si="41"/>
        <v>0</v>
      </c>
      <c r="X117" s="151">
        <f t="shared" si="42"/>
        <v>0</v>
      </c>
      <c r="Y117" s="151">
        <f t="shared" si="16"/>
        <v>0</v>
      </c>
    </row>
    <row r="118" spans="1:25" ht="48" x14ac:dyDescent="0.25">
      <c r="A118" s="150" t="s">
        <v>569</v>
      </c>
      <c r="B118" s="158">
        <v>45931</v>
      </c>
      <c r="C118" s="153">
        <v>1</v>
      </c>
      <c r="D118" s="154">
        <v>45931</v>
      </c>
      <c r="E118" s="154">
        <v>45962</v>
      </c>
      <c r="F118" s="203">
        <v>3111361</v>
      </c>
      <c r="G118" s="203">
        <v>12242</v>
      </c>
      <c r="H118" s="203" t="s">
        <v>27</v>
      </c>
      <c r="I118" s="203" t="s">
        <v>1047</v>
      </c>
      <c r="J118" s="203" t="s">
        <v>1048</v>
      </c>
      <c r="K118" s="204" t="s">
        <v>1049</v>
      </c>
      <c r="L118" s="150" t="str">
        <f t="shared" si="38"/>
        <v>Nov</v>
      </c>
      <c r="M118" s="150" t="str">
        <f t="shared" si="43"/>
        <v>25</v>
      </c>
      <c r="N118" s="153" t="s">
        <v>188</v>
      </c>
      <c r="Q118" s="341">
        <v>3111361</v>
      </c>
      <c r="R118" s="340">
        <v>45962</v>
      </c>
      <c r="S118" s="330" t="s">
        <v>569</v>
      </c>
      <c r="T118" s="330">
        <v>12242</v>
      </c>
      <c r="V118" s="151">
        <f t="shared" si="40"/>
        <v>0</v>
      </c>
      <c r="W118" s="151">
        <f t="shared" si="41"/>
        <v>0</v>
      </c>
      <c r="X118" s="151">
        <f t="shared" si="42"/>
        <v>0</v>
      </c>
      <c r="Y118" s="151">
        <f t="shared" si="16"/>
        <v>0</v>
      </c>
    </row>
    <row r="119" spans="1:25" ht="48" x14ac:dyDescent="0.25">
      <c r="A119" s="150" t="s">
        <v>569</v>
      </c>
      <c r="B119" s="158">
        <v>45962</v>
      </c>
      <c r="C119" s="153">
        <v>1</v>
      </c>
      <c r="D119" s="154">
        <v>45962</v>
      </c>
      <c r="E119" s="154">
        <v>45992</v>
      </c>
      <c r="F119" s="203">
        <v>3572197</v>
      </c>
      <c r="G119" s="203">
        <v>12242</v>
      </c>
      <c r="H119" s="203" t="s">
        <v>27</v>
      </c>
      <c r="I119" s="203" t="s">
        <v>1047</v>
      </c>
      <c r="J119" s="203" t="s">
        <v>1048</v>
      </c>
      <c r="K119" s="204" t="s">
        <v>1049</v>
      </c>
      <c r="L119" s="150" t="str">
        <f t="shared" si="38"/>
        <v>Dec</v>
      </c>
      <c r="M119" s="150" t="str">
        <f t="shared" si="43"/>
        <v>25</v>
      </c>
      <c r="N119" s="153" t="s">
        <v>188</v>
      </c>
      <c r="Q119" s="341">
        <v>3572197</v>
      </c>
      <c r="R119" s="340">
        <v>45992</v>
      </c>
      <c r="S119" s="330" t="s">
        <v>569</v>
      </c>
      <c r="T119" s="330">
        <v>12242</v>
      </c>
      <c r="V119" s="151">
        <f t="shared" si="40"/>
        <v>0</v>
      </c>
      <c r="W119" s="151">
        <f t="shared" si="41"/>
        <v>0</v>
      </c>
      <c r="X119" s="151">
        <f t="shared" si="42"/>
        <v>0</v>
      </c>
      <c r="Y119" s="151">
        <f t="shared" si="16"/>
        <v>0</v>
      </c>
    </row>
    <row r="120" spans="1:25" ht="48" x14ac:dyDescent="0.25">
      <c r="A120" s="150" t="s">
        <v>569</v>
      </c>
      <c r="B120" s="158">
        <v>45992</v>
      </c>
      <c r="C120" s="153">
        <v>1</v>
      </c>
      <c r="D120" s="154">
        <v>45992</v>
      </c>
      <c r="E120" s="154">
        <v>46023</v>
      </c>
      <c r="F120" s="203">
        <v>3925524</v>
      </c>
      <c r="G120" s="203">
        <v>12242</v>
      </c>
      <c r="H120" s="203" t="s">
        <v>27</v>
      </c>
      <c r="I120" s="203" t="s">
        <v>1047</v>
      </c>
      <c r="J120" s="203" t="s">
        <v>1048</v>
      </c>
      <c r="K120" s="204" t="s">
        <v>1049</v>
      </c>
      <c r="L120" s="150" t="str">
        <f t="shared" si="38"/>
        <v>Jan</v>
      </c>
      <c r="M120" s="150" t="str">
        <f t="shared" si="43"/>
        <v>26</v>
      </c>
      <c r="N120" s="153" t="s">
        <v>188</v>
      </c>
      <c r="Q120" s="341">
        <v>3925524</v>
      </c>
      <c r="R120" s="340">
        <v>46023</v>
      </c>
      <c r="S120" s="330" t="s">
        <v>569</v>
      </c>
      <c r="T120" s="330">
        <v>12242</v>
      </c>
      <c r="V120" s="151">
        <f t="shared" si="40"/>
        <v>0</v>
      </c>
      <c r="W120" s="151">
        <f t="shared" si="41"/>
        <v>0</v>
      </c>
      <c r="X120" s="151">
        <f t="shared" si="42"/>
        <v>0</v>
      </c>
      <c r="Y120" s="151">
        <f t="shared" si="16"/>
        <v>0</v>
      </c>
    </row>
    <row r="121" spans="1:25" ht="48" x14ac:dyDescent="0.25">
      <c r="A121" s="150" t="s">
        <v>569</v>
      </c>
      <c r="B121" s="158">
        <v>46023</v>
      </c>
      <c r="C121" s="153">
        <v>1</v>
      </c>
      <c r="D121" s="154">
        <v>46023</v>
      </c>
      <c r="E121" s="154">
        <v>46055</v>
      </c>
      <c r="F121" s="203">
        <v>4385715</v>
      </c>
      <c r="G121" s="203">
        <v>12242</v>
      </c>
      <c r="H121" s="203" t="s">
        <v>27</v>
      </c>
      <c r="I121" s="203" t="s">
        <v>1047</v>
      </c>
      <c r="J121" s="203" t="s">
        <v>1048</v>
      </c>
      <c r="K121" s="204" t="s">
        <v>1049</v>
      </c>
      <c r="L121" s="150" t="str">
        <f t="shared" si="38"/>
        <v>Feb</v>
      </c>
      <c r="M121" s="150" t="str">
        <f t="shared" si="43"/>
        <v>26</v>
      </c>
      <c r="N121" s="153" t="s">
        <v>188</v>
      </c>
      <c r="Q121" s="339">
        <v>4385715</v>
      </c>
      <c r="R121" s="340">
        <v>46055</v>
      </c>
      <c r="S121" s="330" t="s">
        <v>569</v>
      </c>
      <c r="T121" s="330">
        <v>12242</v>
      </c>
      <c r="V121" s="151">
        <f t="shared" si="40"/>
        <v>0</v>
      </c>
      <c r="W121" s="151">
        <f t="shared" si="41"/>
        <v>0</v>
      </c>
      <c r="X121" s="151">
        <f t="shared" si="42"/>
        <v>0</v>
      </c>
      <c r="Y121" s="151">
        <f t="shared" si="16"/>
        <v>0</v>
      </c>
    </row>
    <row r="122" spans="1:25" ht="48" x14ac:dyDescent="0.25">
      <c r="A122" s="150" t="s">
        <v>569</v>
      </c>
      <c r="B122" s="158">
        <v>46054</v>
      </c>
      <c r="C122" s="153">
        <v>1</v>
      </c>
      <c r="D122" s="154">
        <v>46054</v>
      </c>
      <c r="E122" s="154">
        <v>46083</v>
      </c>
      <c r="F122" s="203">
        <v>4840915</v>
      </c>
      <c r="G122" s="203">
        <v>12242</v>
      </c>
      <c r="H122" s="203" t="s">
        <v>27</v>
      </c>
      <c r="I122" s="203" t="s">
        <v>1047</v>
      </c>
      <c r="J122" s="203" t="s">
        <v>1048</v>
      </c>
      <c r="K122" s="204" t="s">
        <v>1049</v>
      </c>
      <c r="L122" s="150" t="str">
        <f t="shared" si="38"/>
        <v>Mar</v>
      </c>
      <c r="M122" s="150" t="str">
        <f t="shared" si="43"/>
        <v>26</v>
      </c>
      <c r="N122" s="153" t="s">
        <v>188</v>
      </c>
      <c r="Q122" s="339">
        <v>4840915</v>
      </c>
      <c r="R122" s="340">
        <v>46083</v>
      </c>
      <c r="S122" s="330" t="s">
        <v>569</v>
      </c>
      <c r="T122" s="330">
        <v>12242</v>
      </c>
      <c r="V122" s="151">
        <f t="shared" si="40"/>
        <v>0</v>
      </c>
      <c r="W122" s="151">
        <f t="shared" si="41"/>
        <v>0</v>
      </c>
      <c r="X122" s="151">
        <f t="shared" si="42"/>
        <v>0</v>
      </c>
      <c r="Y122" s="151">
        <f t="shared" si="16"/>
        <v>0</v>
      </c>
    </row>
    <row r="123" spans="1:25" x14ac:dyDescent="0.25">
      <c r="A123" s="150"/>
      <c r="B123" s="158">
        <v>46082</v>
      </c>
      <c r="C123" s="153"/>
      <c r="D123" s="154"/>
      <c r="F123" s="203"/>
      <c r="G123" s="203"/>
      <c r="H123" s="203"/>
      <c r="I123" s="203"/>
      <c r="J123" s="203"/>
      <c r="K123" s="204"/>
      <c r="L123" s="150" t="str">
        <f t="shared" si="38"/>
        <v>Jan</v>
      </c>
      <c r="M123" s="150" t="str">
        <f t="shared" si="43"/>
        <v>00</v>
      </c>
      <c r="N123" s="153"/>
      <c r="V123" s="151">
        <f t="shared" si="40"/>
        <v>0</v>
      </c>
      <c r="W123" s="151">
        <f t="shared" si="41"/>
        <v>0</v>
      </c>
      <c r="X123" s="151">
        <f t="shared" si="42"/>
        <v>0</v>
      </c>
      <c r="Y123" s="151">
        <f t="shared" si="16"/>
        <v>0</v>
      </c>
    </row>
    <row r="124" spans="1:25" x14ac:dyDescent="0.25">
      <c r="A124" s="150"/>
      <c r="B124" s="158">
        <v>46113</v>
      </c>
      <c r="C124" s="153"/>
      <c r="D124" s="154"/>
      <c r="F124" s="203"/>
      <c r="G124" s="203"/>
      <c r="H124" s="203"/>
      <c r="I124" s="203"/>
      <c r="J124" s="203"/>
      <c r="K124" s="204"/>
      <c r="L124" s="150" t="str">
        <f t="shared" si="38"/>
        <v>Jan</v>
      </c>
      <c r="M124" s="150" t="str">
        <f t="shared" si="43"/>
        <v>00</v>
      </c>
      <c r="N124" s="153"/>
      <c r="V124" s="151">
        <f t="shared" si="40"/>
        <v>0</v>
      </c>
      <c r="W124" s="151">
        <f t="shared" si="41"/>
        <v>0</v>
      </c>
      <c r="X124" s="151">
        <f t="shared" si="42"/>
        <v>0</v>
      </c>
      <c r="Y124" s="151">
        <f t="shared" si="16"/>
        <v>0</v>
      </c>
    </row>
    <row r="125" spans="1:25" x14ac:dyDescent="0.25">
      <c r="A125" s="150"/>
      <c r="B125" s="158">
        <v>46143</v>
      </c>
      <c r="C125" s="153"/>
      <c r="D125" s="154"/>
      <c r="F125" s="203"/>
      <c r="G125" s="203"/>
      <c r="H125" s="203"/>
      <c r="I125" s="203"/>
      <c r="J125" s="203"/>
      <c r="K125" s="204"/>
      <c r="L125" s="150" t="str">
        <f t="shared" si="38"/>
        <v>Jan</v>
      </c>
      <c r="M125" s="150" t="str">
        <f t="shared" si="43"/>
        <v>00</v>
      </c>
      <c r="N125" s="153"/>
      <c r="V125" s="151">
        <f t="shared" si="40"/>
        <v>0</v>
      </c>
      <c r="W125" s="151">
        <f t="shared" si="41"/>
        <v>0</v>
      </c>
      <c r="X125" s="151">
        <f t="shared" si="42"/>
        <v>0</v>
      </c>
      <c r="Y125" s="151">
        <f t="shared" si="16"/>
        <v>0</v>
      </c>
    </row>
    <row r="126" spans="1:25" x14ac:dyDescent="0.25">
      <c r="A126" s="150"/>
      <c r="B126" s="158">
        <v>46174</v>
      </c>
      <c r="C126" s="153"/>
      <c r="D126" s="154"/>
      <c r="F126" s="203"/>
      <c r="G126" s="203"/>
      <c r="H126" s="203"/>
      <c r="I126" s="203"/>
      <c r="J126" s="203"/>
      <c r="K126" s="204"/>
      <c r="L126" s="150" t="str">
        <f t="shared" si="38"/>
        <v>Jan</v>
      </c>
      <c r="M126" s="150" t="str">
        <f t="shared" si="43"/>
        <v>00</v>
      </c>
      <c r="N126" s="153"/>
      <c r="V126" s="151">
        <f t="shared" si="40"/>
        <v>0</v>
      </c>
      <c r="W126" s="151">
        <f t="shared" si="41"/>
        <v>0</v>
      </c>
      <c r="X126" s="151">
        <f t="shared" si="42"/>
        <v>0</v>
      </c>
      <c r="Y126" s="151">
        <f t="shared" si="16"/>
        <v>0</v>
      </c>
    </row>
    <row r="127" spans="1:25" x14ac:dyDescent="0.25">
      <c r="A127" s="150"/>
      <c r="B127" s="158">
        <v>46204</v>
      </c>
      <c r="C127" s="153"/>
      <c r="D127" s="154"/>
      <c r="F127" s="203"/>
      <c r="G127" s="203"/>
      <c r="H127" s="203"/>
      <c r="I127" s="203"/>
      <c r="J127" s="203"/>
      <c r="K127" s="204"/>
      <c r="L127" s="150" t="str">
        <f t="shared" si="38"/>
        <v>Jan</v>
      </c>
      <c r="M127" s="150" t="str">
        <f t="shared" si="43"/>
        <v>00</v>
      </c>
      <c r="N127" s="153"/>
      <c r="V127" s="151">
        <f t="shared" si="40"/>
        <v>0</v>
      </c>
      <c r="W127" s="151">
        <f t="shared" si="41"/>
        <v>0</v>
      </c>
      <c r="X127" s="151">
        <f t="shared" si="42"/>
        <v>0</v>
      </c>
      <c r="Y127" s="151">
        <f t="shared" si="16"/>
        <v>0</v>
      </c>
    </row>
    <row r="128" spans="1:25" x14ac:dyDescent="0.25">
      <c r="A128" s="150"/>
      <c r="B128" s="158">
        <v>46235</v>
      </c>
      <c r="C128" s="153"/>
      <c r="D128" s="154"/>
      <c r="F128" s="203"/>
      <c r="G128" s="203"/>
      <c r="H128" s="203"/>
      <c r="I128" s="203"/>
      <c r="J128" s="203"/>
      <c r="K128" s="204"/>
      <c r="L128" s="150" t="str">
        <f t="shared" si="38"/>
        <v>Jan</v>
      </c>
      <c r="M128" s="150" t="str">
        <f t="shared" si="43"/>
        <v>00</v>
      </c>
      <c r="N128" s="153"/>
      <c r="V128" s="151">
        <f t="shared" si="40"/>
        <v>0</v>
      </c>
      <c r="W128" s="151">
        <f t="shared" si="41"/>
        <v>0</v>
      </c>
      <c r="X128" s="151">
        <f t="shared" si="42"/>
        <v>0</v>
      </c>
      <c r="Y128" s="151">
        <f t="shared" si="16"/>
        <v>0</v>
      </c>
    </row>
    <row r="129" spans="1:25" x14ac:dyDescent="0.25">
      <c r="A129" s="150"/>
      <c r="B129" s="158">
        <v>46266</v>
      </c>
      <c r="C129" s="153"/>
      <c r="D129" s="154"/>
      <c r="F129" s="203"/>
      <c r="G129" s="203"/>
      <c r="H129" s="203"/>
      <c r="I129" s="203"/>
      <c r="J129" s="203"/>
      <c r="K129" s="204"/>
      <c r="L129" s="150" t="str">
        <f t="shared" si="38"/>
        <v>Jan</v>
      </c>
      <c r="M129" s="150" t="str">
        <f t="shared" si="43"/>
        <v>00</v>
      </c>
      <c r="N129" s="153"/>
      <c r="V129" s="151">
        <f t="shared" si="40"/>
        <v>0</v>
      </c>
      <c r="W129" s="151">
        <f t="shared" si="41"/>
        <v>0</v>
      </c>
      <c r="X129" s="151">
        <f t="shared" si="42"/>
        <v>0</v>
      </c>
      <c r="Y129" s="151">
        <f t="shared" si="16"/>
        <v>0</v>
      </c>
    </row>
    <row r="130" spans="1:25" x14ac:dyDescent="0.25">
      <c r="A130" s="150"/>
      <c r="B130" s="158">
        <v>46296</v>
      </c>
      <c r="C130" s="153"/>
      <c r="D130" s="154"/>
      <c r="F130" s="203"/>
      <c r="G130" s="203"/>
      <c r="H130" s="203"/>
      <c r="I130" s="203"/>
      <c r="J130" s="203"/>
      <c r="K130" s="204"/>
      <c r="L130" s="150" t="str">
        <f t="shared" si="38"/>
        <v>Jan</v>
      </c>
      <c r="M130" s="150" t="str">
        <f t="shared" si="43"/>
        <v>00</v>
      </c>
      <c r="N130" s="153"/>
      <c r="V130" s="151">
        <f t="shared" si="40"/>
        <v>0</v>
      </c>
      <c r="W130" s="151">
        <f t="shared" si="41"/>
        <v>0</v>
      </c>
      <c r="X130" s="151">
        <f t="shared" si="42"/>
        <v>0</v>
      </c>
      <c r="Y130" s="151">
        <f t="shared" si="16"/>
        <v>0</v>
      </c>
    </row>
    <row r="131" spans="1:25" x14ac:dyDescent="0.25">
      <c r="A131" s="150"/>
      <c r="B131" s="158">
        <v>46327</v>
      </c>
      <c r="C131" s="153"/>
      <c r="D131" s="154"/>
      <c r="F131" s="203"/>
      <c r="G131" s="203"/>
      <c r="H131" s="203"/>
      <c r="I131" s="203"/>
      <c r="J131" s="203"/>
      <c r="K131" s="204"/>
      <c r="L131" s="150" t="str">
        <f t="shared" si="38"/>
        <v>Jan</v>
      </c>
      <c r="M131" s="150" t="str">
        <f t="shared" si="43"/>
        <v>00</v>
      </c>
      <c r="N131" s="153"/>
      <c r="V131" s="151">
        <f t="shared" si="40"/>
        <v>0</v>
      </c>
      <c r="W131" s="151">
        <f t="shared" si="41"/>
        <v>0</v>
      </c>
      <c r="X131" s="151">
        <f t="shared" si="42"/>
        <v>0</v>
      </c>
      <c r="Y131" s="151">
        <f t="shared" ref="Y131:Y194" si="44">V131+W131+X131</f>
        <v>0</v>
      </c>
    </row>
    <row r="132" spans="1:25" x14ac:dyDescent="0.25">
      <c r="A132" s="150"/>
      <c r="B132" s="158">
        <v>46357</v>
      </c>
      <c r="C132" s="153"/>
      <c r="D132" s="154"/>
      <c r="F132" s="203"/>
      <c r="G132" s="203"/>
      <c r="H132" s="203"/>
      <c r="I132" s="203"/>
      <c r="J132" s="203"/>
      <c r="K132" s="204"/>
      <c r="L132" s="150" t="str">
        <f t="shared" si="38"/>
        <v>Jan</v>
      </c>
      <c r="M132" s="150" t="str">
        <f t="shared" si="43"/>
        <v>00</v>
      </c>
      <c r="N132" s="153"/>
      <c r="V132" s="151">
        <f t="shared" si="40"/>
        <v>0</v>
      </c>
      <c r="W132" s="151">
        <f t="shared" si="41"/>
        <v>0</v>
      </c>
      <c r="X132" s="151">
        <f t="shared" si="42"/>
        <v>0</v>
      </c>
      <c r="Y132" s="151">
        <f t="shared" si="44"/>
        <v>0</v>
      </c>
    </row>
    <row r="133" spans="1:25" x14ac:dyDescent="0.25">
      <c r="A133" s="150"/>
      <c r="B133" s="158">
        <v>46388</v>
      </c>
      <c r="C133" s="153"/>
      <c r="D133" s="154"/>
      <c r="F133" s="203"/>
      <c r="G133" s="203"/>
      <c r="H133" s="203"/>
      <c r="I133" s="203"/>
      <c r="J133" s="203"/>
      <c r="K133" s="204"/>
      <c r="L133" s="150" t="str">
        <f t="shared" si="38"/>
        <v>Jan</v>
      </c>
      <c r="M133" s="150" t="str">
        <f t="shared" si="43"/>
        <v>00</v>
      </c>
      <c r="N133" s="153"/>
      <c r="V133" s="151">
        <f t="shared" si="40"/>
        <v>0</v>
      </c>
      <c r="W133" s="151">
        <f t="shared" si="41"/>
        <v>0</v>
      </c>
      <c r="X133" s="151">
        <f t="shared" si="42"/>
        <v>0</v>
      </c>
      <c r="Y133" s="151">
        <f t="shared" si="44"/>
        <v>0</v>
      </c>
    </row>
    <row r="134" spans="1:25" x14ac:dyDescent="0.25">
      <c r="A134" s="150"/>
      <c r="B134" s="158">
        <v>46419</v>
      </c>
      <c r="C134" s="153"/>
      <c r="D134" s="154"/>
      <c r="F134" s="203"/>
      <c r="G134" s="203"/>
      <c r="H134" s="203"/>
      <c r="I134" s="203"/>
      <c r="J134" s="203"/>
      <c r="K134" s="204"/>
      <c r="L134" s="150" t="str">
        <f t="shared" si="38"/>
        <v>Jan</v>
      </c>
      <c r="M134" s="150" t="str">
        <f t="shared" si="43"/>
        <v>00</v>
      </c>
      <c r="N134" s="153"/>
      <c r="V134" s="151">
        <f t="shared" si="40"/>
        <v>0</v>
      </c>
      <c r="W134" s="151">
        <f t="shared" si="41"/>
        <v>0</v>
      </c>
      <c r="X134" s="151">
        <f t="shared" si="42"/>
        <v>0</v>
      </c>
      <c r="Y134" s="151">
        <f t="shared" si="44"/>
        <v>0</v>
      </c>
    </row>
    <row r="135" spans="1:25" x14ac:dyDescent="0.25">
      <c r="A135" s="150"/>
      <c r="B135" s="158">
        <v>46447</v>
      </c>
      <c r="C135" s="153"/>
      <c r="D135" s="154"/>
      <c r="F135" s="203"/>
      <c r="G135" s="203"/>
      <c r="H135" s="203"/>
      <c r="I135" s="203"/>
      <c r="J135" s="203"/>
      <c r="K135" s="204"/>
      <c r="L135" s="150" t="str">
        <f t="shared" si="38"/>
        <v>Jan</v>
      </c>
      <c r="M135" s="150" t="str">
        <f t="shared" si="43"/>
        <v>00</v>
      </c>
      <c r="N135" s="153"/>
      <c r="V135" s="151">
        <f t="shared" si="40"/>
        <v>0</v>
      </c>
      <c r="W135" s="151">
        <f t="shared" si="41"/>
        <v>0</v>
      </c>
      <c r="X135" s="151">
        <f t="shared" si="42"/>
        <v>0</v>
      </c>
      <c r="Y135" s="151">
        <f t="shared" si="44"/>
        <v>0</v>
      </c>
    </row>
    <row r="136" spans="1:25" x14ac:dyDescent="0.25">
      <c r="A136" s="150"/>
      <c r="B136" s="158">
        <v>46478</v>
      </c>
      <c r="C136" s="153"/>
      <c r="D136" s="154"/>
      <c r="F136" s="203"/>
      <c r="G136" s="203"/>
      <c r="H136" s="203"/>
      <c r="I136" s="203"/>
      <c r="J136" s="203"/>
      <c r="K136" s="204"/>
      <c r="L136" s="150" t="str">
        <f t="shared" si="38"/>
        <v>Jan</v>
      </c>
      <c r="M136" s="150" t="str">
        <f t="shared" si="43"/>
        <v>00</v>
      </c>
      <c r="N136" s="153"/>
      <c r="V136" s="151">
        <f t="shared" si="40"/>
        <v>0</v>
      </c>
      <c r="W136" s="151">
        <f t="shared" si="41"/>
        <v>0</v>
      </c>
      <c r="X136" s="151">
        <f t="shared" si="42"/>
        <v>0</v>
      </c>
      <c r="Y136" s="151">
        <f t="shared" si="44"/>
        <v>0</v>
      </c>
    </row>
    <row r="137" spans="1:25" x14ac:dyDescent="0.25">
      <c r="A137" s="150"/>
      <c r="B137" s="158">
        <v>46508</v>
      </c>
      <c r="C137" s="153"/>
      <c r="D137" s="154"/>
      <c r="F137" s="203"/>
      <c r="G137" s="203"/>
      <c r="H137" s="203"/>
      <c r="I137" s="203"/>
      <c r="J137" s="203"/>
      <c r="K137" s="204"/>
      <c r="L137" s="150" t="str">
        <f t="shared" si="38"/>
        <v>Jan</v>
      </c>
      <c r="M137" s="150" t="str">
        <f t="shared" si="43"/>
        <v>00</v>
      </c>
      <c r="N137" s="153"/>
      <c r="Q137" s="150"/>
      <c r="V137" s="151">
        <f t="shared" si="40"/>
        <v>0</v>
      </c>
      <c r="W137" s="151">
        <f t="shared" si="41"/>
        <v>0</v>
      </c>
      <c r="X137" s="151">
        <f t="shared" si="42"/>
        <v>0</v>
      </c>
      <c r="Y137" s="151">
        <f t="shared" si="44"/>
        <v>0</v>
      </c>
    </row>
    <row r="138" spans="1:25" x14ac:dyDescent="0.25">
      <c r="A138" s="150"/>
      <c r="B138" s="158">
        <v>46539</v>
      </c>
      <c r="C138" s="153"/>
      <c r="D138" s="154"/>
      <c r="F138" s="203"/>
      <c r="G138" s="203"/>
      <c r="H138" s="203"/>
      <c r="I138" s="203"/>
      <c r="J138" s="203"/>
      <c r="K138" s="204"/>
      <c r="L138" s="150" t="str">
        <f t="shared" si="38"/>
        <v>Jan</v>
      </c>
      <c r="M138" s="150" t="str">
        <f t="shared" si="43"/>
        <v>00</v>
      </c>
      <c r="N138" s="153"/>
      <c r="V138" s="151">
        <f t="shared" si="40"/>
        <v>0</v>
      </c>
      <c r="W138" s="151">
        <f t="shared" si="41"/>
        <v>0</v>
      </c>
      <c r="X138" s="151">
        <f t="shared" si="42"/>
        <v>0</v>
      </c>
      <c r="Y138" s="151">
        <f t="shared" si="44"/>
        <v>0</v>
      </c>
    </row>
    <row r="139" spans="1:25" x14ac:dyDescent="0.25">
      <c r="A139" s="150"/>
      <c r="B139" s="158">
        <v>46569</v>
      </c>
      <c r="C139" s="153"/>
      <c r="D139" s="154"/>
      <c r="F139" s="203"/>
      <c r="G139" s="203"/>
      <c r="H139" s="203"/>
      <c r="I139" s="203"/>
      <c r="J139" s="203"/>
      <c r="K139" s="204"/>
      <c r="L139" s="150" t="str">
        <f t="shared" si="38"/>
        <v>Jan</v>
      </c>
      <c r="M139" s="150" t="str">
        <f t="shared" si="43"/>
        <v>00</v>
      </c>
      <c r="N139" s="153"/>
      <c r="V139" s="151">
        <f t="shared" si="40"/>
        <v>0</v>
      </c>
      <c r="W139" s="151">
        <f t="shared" si="41"/>
        <v>0</v>
      </c>
      <c r="X139" s="151">
        <f t="shared" si="42"/>
        <v>0</v>
      </c>
      <c r="Y139" s="151">
        <f t="shared" si="44"/>
        <v>0</v>
      </c>
    </row>
    <row r="140" spans="1:25" x14ac:dyDescent="0.25">
      <c r="A140" s="150"/>
      <c r="B140" s="158">
        <v>46600</v>
      </c>
      <c r="C140" s="153"/>
      <c r="D140" s="154"/>
      <c r="F140" s="203"/>
      <c r="G140" s="203"/>
      <c r="H140" s="203"/>
      <c r="I140" s="203"/>
      <c r="J140" s="203"/>
      <c r="K140" s="204"/>
      <c r="L140" s="150" t="str">
        <f t="shared" si="38"/>
        <v>Jan</v>
      </c>
      <c r="M140" s="150" t="str">
        <f t="shared" si="43"/>
        <v>00</v>
      </c>
      <c r="N140" s="153"/>
      <c r="V140" s="151">
        <f t="shared" si="40"/>
        <v>0</v>
      </c>
      <c r="W140" s="151">
        <f t="shared" si="41"/>
        <v>0</v>
      </c>
      <c r="X140" s="151">
        <f t="shared" si="42"/>
        <v>0</v>
      </c>
      <c r="Y140" s="151">
        <f t="shared" si="44"/>
        <v>0</v>
      </c>
    </row>
    <row r="141" spans="1:25" x14ac:dyDescent="0.25">
      <c r="A141" s="150"/>
      <c r="B141" s="158">
        <v>46631</v>
      </c>
      <c r="C141" s="153"/>
      <c r="D141" s="153"/>
      <c r="L141" s="150" t="str">
        <f t="shared" si="38"/>
        <v>Jan</v>
      </c>
      <c r="M141" s="150" t="str">
        <f t="shared" si="43"/>
        <v>00</v>
      </c>
      <c r="N141" s="153"/>
      <c r="V141" s="151">
        <f t="shared" si="40"/>
        <v>0</v>
      </c>
      <c r="W141" s="151">
        <f t="shared" si="41"/>
        <v>0</v>
      </c>
      <c r="X141" s="151">
        <f t="shared" si="42"/>
        <v>0</v>
      </c>
      <c r="Y141" s="151">
        <f t="shared" si="44"/>
        <v>0</v>
      </c>
    </row>
    <row r="142" spans="1:25" x14ac:dyDescent="0.25">
      <c r="A142" s="150"/>
      <c r="B142" s="158">
        <v>46661</v>
      </c>
      <c r="C142" s="153"/>
      <c r="D142" s="153"/>
      <c r="L142" s="150" t="str">
        <f t="shared" si="38"/>
        <v>Jan</v>
      </c>
      <c r="M142" s="150" t="str">
        <f t="shared" si="43"/>
        <v>00</v>
      </c>
      <c r="N142" s="153"/>
      <c r="V142" s="151">
        <f t="shared" si="40"/>
        <v>0</v>
      </c>
      <c r="W142" s="151">
        <f t="shared" si="41"/>
        <v>0</v>
      </c>
      <c r="X142" s="151">
        <f t="shared" si="42"/>
        <v>0</v>
      </c>
      <c r="Y142" s="151">
        <f t="shared" si="44"/>
        <v>0</v>
      </c>
    </row>
    <row r="143" spans="1:25" x14ac:dyDescent="0.25">
      <c r="A143" s="150"/>
      <c r="B143" s="158">
        <v>46692</v>
      </c>
      <c r="C143" s="153"/>
      <c r="D143" s="153"/>
      <c r="L143" s="150" t="str">
        <f t="shared" si="38"/>
        <v>Jan</v>
      </c>
      <c r="M143" s="150" t="str">
        <f t="shared" si="43"/>
        <v>00</v>
      </c>
      <c r="N143" s="153"/>
      <c r="V143" s="151">
        <f t="shared" si="40"/>
        <v>0</v>
      </c>
      <c r="W143" s="151">
        <f t="shared" si="41"/>
        <v>0</v>
      </c>
      <c r="X143" s="151">
        <f t="shared" si="42"/>
        <v>0</v>
      </c>
      <c r="Y143" s="151">
        <f t="shared" si="44"/>
        <v>0</v>
      </c>
    </row>
    <row r="144" spans="1:25" x14ac:dyDescent="0.25">
      <c r="A144" s="150"/>
      <c r="B144" s="158">
        <v>46722</v>
      </c>
      <c r="C144" s="153"/>
      <c r="D144" s="153"/>
      <c r="L144" s="150" t="str">
        <f t="shared" si="38"/>
        <v>Jan</v>
      </c>
      <c r="M144" s="150" t="str">
        <f t="shared" si="43"/>
        <v>00</v>
      </c>
      <c r="N144" s="153"/>
      <c r="V144" s="151">
        <f t="shared" si="40"/>
        <v>0</v>
      </c>
      <c r="W144" s="151">
        <f t="shared" si="41"/>
        <v>0</v>
      </c>
      <c r="X144" s="151">
        <f t="shared" si="42"/>
        <v>0</v>
      </c>
      <c r="Y144" s="151">
        <f t="shared" si="44"/>
        <v>0</v>
      </c>
    </row>
    <row r="145" spans="1:25" x14ac:dyDescent="0.25">
      <c r="A145" s="150"/>
      <c r="B145" s="158">
        <v>46753</v>
      </c>
      <c r="C145" s="153"/>
      <c r="D145" s="153"/>
      <c r="L145" s="150" t="str">
        <f t="shared" si="38"/>
        <v>Jan</v>
      </c>
      <c r="M145" s="150" t="str">
        <f t="shared" si="43"/>
        <v>00</v>
      </c>
      <c r="N145" s="153"/>
      <c r="V145" s="151">
        <f t="shared" si="40"/>
        <v>0</v>
      </c>
      <c r="W145" s="151">
        <f t="shared" si="41"/>
        <v>0</v>
      </c>
      <c r="X145" s="151">
        <f t="shared" si="42"/>
        <v>0</v>
      </c>
      <c r="Y145" s="151">
        <f t="shared" si="44"/>
        <v>0</v>
      </c>
    </row>
    <row r="146" spans="1:25" x14ac:dyDescent="0.25">
      <c r="A146" s="150"/>
      <c r="B146" s="158">
        <v>46784</v>
      </c>
      <c r="C146" s="153"/>
      <c r="D146" s="153"/>
      <c r="L146" s="150" t="str">
        <f t="shared" si="38"/>
        <v>Jan</v>
      </c>
      <c r="M146" s="150" t="str">
        <f t="shared" si="43"/>
        <v>00</v>
      </c>
      <c r="N146" s="153"/>
      <c r="V146" s="151">
        <f t="shared" si="40"/>
        <v>0</v>
      </c>
      <c r="W146" s="151">
        <f t="shared" si="41"/>
        <v>0</v>
      </c>
      <c r="X146" s="151">
        <f t="shared" si="42"/>
        <v>0</v>
      </c>
      <c r="Y146" s="151">
        <f t="shared" si="44"/>
        <v>0</v>
      </c>
    </row>
    <row r="147" spans="1:25" x14ac:dyDescent="0.25">
      <c r="A147" s="150"/>
      <c r="B147" s="158">
        <v>46813</v>
      </c>
      <c r="C147" s="153"/>
      <c r="D147" s="153"/>
      <c r="L147" s="150" t="str">
        <f t="shared" si="38"/>
        <v>Jan</v>
      </c>
      <c r="M147" s="150" t="str">
        <f t="shared" si="43"/>
        <v>00</v>
      </c>
      <c r="N147" s="153"/>
      <c r="V147" s="151">
        <f t="shared" si="40"/>
        <v>0</v>
      </c>
      <c r="W147" s="151">
        <f t="shared" si="41"/>
        <v>0</v>
      </c>
      <c r="X147" s="151">
        <f t="shared" si="42"/>
        <v>0</v>
      </c>
      <c r="Y147" s="151">
        <f t="shared" si="44"/>
        <v>0</v>
      </c>
    </row>
    <row r="148" spans="1:25" x14ac:dyDescent="0.25">
      <c r="A148" s="150"/>
      <c r="B148" s="158">
        <v>46844</v>
      </c>
      <c r="C148" s="153"/>
      <c r="D148" s="153"/>
      <c r="L148" s="150" t="str">
        <f t="shared" si="38"/>
        <v>Jan</v>
      </c>
      <c r="M148" s="150" t="str">
        <f t="shared" si="43"/>
        <v>00</v>
      </c>
      <c r="N148" s="153"/>
      <c r="V148" s="151">
        <f t="shared" si="40"/>
        <v>0</v>
      </c>
      <c r="W148" s="151">
        <f t="shared" si="41"/>
        <v>0</v>
      </c>
      <c r="X148" s="151">
        <f t="shared" si="42"/>
        <v>0</v>
      </c>
      <c r="Y148" s="151">
        <f t="shared" si="44"/>
        <v>0</v>
      </c>
    </row>
    <row r="149" spans="1:25" x14ac:dyDescent="0.25">
      <c r="A149" s="150"/>
      <c r="B149" s="158">
        <v>46874</v>
      </c>
      <c r="C149" s="153"/>
      <c r="D149" s="153"/>
      <c r="L149" s="150" t="str">
        <f t="shared" si="38"/>
        <v>Jan</v>
      </c>
      <c r="M149" s="150" t="str">
        <f t="shared" si="43"/>
        <v>00</v>
      </c>
      <c r="N149" s="153"/>
      <c r="V149" s="151">
        <f t="shared" si="40"/>
        <v>0</v>
      </c>
      <c r="W149" s="151">
        <f t="shared" si="41"/>
        <v>0</v>
      </c>
      <c r="X149" s="151">
        <f t="shared" si="42"/>
        <v>0</v>
      </c>
      <c r="Y149" s="151">
        <f t="shared" si="44"/>
        <v>0</v>
      </c>
    </row>
    <row r="150" spans="1:25" x14ac:dyDescent="0.25">
      <c r="A150" s="150"/>
      <c r="B150" s="158">
        <v>46905</v>
      </c>
      <c r="C150" s="153"/>
      <c r="D150" s="153"/>
      <c r="L150" s="150" t="str">
        <f t="shared" si="38"/>
        <v>Jan</v>
      </c>
      <c r="M150" s="150" t="str">
        <f t="shared" si="43"/>
        <v>00</v>
      </c>
      <c r="N150" s="153"/>
      <c r="V150" s="151">
        <f t="shared" si="40"/>
        <v>0</v>
      </c>
      <c r="W150" s="151">
        <f t="shared" si="41"/>
        <v>0</v>
      </c>
      <c r="X150" s="151">
        <f t="shared" si="42"/>
        <v>0</v>
      </c>
      <c r="Y150" s="151">
        <f t="shared" si="44"/>
        <v>0</v>
      </c>
    </row>
    <row r="151" spans="1:25" x14ac:dyDescent="0.25">
      <c r="A151" s="150"/>
      <c r="B151" s="158">
        <v>46935</v>
      </c>
      <c r="C151" s="153"/>
      <c r="D151" s="153"/>
      <c r="L151" s="150" t="str">
        <f t="shared" si="38"/>
        <v>Jan</v>
      </c>
      <c r="M151" s="150" t="str">
        <f t="shared" si="43"/>
        <v>00</v>
      </c>
      <c r="N151" s="153"/>
      <c r="V151" s="151">
        <f t="shared" si="40"/>
        <v>0</v>
      </c>
      <c r="W151" s="151">
        <f t="shared" si="41"/>
        <v>0</v>
      </c>
      <c r="X151" s="151">
        <f t="shared" si="42"/>
        <v>0</v>
      </c>
      <c r="Y151" s="151">
        <f t="shared" si="44"/>
        <v>0</v>
      </c>
    </row>
    <row r="152" spans="1:25" x14ac:dyDescent="0.25">
      <c r="A152" s="150"/>
      <c r="B152" s="158">
        <v>46966</v>
      </c>
      <c r="C152" s="153"/>
      <c r="D152" s="153"/>
      <c r="L152" s="150" t="str">
        <f t="shared" si="38"/>
        <v>Jan</v>
      </c>
      <c r="M152" s="150" t="str">
        <f t="shared" si="43"/>
        <v>00</v>
      </c>
      <c r="N152" s="153"/>
      <c r="V152" s="151">
        <f t="shared" si="40"/>
        <v>0</v>
      </c>
      <c r="W152" s="151">
        <f t="shared" si="41"/>
        <v>0</v>
      </c>
      <c r="X152" s="151">
        <f t="shared" si="42"/>
        <v>0</v>
      </c>
      <c r="Y152" s="151">
        <f t="shared" si="44"/>
        <v>0</v>
      </c>
    </row>
    <row r="153" spans="1:25" x14ac:dyDescent="0.25">
      <c r="A153" s="150"/>
      <c r="B153" s="158">
        <v>46997</v>
      </c>
      <c r="C153" s="153"/>
      <c r="D153" s="153"/>
      <c r="L153" s="150" t="str">
        <f t="shared" si="38"/>
        <v>Jan</v>
      </c>
      <c r="M153" s="150" t="str">
        <f t="shared" si="43"/>
        <v>00</v>
      </c>
      <c r="N153" s="153"/>
      <c r="V153" s="151">
        <f t="shared" si="40"/>
        <v>0</v>
      </c>
      <c r="W153" s="151">
        <f t="shared" si="41"/>
        <v>0</v>
      </c>
      <c r="X153" s="151">
        <f t="shared" si="42"/>
        <v>0</v>
      </c>
      <c r="Y153" s="151">
        <f t="shared" si="44"/>
        <v>0</v>
      </c>
    </row>
    <row r="154" spans="1:25" x14ac:dyDescent="0.25">
      <c r="A154" s="150"/>
      <c r="B154" s="158">
        <v>47027</v>
      </c>
      <c r="C154" s="153"/>
      <c r="D154" s="153"/>
      <c r="L154" s="150" t="str">
        <f t="shared" si="38"/>
        <v>Jan</v>
      </c>
      <c r="M154" s="150" t="str">
        <f t="shared" si="43"/>
        <v>00</v>
      </c>
      <c r="N154" s="153"/>
      <c r="V154" s="151">
        <f t="shared" si="40"/>
        <v>0</v>
      </c>
      <c r="W154" s="151">
        <f t="shared" si="41"/>
        <v>0</v>
      </c>
      <c r="X154" s="151">
        <f t="shared" si="42"/>
        <v>0</v>
      </c>
      <c r="Y154" s="151">
        <f t="shared" si="44"/>
        <v>0</v>
      </c>
    </row>
    <row r="155" spans="1:25" x14ac:dyDescent="0.25">
      <c r="A155" s="150"/>
      <c r="B155" s="158">
        <v>47058</v>
      </c>
      <c r="C155" s="153"/>
      <c r="D155" s="153"/>
      <c r="L155" s="150" t="str">
        <f t="shared" si="38"/>
        <v>Jan</v>
      </c>
      <c r="M155" s="150" t="str">
        <f t="shared" si="43"/>
        <v>00</v>
      </c>
      <c r="N155" s="153"/>
      <c r="V155" s="151">
        <f t="shared" si="40"/>
        <v>0</v>
      </c>
      <c r="W155" s="151">
        <f t="shared" si="41"/>
        <v>0</v>
      </c>
      <c r="X155" s="151">
        <f t="shared" si="42"/>
        <v>0</v>
      </c>
      <c r="Y155" s="151">
        <f t="shared" si="44"/>
        <v>0</v>
      </c>
    </row>
    <row r="156" spans="1:25" x14ac:dyDescent="0.25">
      <c r="A156" s="150"/>
      <c r="B156" s="158">
        <v>47088</v>
      </c>
      <c r="C156" s="153"/>
      <c r="D156" s="153"/>
      <c r="L156" s="150" t="str">
        <f t="shared" si="38"/>
        <v>Jan</v>
      </c>
      <c r="M156" s="150" t="str">
        <f t="shared" si="43"/>
        <v>00</v>
      </c>
      <c r="N156" s="153"/>
      <c r="V156" s="151">
        <f t="shared" si="40"/>
        <v>0</v>
      </c>
      <c r="W156" s="151">
        <f t="shared" si="41"/>
        <v>0</v>
      </c>
      <c r="X156" s="151">
        <f t="shared" si="42"/>
        <v>0</v>
      </c>
      <c r="Y156" s="151">
        <f t="shared" si="44"/>
        <v>0</v>
      </c>
    </row>
    <row r="157" spans="1:25" x14ac:dyDescent="0.25">
      <c r="A157" s="150"/>
      <c r="B157" s="158">
        <v>47119</v>
      </c>
      <c r="C157" s="153"/>
      <c r="D157" s="153"/>
      <c r="L157" s="150" t="str">
        <f t="shared" si="38"/>
        <v>Jan</v>
      </c>
      <c r="M157" s="150" t="str">
        <f t="shared" si="43"/>
        <v>00</v>
      </c>
      <c r="N157" s="153"/>
      <c r="V157" s="151">
        <f t="shared" si="40"/>
        <v>0</v>
      </c>
      <c r="W157" s="151">
        <f t="shared" si="41"/>
        <v>0</v>
      </c>
      <c r="X157" s="151">
        <f t="shared" si="42"/>
        <v>0</v>
      </c>
      <c r="Y157" s="151">
        <f t="shared" si="44"/>
        <v>0</v>
      </c>
    </row>
    <row r="158" spans="1:25" x14ac:dyDescent="0.25">
      <c r="A158" s="150"/>
      <c r="B158" s="158">
        <v>47150</v>
      </c>
      <c r="C158" s="153"/>
      <c r="D158" s="153"/>
      <c r="L158" s="150" t="str">
        <f t="shared" ref="L158:L221" si="45">TEXT(E158,"mmm")</f>
        <v>Jan</v>
      </c>
      <c r="M158" s="150" t="str">
        <f t="shared" si="43"/>
        <v>00</v>
      </c>
      <c r="N158" s="153"/>
      <c r="V158" s="151">
        <f t="shared" si="40"/>
        <v>0</v>
      </c>
      <c r="W158" s="151">
        <f t="shared" si="41"/>
        <v>0</v>
      </c>
      <c r="X158" s="151">
        <f t="shared" si="42"/>
        <v>0</v>
      </c>
      <c r="Y158" s="151">
        <f t="shared" si="44"/>
        <v>0</v>
      </c>
    </row>
    <row r="159" spans="1:25" x14ac:dyDescent="0.25">
      <c r="A159" s="150"/>
      <c r="B159" s="158">
        <v>47178</v>
      </c>
      <c r="C159" s="153"/>
      <c r="D159" s="153"/>
      <c r="L159" s="150" t="str">
        <f t="shared" si="45"/>
        <v>Jan</v>
      </c>
      <c r="M159" s="150" t="str">
        <f t="shared" si="43"/>
        <v>00</v>
      </c>
      <c r="N159" s="153"/>
      <c r="V159" s="151">
        <f t="shared" si="40"/>
        <v>0</v>
      </c>
      <c r="W159" s="151">
        <f t="shared" si="41"/>
        <v>0</v>
      </c>
      <c r="X159" s="151">
        <f t="shared" si="42"/>
        <v>0</v>
      </c>
      <c r="Y159" s="151">
        <f t="shared" si="44"/>
        <v>0</v>
      </c>
    </row>
    <row r="160" spans="1:25" x14ac:dyDescent="0.25">
      <c r="A160" s="150"/>
      <c r="B160" s="158">
        <v>47209</v>
      </c>
      <c r="C160" s="153"/>
      <c r="D160" s="153"/>
      <c r="L160" s="150" t="str">
        <f t="shared" si="45"/>
        <v>Jan</v>
      </c>
      <c r="M160" s="150" t="str">
        <f t="shared" si="43"/>
        <v>00</v>
      </c>
      <c r="N160" s="153"/>
      <c r="V160" s="151">
        <f t="shared" ref="V160:V223" si="46">F160-Q160</f>
        <v>0</v>
      </c>
      <c r="W160" s="151">
        <f t="shared" ref="W160:W223" si="47">E160-R160</f>
        <v>0</v>
      </c>
      <c r="X160" s="151">
        <f t="shared" ref="X160:X223" si="48">G160-T160</f>
        <v>0</v>
      </c>
      <c r="Y160" s="151">
        <f t="shared" si="44"/>
        <v>0</v>
      </c>
    </row>
    <row r="161" spans="1:25" x14ac:dyDescent="0.25">
      <c r="A161" s="150"/>
      <c r="B161" s="158">
        <v>47239</v>
      </c>
      <c r="C161" s="153"/>
      <c r="D161" s="153"/>
      <c r="L161" s="150" t="str">
        <f t="shared" si="45"/>
        <v>Jan</v>
      </c>
      <c r="M161" s="150" t="str">
        <f t="shared" si="43"/>
        <v>00</v>
      </c>
      <c r="N161" s="153"/>
      <c r="V161" s="151">
        <f t="shared" si="46"/>
        <v>0</v>
      </c>
      <c r="W161" s="151">
        <f t="shared" si="47"/>
        <v>0</v>
      </c>
      <c r="X161" s="151">
        <f t="shared" si="48"/>
        <v>0</v>
      </c>
      <c r="Y161" s="151">
        <f t="shared" si="44"/>
        <v>0</v>
      </c>
    </row>
    <row r="162" spans="1:25" x14ac:dyDescent="0.25">
      <c r="A162" s="150"/>
      <c r="B162" s="158">
        <v>47270</v>
      </c>
      <c r="C162" s="153"/>
      <c r="D162" s="153"/>
      <c r="L162" s="150" t="str">
        <f t="shared" si="45"/>
        <v>Jan</v>
      </c>
      <c r="M162" s="150" t="str">
        <f t="shared" si="43"/>
        <v>00</v>
      </c>
      <c r="N162" s="153"/>
      <c r="V162" s="151">
        <f t="shared" si="46"/>
        <v>0</v>
      </c>
      <c r="W162" s="151">
        <f t="shared" si="47"/>
        <v>0</v>
      </c>
      <c r="X162" s="151">
        <f t="shared" si="48"/>
        <v>0</v>
      </c>
      <c r="Y162" s="151">
        <f t="shared" si="44"/>
        <v>0</v>
      </c>
    </row>
    <row r="163" spans="1:25" x14ac:dyDescent="0.25">
      <c r="A163" s="150"/>
      <c r="B163" s="158">
        <v>47300</v>
      </c>
      <c r="C163" s="153"/>
      <c r="D163" s="153"/>
      <c r="E163" s="178"/>
      <c r="L163" s="150" t="str">
        <f t="shared" si="45"/>
        <v>Jan</v>
      </c>
      <c r="M163" s="150" t="str">
        <f t="shared" si="43"/>
        <v>00</v>
      </c>
      <c r="N163" s="153"/>
      <c r="V163" s="151">
        <f t="shared" si="46"/>
        <v>0</v>
      </c>
      <c r="W163" s="151">
        <f t="shared" si="47"/>
        <v>0</v>
      </c>
      <c r="X163" s="151">
        <f t="shared" si="48"/>
        <v>0</v>
      </c>
      <c r="Y163" s="151">
        <f t="shared" si="44"/>
        <v>0</v>
      </c>
    </row>
    <row r="164" spans="1:25" x14ac:dyDescent="0.25">
      <c r="A164" s="150"/>
      <c r="B164" s="158">
        <v>47331</v>
      </c>
      <c r="C164" s="153"/>
      <c r="D164" s="153"/>
      <c r="E164" s="178"/>
      <c r="L164" s="150" t="str">
        <f t="shared" si="45"/>
        <v>Jan</v>
      </c>
      <c r="M164" s="150" t="str">
        <f t="shared" si="43"/>
        <v>00</v>
      </c>
      <c r="N164" s="153"/>
      <c r="V164" s="151">
        <f t="shared" si="46"/>
        <v>0</v>
      </c>
      <c r="W164" s="151">
        <f t="shared" si="47"/>
        <v>0</v>
      </c>
      <c r="X164" s="151">
        <f t="shared" si="48"/>
        <v>0</v>
      </c>
      <c r="Y164" s="151">
        <f t="shared" si="44"/>
        <v>0</v>
      </c>
    </row>
    <row r="165" spans="1:25" x14ac:dyDescent="0.25">
      <c r="A165" s="150"/>
      <c r="B165" s="158">
        <v>47362</v>
      </c>
      <c r="C165" s="153"/>
      <c r="D165" s="153"/>
      <c r="E165" s="178"/>
      <c r="L165" s="150" t="str">
        <f t="shared" si="45"/>
        <v>Jan</v>
      </c>
      <c r="M165" s="150" t="str">
        <f t="shared" si="43"/>
        <v>00</v>
      </c>
      <c r="N165" s="153"/>
      <c r="V165" s="151">
        <f t="shared" si="46"/>
        <v>0</v>
      </c>
      <c r="W165" s="151">
        <f t="shared" si="47"/>
        <v>0</v>
      </c>
      <c r="X165" s="151">
        <f t="shared" si="48"/>
        <v>0</v>
      </c>
      <c r="Y165" s="151">
        <f t="shared" si="44"/>
        <v>0</v>
      </c>
    </row>
    <row r="166" spans="1:25" x14ac:dyDescent="0.25">
      <c r="A166" s="150"/>
      <c r="B166" s="158">
        <v>47392</v>
      </c>
      <c r="C166" s="153"/>
      <c r="D166" s="153"/>
      <c r="E166" s="178"/>
      <c r="L166" s="150" t="str">
        <f t="shared" si="45"/>
        <v>Jan</v>
      </c>
      <c r="M166" s="150" t="str">
        <f t="shared" si="43"/>
        <v>00</v>
      </c>
      <c r="N166" s="153"/>
      <c r="V166" s="151">
        <f t="shared" si="46"/>
        <v>0</v>
      </c>
      <c r="W166" s="151">
        <f t="shared" si="47"/>
        <v>0</v>
      </c>
      <c r="X166" s="151">
        <f t="shared" si="48"/>
        <v>0</v>
      </c>
      <c r="Y166" s="151">
        <f t="shared" si="44"/>
        <v>0</v>
      </c>
    </row>
    <row r="167" spans="1:25" x14ac:dyDescent="0.25">
      <c r="A167" s="150"/>
      <c r="B167" s="158">
        <v>47423</v>
      </c>
      <c r="C167" s="153"/>
      <c r="D167" s="153"/>
      <c r="E167" s="178"/>
      <c r="L167" s="150" t="str">
        <f t="shared" si="45"/>
        <v>Jan</v>
      </c>
      <c r="M167" s="150" t="str">
        <f t="shared" si="43"/>
        <v>00</v>
      </c>
      <c r="N167" s="153"/>
      <c r="V167" s="151">
        <f t="shared" si="46"/>
        <v>0</v>
      </c>
      <c r="W167" s="151">
        <f t="shared" si="47"/>
        <v>0</v>
      </c>
      <c r="X167" s="151">
        <f t="shared" si="48"/>
        <v>0</v>
      </c>
      <c r="Y167" s="151">
        <f t="shared" si="44"/>
        <v>0</v>
      </c>
    </row>
    <row r="168" spans="1:25" x14ac:dyDescent="0.25">
      <c r="A168" s="150"/>
      <c r="B168" s="158">
        <v>47453</v>
      </c>
      <c r="C168" s="153"/>
      <c r="D168" s="153"/>
      <c r="E168" s="178"/>
      <c r="L168" s="150" t="str">
        <f t="shared" si="45"/>
        <v>Jan</v>
      </c>
      <c r="M168" s="150" t="str">
        <f t="shared" si="43"/>
        <v>00</v>
      </c>
      <c r="N168" s="153"/>
      <c r="V168" s="151">
        <f t="shared" si="46"/>
        <v>0</v>
      </c>
      <c r="W168" s="151">
        <f t="shared" si="47"/>
        <v>0</v>
      </c>
      <c r="X168" s="151">
        <f t="shared" si="48"/>
        <v>0</v>
      </c>
      <c r="Y168" s="151">
        <f t="shared" si="44"/>
        <v>0</v>
      </c>
    </row>
    <row r="169" spans="1:25" x14ac:dyDescent="0.25">
      <c r="A169" s="150"/>
      <c r="B169" s="158">
        <v>47484</v>
      </c>
      <c r="C169" s="153"/>
      <c r="D169" s="153"/>
      <c r="E169" s="178"/>
      <c r="L169" s="150" t="str">
        <f t="shared" si="45"/>
        <v>Jan</v>
      </c>
      <c r="M169" s="150" t="str">
        <f t="shared" si="43"/>
        <v>00</v>
      </c>
      <c r="N169" s="153"/>
      <c r="V169" s="151">
        <f t="shared" si="46"/>
        <v>0</v>
      </c>
      <c r="W169" s="151">
        <f t="shared" si="47"/>
        <v>0</v>
      </c>
      <c r="X169" s="151">
        <f t="shared" si="48"/>
        <v>0</v>
      </c>
      <c r="Y169" s="151">
        <f t="shared" si="44"/>
        <v>0</v>
      </c>
    </row>
    <row r="170" spans="1:25" x14ac:dyDescent="0.25">
      <c r="A170" s="150"/>
      <c r="B170" s="158">
        <v>47515</v>
      </c>
      <c r="C170" s="153"/>
      <c r="D170" s="153"/>
      <c r="E170" s="178"/>
      <c r="L170" s="150" t="str">
        <f t="shared" si="45"/>
        <v>Jan</v>
      </c>
      <c r="M170" s="150" t="str">
        <f t="shared" ref="M170:M233" si="49">TEXT(E170,"yy")</f>
        <v>00</v>
      </c>
      <c r="N170" s="153"/>
      <c r="V170" s="151">
        <f t="shared" si="46"/>
        <v>0</v>
      </c>
      <c r="W170" s="151">
        <f t="shared" si="47"/>
        <v>0</v>
      </c>
      <c r="X170" s="151">
        <f t="shared" si="48"/>
        <v>0</v>
      </c>
      <c r="Y170" s="151">
        <f t="shared" si="44"/>
        <v>0</v>
      </c>
    </row>
    <row r="171" spans="1:25" x14ac:dyDescent="0.25">
      <c r="A171" s="150"/>
      <c r="B171" s="158">
        <v>47543</v>
      </c>
      <c r="C171" s="153"/>
      <c r="D171" s="153"/>
      <c r="E171" s="178"/>
      <c r="L171" s="150" t="str">
        <f t="shared" si="45"/>
        <v>Jan</v>
      </c>
      <c r="M171" s="150" t="str">
        <f t="shared" si="49"/>
        <v>00</v>
      </c>
      <c r="N171" s="153"/>
      <c r="V171" s="151">
        <f t="shared" si="46"/>
        <v>0</v>
      </c>
      <c r="W171" s="151">
        <f t="shared" si="47"/>
        <v>0</v>
      </c>
      <c r="X171" s="151">
        <f t="shared" si="48"/>
        <v>0</v>
      </c>
      <c r="Y171" s="151">
        <f t="shared" si="44"/>
        <v>0</v>
      </c>
    </row>
    <row r="172" spans="1:25" x14ac:dyDescent="0.25">
      <c r="A172" s="150"/>
      <c r="B172" s="158">
        <v>47574</v>
      </c>
      <c r="C172" s="153"/>
      <c r="D172" s="153"/>
      <c r="E172" s="178"/>
      <c r="L172" s="150" t="str">
        <f t="shared" si="45"/>
        <v>Jan</v>
      </c>
      <c r="M172" s="150" t="str">
        <f t="shared" si="49"/>
        <v>00</v>
      </c>
      <c r="N172" s="153"/>
      <c r="V172" s="151">
        <f t="shared" si="46"/>
        <v>0</v>
      </c>
      <c r="W172" s="151">
        <f t="shared" si="47"/>
        <v>0</v>
      </c>
      <c r="X172" s="151">
        <f t="shared" si="48"/>
        <v>0</v>
      </c>
      <c r="Y172" s="151">
        <f t="shared" si="44"/>
        <v>0</v>
      </c>
    </row>
    <row r="173" spans="1:25" x14ac:dyDescent="0.25">
      <c r="A173" s="150"/>
      <c r="B173" s="158">
        <v>47604</v>
      </c>
      <c r="C173" s="153"/>
      <c r="D173" s="153"/>
      <c r="E173" s="178"/>
      <c r="L173" s="150" t="str">
        <f t="shared" si="45"/>
        <v>Jan</v>
      </c>
      <c r="M173" s="150" t="str">
        <f t="shared" si="49"/>
        <v>00</v>
      </c>
      <c r="N173" s="153"/>
      <c r="V173" s="151">
        <f t="shared" si="46"/>
        <v>0</v>
      </c>
      <c r="W173" s="151">
        <f t="shared" si="47"/>
        <v>0</v>
      </c>
      <c r="X173" s="151">
        <f t="shared" si="48"/>
        <v>0</v>
      </c>
      <c r="Y173" s="151">
        <f t="shared" si="44"/>
        <v>0</v>
      </c>
    </row>
    <row r="174" spans="1:25" x14ac:dyDescent="0.25">
      <c r="A174" s="150"/>
      <c r="B174" s="158">
        <v>47635</v>
      </c>
      <c r="C174" s="153"/>
      <c r="D174" s="153"/>
      <c r="E174" s="178"/>
      <c r="L174" s="150" t="str">
        <f t="shared" si="45"/>
        <v>Jan</v>
      </c>
      <c r="M174" s="150" t="str">
        <f t="shared" si="49"/>
        <v>00</v>
      </c>
      <c r="N174" s="153"/>
      <c r="V174" s="151">
        <f t="shared" si="46"/>
        <v>0</v>
      </c>
      <c r="W174" s="151">
        <f t="shared" si="47"/>
        <v>0</v>
      </c>
      <c r="X174" s="151">
        <f t="shared" si="48"/>
        <v>0</v>
      </c>
      <c r="Y174" s="151">
        <f t="shared" si="44"/>
        <v>0</v>
      </c>
    </row>
    <row r="175" spans="1:25" x14ac:dyDescent="0.25">
      <c r="A175" s="150"/>
      <c r="B175" s="158">
        <v>47665</v>
      </c>
      <c r="C175" s="153"/>
      <c r="D175" s="153"/>
      <c r="E175" s="178"/>
      <c r="L175" s="150" t="str">
        <f t="shared" si="45"/>
        <v>Jan</v>
      </c>
      <c r="M175" s="150" t="str">
        <f t="shared" si="49"/>
        <v>00</v>
      </c>
      <c r="N175" s="153"/>
      <c r="V175" s="151">
        <f t="shared" si="46"/>
        <v>0</v>
      </c>
      <c r="W175" s="151">
        <f t="shared" si="47"/>
        <v>0</v>
      </c>
      <c r="X175" s="151">
        <f t="shared" si="48"/>
        <v>0</v>
      </c>
      <c r="Y175" s="151">
        <f t="shared" si="44"/>
        <v>0</v>
      </c>
    </row>
    <row r="176" spans="1:25" x14ac:dyDescent="0.25">
      <c r="A176" s="150"/>
      <c r="B176" s="158">
        <v>47696</v>
      </c>
      <c r="C176" s="153"/>
      <c r="D176" s="153"/>
      <c r="E176" s="178"/>
      <c r="L176" s="150" t="str">
        <f t="shared" si="45"/>
        <v>Jan</v>
      </c>
      <c r="M176" s="150" t="str">
        <f t="shared" si="49"/>
        <v>00</v>
      </c>
      <c r="N176" s="153"/>
      <c r="V176" s="151">
        <f t="shared" si="46"/>
        <v>0</v>
      </c>
      <c r="W176" s="151">
        <f t="shared" si="47"/>
        <v>0</v>
      </c>
      <c r="X176" s="151">
        <f t="shared" si="48"/>
        <v>0</v>
      </c>
      <c r="Y176" s="151">
        <f t="shared" si="44"/>
        <v>0</v>
      </c>
    </row>
    <row r="177" spans="1:25" x14ac:dyDescent="0.25">
      <c r="A177" s="150"/>
      <c r="B177" s="158">
        <v>47727</v>
      </c>
      <c r="C177" s="153"/>
      <c r="D177" s="153"/>
      <c r="E177" s="178"/>
      <c r="L177" s="150" t="str">
        <f t="shared" si="45"/>
        <v>Jan</v>
      </c>
      <c r="M177" s="150" t="str">
        <f t="shared" si="49"/>
        <v>00</v>
      </c>
      <c r="N177" s="153"/>
      <c r="V177" s="151">
        <f t="shared" si="46"/>
        <v>0</v>
      </c>
      <c r="W177" s="151">
        <f t="shared" si="47"/>
        <v>0</v>
      </c>
      <c r="X177" s="151">
        <f t="shared" si="48"/>
        <v>0</v>
      </c>
      <c r="Y177" s="151">
        <f t="shared" si="44"/>
        <v>0</v>
      </c>
    </row>
    <row r="178" spans="1:25" x14ac:dyDescent="0.25">
      <c r="A178" s="150"/>
      <c r="B178" s="158">
        <v>47757</v>
      </c>
      <c r="C178" s="153"/>
      <c r="D178" s="153"/>
      <c r="E178" s="178"/>
      <c r="L178" s="150" t="str">
        <f t="shared" si="45"/>
        <v>Jan</v>
      </c>
      <c r="M178" s="150" t="str">
        <f t="shared" si="49"/>
        <v>00</v>
      </c>
      <c r="N178" s="153"/>
      <c r="V178" s="151">
        <f t="shared" si="46"/>
        <v>0</v>
      </c>
      <c r="W178" s="151">
        <f t="shared" si="47"/>
        <v>0</v>
      </c>
      <c r="X178" s="151">
        <f t="shared" si="48"/>
        <v>0</v>
      </c>
      <c r="Y178" s="151">
        <f t="shared" si="44"/>
        <v>0</v>
      </c>
    </row>
    <row r="179" spans="1:25" x14ac:dyDescent="0.25">
      <c r="A179" s="150"/>
      <c r="B179" s="158">
        <v>47788</v>
      </c>
      <c r="C179" s="153"/>
      <c r="D179" s="153"/>
      <c r="E179" s="178"/>
      <c r="L179" s="150" t="str">
        <f t="shared" si="45"/>
        <v>Jan</v>
      </c>
      <c r="M179" s="150" t="str">
        <f t="shared" si="49"/>
        <v>00</v>
      </c>
      <c r="N179" s="153"/>
      <c r="V179" s="151">
        <f t="shared" si="46"/>
        <v>0</v>
      </c>
      <c r="W179" s="151">
        <f t="shared" si="47"/>
        <v>0</v>
      </c>
      <c r="X179" s="151">
        <f t="shared" si="48"/>
        <v>0</v>
      </c>
      <c r="Y179" s="151">
        <f t="shared" si="44"/>
        <v>0</v>
      </c>
    </row>
    <row r="180" spans="1:25" x14ac:dyDescent="0.25">
      <c r="A180" s="150"/>
      <c r="B180" s="158">
        <v>47818</v>
      </c>
      <c r="C180" s="153"/>
      <c r="D180" s="153"/>
      <c r="E180" s="178"/>
      <c r="L180" s="150" t="str">
        <f t="shared" si="45"/>
        <v>Jan</v>
      </c>
      <c r="M180" s="150" t="str">
        <f t="shared" si="49"/>
        <v>00</v>
      </c>
      <c r="N180" s="153"/>
      <c r="V180" s="151">
        <f t="shared" si="46"/>
        <v>0</v>
      </c>
      <c r="W180" s="151">
        <f t="shared" si="47"/>
        <v>0</v>
      </c>
      <c r="X180" s="151">
        <f t="shared" si="48"/>
        <v>0</v>
      </c>
      <c r="Y180" s="151">
        <f t="shared" si="44"/>
        <v>0</v>
      </c>
    </row>
    <row r="181" spans="1:25" x14ac:dyDescent="0.25">
      <c r="A181" s="150"/>
      <c r="B181" s="158">
        <v>47849</v>
      </c>
      <c r="C181" s="153"/>
      <c r="D181" s="153"/>
      <c r="E181" s="178"/>
      <c r="L181" s="150" t="str">
        <f t="shared" si="45"/>
        <v>Jan</v>
      </c>
      <c r="M181" s="150" t="str">
        <f t="shared" si="49"/>
        <v>00</v>
      </c>
      <c r="N181" s="153"/>
      <c r="V181" s="151">
        <f t="shared" si="46"/>
        <v>0</v>
      </c>
      <c r="W181" s="151">
        <f t="shared" si="47"/>
        <v>0</v>
      </c>
      <c r="X181" s="151">
        <f t="shared" si="48"/>
        <v>0</v>
      </c>
      <c r="Y181" s="151">
        <f t="shared" si="44"/>
        <v>0</v>
      </c>
    </row>
    <row r="182" spans="1:25" x14ac:dyDescent="0.25">
      <c r="A182" s="150"/>
      <c r="B182" s="158">
        <v>47880</v>
      </c>
      <c r="C182" s="153"/>
      <c r="D182" s="153"/>
      <c r="E182" s="178"/>
      <c r="L182" s="150" t="str">
        <f t="shared" si="45"/>
        <v>Jan</v>
      </c>
      <c r="M182" s="150" t="str">
        <f t="shared" si="49"/>
        <v>00</v>
      </c>
      <c r="N182" s="153"/>
      <c r="V182" s="151">
        <f t="shared" si="46"/>
        <v>0</v>
      </c>
      <c r="W182" s="151">
        <f t="shared" si="47"/>
        <v>0</v>
      </c>
      <c r="X182" s="151">
        <f t="shared" si="48"/>
        <v>0</v>
      </c>
      <c r="Y182" s="151">
        <f t="shared" si="44"/>
        <v>0</v>
      </c>
    </row>
    <row r="183" spans="1:25" x14ac:dyDescent="0.25">
      <c r="A183" s="150"/>
      <c r="B183" s="158">
        <v>47908</v>
      </c>
      <c r="C183" s="153"/>
      <c r="D183" s="153"/>
      <c r="E183" s="178"/>
      <c r="L183" s="150" t="str">
        <f t="shared" si="45"/>
        <v>Jan</v>
      </c>
      <c r="M183" s="150" t="str">
        <f t="shared" si="49"/>
        <v>00</v>
      </c>
      <c r="N183" s="153"/>
      <c r="V183" s="151">
        <f t="shared" si="46"/>
        <v>0</v>
      </c>
      <c r="W183" s="151">
        <f t="shared" si="47"/>
        <v>0</v>
      </c>
      <c r="X183" s="151">
        <f t="shared" si="48"/>
        <v>0</v>
      </c>
      <c r="Y183" s="151">
        <f t="shared" si="44"/>
        <v>0</v>
      </c>
    </row>
    <row r="184" spans="1:25" x14ac:dyDescent="0.25">
      <c r="A184" s="150"/>
      <c r="B184" s="158">
        <v>47939</v>
      </c>
      <c r="C184" s="153"/>
      <c r="D184" s="153"/>
      <c r="E184" s="178"/>
      <c r="L184" s="150" t="str">
        <f t="shared" si="45"/>
        <v>Jan</v>
      </c>
      <c r="M184" s="150" t="str">
        <f t="shared" si="49"/>
        <v>00</v>
      </c>
      <c r="N184" s="153"/>
      <c r="V184" s="151">
        <f t="shared" si="46"/>
        <v>0</v>
      </c>
      <c r="W184" s="151">
        <f t="shared" si="47"/>
        <v>0</v>
      </c>
      <c r="X184" s="151">
        <f t="shared" si="48"/>
        <v>0</v>
      </c>
      <c r="Y184" s="151">
        <f t="shared" si="44"/>
        <v>0</v>
      </c>
    </row>
    <row r="185" spans="1:25" x14ac:dyDescent="0.25">
      <c r="A185" s="150"/>
      <c r="B185" s="158">
        <v>47969</v>
      </c>
      <c r="C185" s="153"/>
      <c r="D185" s="153"/>
      <c r="E185" s="178"/>
      <c r="L185" s="150" t="str">
        <f t="shared" si="45"/>
        <v>Jan</v>
      </c>
      <c r="M185" s="150" t="str">
        <f t="shared" si="49"/>
        <v>00</v>
      </c>
      <c r="N185" s="153"/>
      <c r="V185" s="151">
        <f t="shared" si="46"/>
        <v>0</v>
      </c>
      <c r="W185" s="151">
        <f t="shared" si="47"/>
        <v>0</v>
      </c>
      <c r="X185" s="151">
        <f t="shared" si="48"/>
        <v>0</v>
      </c>
      <c r="Y185" s="151">
        <f t="shared" si="44"/>
        <v>0</v>
      </c>
    </row>
    <row r="186" spans="1:25" x14ac:dyDescent="0.25">
      <c r="A186" s="150"/>
      <c r="B186" s="158">
        <v>48000</v>
      </c>
      <c r="C186" s="153"/>
      <c r="D186" s="153"/>
      <c r="E186" s="178"/>
      <c r="L186" s="150" t="str">
        <f t="shared" si="45"/>
        <v>Jan</v>
      </c>
      <c r="M186" s="150" t="str">
        <f t="shared" si="49"/>
        <v>00</v>
      </c>
      <c r="N186" s="153"/>
      <c r="V186" s="151">
        <f t="shared" si="46"/>
        <v>0</v>
      </c>
      <c r="W186" s="151">
        <f t="shared" si="47"/>
        <v>0</v>
      </c>
      <c r="X186" s="151">
        <f t="shared" si="48"/>
        <v>0</v>
      </c>
      <c r="Y186" s="151">
        <f t="shared" si="44"/>
        <v>0</v>
      </c>
    </row>
    <row r="187" spans="1:25" x14ac:dyDescent="0.25">
      <c r="A187" s="150"/>
      <c r="B187" s="158">
        <v>48030</v>
      </c>
      <c r="C187" s="153"/>
      <c r="D187" s="153"/>
      <c r="E187" s="178"/>
      <c r="L187" s="150" t="str">
        <f t="shared" si="45"/>
        <v>Jan</v>
      </c>
      <c r="M187" s="150" t="str">
        <f t="shared" si="49"/>
        <v>00</v>
      </c>
      <c r="N187" s="153"/>
      <c r="V187" s="151">
        <f t="shared" si="46"/>
        <v>0</v>
      </c>
      <c r="W187" s="151">
        <f t="shared" si="47"/>
        <v>0</v>
      </c>
      <c r="X187" s="151">
        <f t="shared" si="48"/>
        <v>0</v>
      </c>
      <c r="Y187" s="151">
        <f t="shared" si="44"/>
        <v>0</v>
      </c>
    </row>
    <row r="188" spans="1:25" x14ac:dyDescent="0.25">
      <c r="A188" s="150"/>
      <c r="B188" s="158">
        <v>48061</v>
      </c>
      <c r="C188" s="153"/>
      <c r="D188" s="153"/>
      <c r="E188" s="178"/>
      <c r="L188" s="150" t="str">
        <f t="shared" si="45"/>
        <v>Jan</v>
      </c>
      <c r="M188" s="150" t="str">
        <f t="shared" si="49"/>
        <v>00</v>
      </c>
      <c r="N188" s="153"/>
      <c r="V188" s="151">
        <f t="shared" si="46"/>
        <v>0</v>
      </c>
      <c r="W188" s="151">
        <f t="shared" si="47"/>
        <v>0</v>
      </c>
      <c r="X188" s="151">
        <f t="shared" si="48"/>
        <v>0</v>
      </c>
      <c r="Y188" s="151">
        <f t="shared" si="44"/>
        <v>0</v>
      </c>
    </row>
    <row r="189" spans="1:25" x14ac:dyDescent="0.25">
      <c r="A189" s="150"/>
      <c r="B189" s="158">
        <v>48092</v>
      </c>
      <c r="C189" s="153"/>
      <c r="D189" s="153"/>
      <c r="E189" s="178"/>
      <c r="L189" s="150" t="str">
        <f t="shared" si="45"/>
        <v>Jan</v>
      </c>
      <c r="M189" s="150" t="str">
        <f t="shared" si="49"/>
        <v>00</v>
      </c>
      <c r="N189" s="153"/>
      <c r="V189" s="151">
        <f t="shared" si="46"/>
        <v>0</v>
      </c>
      <c r="W189" s="151">
        <f t="shared" si="47"/>
        <v>0</v>
      </c>
      <c r="X189" s="151">
        <f t="shared" si="48"/>
        <v>0</v>
      </c>
      <c r="Y189" s="151">
        <f t="shared" si="44"/>
        <v>0</v>
      </c>
    </row>
    <row r="190" spans="1:25" x14ac:dyDescent="0.25">
      <c r="A190" s="150"/>
      <c r="B190" s="158">
        <v>48122</v>
      </c>
      <c r="C190" s="153"/>
      <c r="D190" s="153"/>
      <c r="E190" s="178"/>
      <c r="L190" s="150" t="str">
        <f t="shared" si="45"/>
        <v>Jan</v>
      </c>
      <c r="M190" s="150" t="str">
        <f t="shared" si="49"/>
        <v>00</v>
      </c>
      <c r="N190" s="153"/>
      <c r="V190" s="151">
        <f t="shared" si="46"/>
        <v>0</v>
      </c>
      <c r="W190" s="151">
        <f t="shared" si="47"/>
        <v>0</v>
      </c>
      <c r="X190" s="151">
        <f t="shared" si="48"/>
        <v>0</v>
      </c>
      <c r="Y190" s="151">
        <f t="shared" si="44"/>
        <v>0</v>
      </c>
    </row>
    <row r="191" spans="1:25" x14ac:dyDescent="0.25">
      <c r="A191" s="150"/>
      <c r="B191" s="158">
        <v>48153</v>
      </c>
      <c r="C191" s="153"/>
      <c r="D191" s="153"/>
      <c r="E191" s="178"/>
      <c r="L191" s="150" t="str">
        <f t="shared" si="45"/>
        <v>Jan</v>
      </c>
      <c r="M191" s="150" t="str">
        <f t="shared" si="49"/>
        <v>00</v>
      </c>
      <c r="N191" s="153"/>
      <c r="V191" s="151">
        <f t="shared" si="46"/>
        <v>0</v>
      </c>
      <c r="W191" s="151">
        <f t="shared" si="47"/>
        <v>0</v>
      </c>
      <c r="X191" s="151">
        <f t="shared" si="48"/>
        <v>0</v>
      </c>
      <c r="Y191" s="151">
        <f t="shared" si="44"/>
        <v>0</v>
      </c>
    </row>
    <row r="192" spans="1:25" x14ac:dyDescent="0.25">
      <c r="A192" s="150"/>
      <c r="B192" s="158">
        <v>48183</v>
      </c>
      <c r="C192" s="153"/>
      <c r="D192" s="153"/>
      <c r="E192" s="178"/>
      <c r="L192" s="150" t="str">
        <f t="shared" si="45"/>
        <v>Jan</v>
      </c>
      <c r="M192" s="150" t="str">
        <f t="shared" si="49"/>
        <v>00</v>
      </c>
      <c r="N192" s="153"/>
      <c r="V192" s="151">
        <f t="shared" si="46"/>
        <v>0</v>
      </c>
      <c r="W192" s="151">
        <f t="shared" si="47"/>
        <v>0</v>
      </c>
      <c r="X192" s="151">
        <f t="shared" si="48"/>
        <v>0</v>
      </c>
      <c r="Y192" s="151">
        <f t="shared" si="44"/>
        <v>0</v>
      </c>
    </row>
    <row r="193" spans="1:25" x14ac:dyDescent="0.25">
      <c r="A193" s="150"/>
      <c r="B193" s="158">
        <v>48214</v>
      </c>
      <c r="C193" s="153"/>
      <c r="D193" s="153"/>
      <c r="E193" s="178"/>
      <c r="L193" s="150" t="str">
        <f t="shared" si="45"/>
        <v>Jan</v>
      </c>
      <c r="M193" s="150" t="str">
        <f t="shared" si="49"/>
        <v>00</v>
      </c>
      <c r="N193" s="153"/>
      <c r="V193" s="151">
        <f t="shared" si="46"/>
        <v>0</v>
      </c>
      <c r="W193" s="151">
        <f t="shared" si="47"/>
        <v>0</v>
      </c>
      <c r="X193" s="151">
        <f t="shared" si="48"/>
        <v>0</v>
      </c>
      <c r="Y193" s="151">
        <f t="shared" si="44"/>
        <v>0</v>
      </c>
    </row>
    <row r="194" spans="1:25" x14ac:dyDescent="0.25">
      <c r="A194" s="150"/>
      <c r="B194" s="158">
        <v>48245</v>
      </c>
      <c r="C194" s="153"/>
      <c r="D194" s="153"/>
      <c r="E194" s="178"/>
      <c r="L194" s="150" t="str">
        <f t="shared" si="45"/>
        <v>Jan</v>
      </c>
      <c r="M194" s="150" t="str">
        <f t="shared" si="49"/>
        <v>00</v>
      </c>
      <c r="N194" s="153"/>
      <c r="V194" s="151">
        <f t="shared" si="46"/>
        <v>0</v>
      </c>
      <c r="W194" s="151">
        <f t="shared" si="47"/>
        <v>0</v>
      </c>
      <c r="X194" s="151">
        <f t="shared" si="48"/>
        <v>0</v>
      </c>
      <c r="Y194" s="151">
        <f t="shared" si="44"/>
        <v>0</v>
      </c>
    </row>
    <row r="195" spans="1:25" x14ac:dyDescent="0.25">
      <c r="A195" s="150"/>
      <c r="B195" s="158">
        <v>48274</v>
      </c>
      <c r="C195" s="153"/>
      <c r="D195" s="153"/>
      <c r="E195" s="178"/>
      <c r="L195" s="150" t="str">
        <f t="shared" si="45"/>
        <v>Jan</v>
      </c>
      <c r="M195" s="150" t="str">
        <f t="shared" si="49"/>
        <v>00</v>
      </c>
      <c r="N195" s="153"/>
      <c r="V195" s="151">
        <f t="shared" si="46"/>
        <v>0</v>
      </c>
      <c r="W195" s="151">
        <f t="shared" si="47"/>
        <v>0</v>
      </c>
      <c r="X195" s="151">
        <f t="shared" si="48"/>
        <v>0</v>
      </c>
      <c r="Y195" s="151">
        <f t="shared" ref="Y195:Y258" si="50">V195+W195+X195</f>
        <v>0</v>
      </c>
    </row>
    <row r="196" spans="1:25" x14ac:dyDescent="0.25">
      <c r="A196" s="150"/>
      <c r="B196" s="158">
        <v>48305</v>
      </c>
      <c r="C196" s="153"/>
      <c r="D196" s="153"/>
      <c r="E196" s="178"/>
      <c r="L196" s="150" t="str">
        <f t="shared" si="45"/>
        <v>Jan</v>
      </c>
      <c r="M196" s="150" t="str">
        <f t="shared" si="49"/>
        <v>00</v>
      </c>
      <c r="N196" s="153"/>
      <c r="V196" s="151">
        <f t="shared" si="46"/>
        <v>0</v>
      </c>
      <c r="W196" s="151">
        <f t="shared" si="47"/>
        <v>0</v>
      </c>
      <c r="X196" s="151">
        <f t="shared" si="48"/>
        <v>0</v>
      </c>
      <c r="Y196" s="151">
        <f t="shared" si="50"/>
        <v>0</v>
      </c>
    </row>
    <row r="197" spans="1:25" x14ac:dyDescent="0.25">
      <c r="A197" s="150"/>
      <c r="B197" s="158">
        <v>48335</v>
      </c>
      <c r="C197" s="153"/>
      <c r="D197" s="153"/>
      <c r="E197" s="178"/>
      <c r="L197" s="150" t="str">
        <f t="shared" si="45"/>
        <v>Jan</v>
      </c>
      <c r="M197" s="150" t="str">
        <f t="shared" si="49"/>
        <v>00</v>
      </c>
      <c r="N197" s="153"/>
      <c r="V197" s="151">
        <f t="shared" si="46"/>
        <v>0</v>
      </c>
      <c r="W197" s="151">
        <f t="shared" si="47"/>
        <v>0</v>
      </c>
      <c r="X197" s="151">
        <f t="shared" si="48"/>
        <v>0</v>
      </c>
      <c r="Y197" s="151">
        <f t="shared" si="50"/>
        <v>0</v>
      </c>
    </row>
    <row r="198" spans="1:25" x14ac:dyDescent="0.25">
      <c r="A198" s="150"/>
      <c r="B198" s="158">
        <v>48366</v>
      </c>
      <c r="C198" s="153"/>
      <c r="D198" s="153"/>
      <c r="E198" s="178"/>
      <c r="L198" s="150" t="str">
        <f t="shared" si="45"/>
        <v>Jan</v>
      </c>
      <c r="M198" s="150" t="str">
        <f t="shared" si="49"/>
        <v>00</v>
      </c>
      <c r="N198" s="153"/>
      <c r="V198" s="151">
        <f t="shared" si="46"/>
        <v>0</v>
      </c>
      <c r="W198" s="151">
        <f t="shared" si="47"/>
        <v>0</v>
      </c>
      <c r="X198" s="151">
        <f t="shared" si="48"/>
        <v>0</v>
      </c>
      <c r="Y198" s="151">
        <f t="shared" si="50"/>
        <v>0</v>
      </c>
    </row>
    <row r="199" spans="1:25" x14ac:dyDescent="0.25">
      <c r="A199" s="150"/>
      <c r="B199" s="158">
        <v>48396</v>
      </c>
      <c r="C199" s="153"/>
      <c r="D199" s="153"/>
      <c r="E199" s="178"/>
      <c r="L199" s="150" t="str">
        <f t="shared" si="45"/>
        <v>Jan</v>
      </c>
      <c r="M199" s="150" t="str">
        <f t="shared" si="49"/>
        <v>00</v>
      </c>
      <c r="N199" s="153"/>
      <c r="V199" s="151">
        <f t="shared" si="46"/>
        <v>0</v>
      </c>
      <c r="W199" s="151">
        <f t="shared" si="47"/>
        <v>0</v>
      </c>
      <c r="X199" s="151">
        <f t="shared" si="48"/>
        <v>0</v>
      </c>
      <c r="Y199" s="151">
        <f t="shared" si="50"/>
        <v>0</v>
      </c>
    </row>
    <row r="200" spans="1:25" x14ac:dyDescent="0.25">
      <c r="A200" s="150"/>
      <c r="B200" s="158">
        <v>48427</v>
      </c>
      <c r="C200" s="153"/>
      <c r="D200" s="153"/>
      <c r="E200" s="178"/>
      <c r="L200" s="150" t="str">
        <f t="shared" si="45"/>
        <v>Jan</v>
      </c>
      <c r="M200" s="150" t="str">
        <f t="shared" si="49"/>
        <v>00</v>
      </c>
      <c r="N200" s="153"/>
      <c r="V200" s="151">
        <f t="shared" si="46"/>
        <v>0</v>
      </c>
      <c r="W200" s="151">
        <f t="shared" si="47"/>
        <v>0</v>
      </c>
      <c r="X200" s="151">
        <f t="shared" si="48"/>
        <v>0</v>
      </c>
      <c r="Y200" s="151">
        <f t="shared" si="50"/>
        <v>0</v>
      </c>
    </row>
    <row r="201" spans="1:25" x14ac:dyDescent="0.25">
      <c r="A201" s="150"/>
      <c r="B201" s="158">
        <v>48458</v>
      </c>
      <c r="C201" s="153"/>
      <c r="D201" s="153"/>
      <c r="E201" s="178"/>
      <c r="L201" s="150" t="str">
        <f t="shared" si="45"/>
        <v>Jan</v>
      </c>
      <c r="M201" s="150" t="str">
        <f t="shared" si="49"/>
        <v>00</v>
      </c>
      <c r="N201" s="153"/>
      <c r="V201" s="151">
        <f t="shared" si="46"/>
        <v>0</v>
      </c>
      <c r="W201" s="151">
        <f t="shared" si="47"/>
        <v>0</v>
      </c>
      <c r="X201" s="151">
        <f t="shared" si="48"/>
        <v>0</v>
      </c>
      <c r="Y201" s="151">
        <f t="shared" si="50"/>
        <v>0</v>
      </c>
    </row>
    <row r="202" spans="1:25" x14ac:dyDescent="0.25">
      <c r="A202" s="150"/>
      <c r="B202" s="158">
        <v>48488</v>
      </c>
      <c r="C202" s="153"/>
      <c r="D202" s="153"/>
      <c r="E202" s="178"/>
      <c r="L202" s="150" t="str">
        <f t="shared" si="45"/>
        <v>Jan</v>
      </c>
      <c r="M202" s="150" t="str">
        <f t="shared" si="49"/>
        <v>00</v>
      </c>
      <c r="N202" s="153"/>
      <c r="V202" s="151">
        <f t="shared" si="46"/>
        <v>0</v>
      </c>
      <c r="W202" s="151">
        <f t="shared" si="47"/>
        <v>0</v>
      </c>
      <c r="X202" s="151">
        <f t="shared" si="48"/>
        <v>0</v>
      </c>
      <c r="Y202" s="151">
        <f t="shared" si="50"/>
        <v>0</v>
      </c>
    </row>
    <row r="203" spans="1:25" x14ac:dyDescent="0.25">
      <c r="A203" s="150"/>
      <c r="B203" s="158">
        <v>48519</v>
      </c>
      <c r="C203" s="153"/>
      <c r="D203" s="153"/>
      <c r="E203" s="178"/>
      <c r="L203" s="150" t="str">
        <f t="shared" si="45"/>
        <v>Jan</v>
      </c>
      <c r="M203" s="150" t="str">
        <f t="shared" si="49"/>
        <v>00</v>
      </c>
      <c r="N203" s="153"/>
      <c r="V203" s="151">
        <f t="shared" si="46"/>
        <v>0</v>
      </c>
      <c r="W203" s="151">
        <f t="shared" si="47"/>
        <v>0</v>
      </c>
      <c r="X203" s="151">
        <f t="shared" si="48"/>
        <v>0</v>
      </c>
      <c r="Y203" s="151">
        <f t="shared" si="50"/>
        <v>0</v>
      </c>
    </row>
    <row r="204" spans="1:25" x14ac:dyDescent="0.25">
      <c r="A204" s="150"/>
      <c r="B204" s="158">
        <v>48549</v>
      </c>
      <c r="C204" s="153"/>
      <c r="D204" s="153"/>
      <c r="E204" s="178"/>
      <c r="L204" s="150" t="str">
        <f t="shared" si="45"/>
        <v>Jan</v>
      </c>
      <c r="M204" s="150" t="str">
        <f t="shared" si="49"/>
        <v>00</v>
      </c>
      <c r="N204" s="153"/>
      <c r="V204" s="151">
        <f t="shared" si="46"/>
        <v>0</v>
      </c>
      <c r="W204" s="151">
        <f t="shared" si="47"/>
        <v>0</v>
      </c>
      <c r="X204" s="151">
        <f t="shared" si="48"/>
        <v>0</v>
      </c>
      <c r="Y204" s="151">
        <f t="shared" si="50"/>
        <v>0</v>
      </c>
    </row>
    <row r="205" spans="1:25" x14ac:dyDescent="0.25">
      <c r="A205" s="150"/>
      <c r="B205" s="158">
        <v>48580</v>
      </c>
      <c r="C205" s="153"/>
      <c r="D205" s="153"/>
      <c r="E205" s="178"/>
      <c r="L205" s="150" t="str">
        <f t="shared" si="45"/>
        <v>Jan</v>
      </c>
      <c r="M205" s="150" t="str">
        <f t="shared" si="49"/>
        <v>00</v>
      </c>
      <c r="N205" s="153"/>
      <c r="V205" s="151">
        <f t="shared" si="46"/>
        <v>0</v>
      </c>
      <c r="W205" s="151">
        <f t="shared" si="47"/>
        <v>0</v>
      </c>
      <c r="X205" s="151">
        <f t="shared" si="48"/>
        <v>0</v>
      </c>
      <c r="Y205" s="151">
        <f t="shared" si="50"/>
        <v>0</v>
      </c>
    </row>
    <row r="206" spans="1:25" x14ac:dyDescent="0.25">
      <c r="A206" s="150"/>
      <c r="B206" s="158">
        <v>48611</v>
      </c>
      <c r="C206" s="153"/>
      <c r="D206" s="153"/>
      <c r="E206" s="178"/>
      <c r="L206" s="150" t="str">
        <f t="shared" si="45"/>
        <v>Jan</v>
      </c>
      <c r="M206" s="150" t="str">
        <f t="shared" si="49"/>
        <v>00</v>
      </c>
      <c r="N206" s="153"/>
      <c r="V206" s="151">
        <f t="shared" si="46"/>
        <v>0</v>
      </c>
      <c r="W206" s="151">
        <f t="shared" si="47"/>
        <v>0</v>
      </c>
      <c r="X206" s="151">
        <f t="shared" si="48"/>
        <v>0</v>
      </c>
      <c r="Y206" s="151">
        <f t="shared" si="50"/>
        <v>0</v>
      </c>
    </row>
    <row r="207" spans="1:25" x14ac:dyDescent="0.25">
      <c r="A207" s="150"/>
      <c r="B207" s="158">
        <v>48639</v>
      </c>
      <c r="C207" s="153"/>
      <c r="D207" s="153"/>
      <c r="E207" s="178"/>
      <c r="L207" s="150" t="str">
        <f t="shared" si="45"/>
        <v>Jan</v>
      </c>
      <c r="M207" s="150" t="str">
        <f t="shared" si="49"/>
        <v>00</v>
      </c>
      <c r="N207" s="153"/>
      <c r="V207" s="151">
        <f t="shared" si="46"/>
        <v>0</v>
      </c>
      <c r="W207" s="151">
        <f t="shared" si="47"/>
        <v>0</v>
      </c>
      <c r="X207" s="151">
        <f t="shared" si="48"/>
        <v>0</v>
      </c>
      <c r="Y207" s="151">
        <f t="shared" si="50"/>
        <v>0</v>
      </c>
    </row>
    <row r="208" spans="1:25" x14ac:dyDescent="0.25">
      <c r="A208" s="150"/>
      <c r="B208" s="158">
        <v>48670</v>
      </c>
      <c r="C208" s="153"/>
      <c r="D208" s="153"/>
      <c r="E208" s="178"/>
      <c r="L208" s="150" t="str">
        <f t="shared" si="45"/>
        <v>Jan</v>
      </c>
      <c r="M208" s="150" t="str">
        <f t="shared" si="49"/>
        <v>00</v>
      </c>
      <c r="N208" s="153"/>
      <c r="V208" s="151">
        <f t="shared" si="46"/>
        <v>0</v>
      </c>
      <c r="W208" s="151">
        <f t="shared" si="47"/>
        <v>0</v>
      </c>
      <c r="X208" s="151">
        <f t="shared" si="48"/>
        <v>0</v>
      </c>
      <c r="Y208" s="151">
        <f t="shared" si="50"/>
        <v>0</v>
      </c>
    </row>
    <row r="209" spans="1:25" x14ac:dyDescent="0.25">
      <c r="A209" s="150"/>
      <c r="B209" s="158">
        <v>48700</v>
      </c>
      <c r="C209" s="153"/>
      <c r="D209" s="153"/>
      <c r="E209" s="178"/>
      <c r="L209" s="150" t="str">
        <f t="shared" si="45"/>
        <v>Jan</v>
      </c>
      <c r="M209" s="150" t="str">
        <f t="shared" si="49"/>
        <v>00</v>
      </c>
      <c r="N209" s="153"/>
      <c r="V209" s="151">
        <f t="shared" si="46"/>
        <v>0</v>
      </c>
      <c r="W209" s="151">
        <f t="shared" si="47"/>
        <v>0</v>
      </c>
      <c r="X209" s="151">
        <f t="shared" si="48"/>
        <v>0</v>
      </c>
      <c r="Y209" s="151">
        <f t="shared" si="50"/>
        <v>0</v>
      </c>
    </row>
    <row r="210" spans="1:25" x14ac:dyDescent="0.25">
      <c r="A210" s="150"/>
      <c r="B210" s="158">
        <v>48731</v>
      </c>
      <c r="C210" s="153"/>
      <c r="D210" s="153"/>
      <c r="E210" s="178"/>
      <c r="L210" s="150" t="str">
        <f t="shared" si="45"/>
        <v>Jan</v>
      </c>
      <c r="M210" s="150" t="str">
        <f t="shared" si="49"/>
        <v>00</v>
      </c>
      <c r="N210" s="153"/>
      <c r="V210" s="151">
        <f t="shared" si="46"/>
        <v>0</v>
      </c>
      <c r="W210" s="151">
        <f t="shared" si="47"/>
        <v>0</v>
      </c>
      <c r="X210" s="151">
        <f t="shared" si="48"/>
        <v>0</v>
      </c>
      <c r="Y210" s="151">
        <f t="shared" si="50"/>
        <v>0</v>
      </c>
    </row>
    <row r="211" spans="1:25" x14ac:dyDescent="0.25">
      <c r="A211" s="150"/>
      <c r="B211" s="158">
        <v>48761</v>
      </c>
      <c r="C211" s="153"/>
      <c r="D211" s="153"/>
      <c r="E211" s="178"/>
      <c r="L211" s="150" t="str">
        <f t="shared" si="45"/>
        <v>Jan</v>
      </c>
      <c r="M211" s="150" t="str">
        <f t="shared" si="49"/>
        <v>00</v>
      </c>
      <c r="N211" s="153"/>
      <c r="V211" s="151">
        <f t="shared" si="46"/>
        <v>0</v>
      </c>
      <c r="W211" s="151">
        <f t="shared" si="47"/>
        <v>0</v>
      </c>
      <c r="X211" s="151">
        <f t="shared" si="48"/>
        <v>0</v>
      </c>
      <c r="Y211" s="151">
        <f t="shared" si="50"/>
        <v>0</v>
      </c>
    </row>
    <row r="212" spans="1:25" x14ac:dyDescent="0.25">
      <c r="A212" s="150"/>
      <c r="B212" s="158">
        <v>48792</v>
      </c>
      <c r="C212" s="153"/>
      <c r="D212" s="153"/>
      <c r="E212" s="178"/>
      <c r="L212" s="150" t="str">
        <f t="shared" si="45"/>
        <v>Jan</v>
      </c>
      <c r="M212" s="150" t="str">
        <f t="shared" si="49"/>
        <v>00</v>
      </c>
      <c r="N212" s="153"/>
      <c r="V212" s="151">
        <f t="shared" si="46"/>
        <v>0</v>
      </c>
      <c r="W212" s="151">
        <f t="shared" si="47"/>
        <v>0</v>
      </c>
      <c r="X212" s="151">
        <f t="shared" si="48"/>
        <v>0</v>
      </c>
      <c r="Y212" s="151">
        <f t="shared" si="50"/>
        <v>0</v>
      </c>
    </row>
    <row r="213" spans="1:25" x14ac:dyDescent="0.25">
      <c r="A213" s="150"/>
      <c r="B213" s="158">
        <v>48823</v>
      </c>
      <c r="C213" s="153"/>
      <c r="D213" s="153"/>
      <c r="E213" s="178"/>
      <c r="L213" s="150" t="str">
        <f t="shared" si="45"/>
        <v>Jan</v>
      </c>
      <c r="M213" s="150" t="str">
        <f t="shared" si="49"/>
        <v>00</v>
      </c>
      <c r="N213" s="153"/>
      <c r="V213" s="151">
        <f t="shared" si="46"/>
        <v>0</v>
      </c>
      <c r="W213" s="151">
        <f t="shared" si="47"/>
        <v>0</v>
      </c>
      <c r="X213" s="151">
        <f t="shared" si="48"/>
        <v>0</v>
      </c>
      <c r="Y213" s="151">
        <f t="shared" si="50"/>
        <v>0</v>
      </c>
    </row>
    <row r="214" spans="1:25" x14ac:dyDescent="0.25">
      <c r="A214" s="150"/>
      <c r="B214" s="158">
        <v>48853</v>
      </c>
      <c r="C214" s="153"/>
      <c r="D214" s="153"/>
      <c r="E214" s="178"/>
      <c r="L214" s="150" t="str">
        <f t="shared" si="45"/>
        <v>Jan</v>
      </c>
      <c r="M214" s="150" t="str">
        <f t="shared" si="49"/>
        <v>00</v>
      </c>
      <c r="N214" s="153"/>
      <c r="V214" s="151">
        <f t="shared" si="46"/>
        <v>0</v>
      </c>
      <c r="W214" s="151">
        <f t="shared" si="47"/>
        <v>0</v>
      </c>
      <c r="X214" s="151">
        <f t="shared" si="48"/>
        <v>0</v>
      </c>
      <c r="Y214" s="151">
        <f t="shared" si="50"/>
        <v>0</v>
      </c>
    </row>
    <row r="215" spans="1:25" x14ac:dyDescent="0.25">
      <c r="A215" s="150"/>
      <c r="B215" s="158">
        <v>48884</v>
      </c>
      <c r="C215" s="153"/>
      <c r="D215" s="153"/>
      <c r="E215" s="178"/>
      <c r="L215" s="150" t="str">
        <f t="shared" si="45"/>
        <v>Jan</v>
      </c>
      <c r="M215" s="150" t="str">
        <f t="shared" si="49"/>
        <v>00</v>
      </c>
      <c r="N215" s="153"/>
      <c r="V215" s="151">
        <f t="shared" si="46"/>
        <v>0</v>
      </c>
      <c r="W215" s="151">
        <f t="shared" si="47"/>
        <v>0</v>
      </c>
      <c r="X215" s="151">
        <f t="shared" si="48"/>
        <v>0</v>
      </c>
      <c r="Y215" s="151">
        <f t="shared" si="50"/>
        <v>0</v>
      </c>
    </row>
    <row r="216" spans="1:25" x14ac:dyDescent="0.25">
      <c r="A216" s="150"/>
      <c r="B216" s="158">
        <v>48914</v>
      </c>
      <c r="C216" s="153"/>
      <c r="D216" s="153"/>
      <c r="E216" s="178"/>
      <c r="L216" s="150" t="str">
        <f t="shared" si="45"/>
        <v>Jan</v>
      </c>
      <c r="M216" s="150" t="str">
        <f t="shared" si="49"/>
        <v>00</v>
      </c>
      <c r="N216" s="153"/>
      <c r="V216" s="151">
        <f t="shared" si="46"/>
        <v>0</v>
      </c>
      <c r="W216" s="151">
        <f t="shared" si="47"/>
        <v>0</v>
      </c>
      <c r="X216" s="151">
        <f t="shared" si="48"/>
        <v>0</v>
      </c>
      <c r="Y216" s="151">
        <f t="shared" si="50"/>
        <v>0</v>
      </c>
    </row>
    <row r="217" spans="1:25" x14ac:dyDescent="0.25">
      <c r="A217" s="150"/>
      <c r="B217" s="158">
        <v>48945</v>
      </c>
      <c r="C217" s="153"/>
      <c r="D217" s="153"/>
      <c r="E217" s="178"/>
      <c r="L217" s="150" t="str">
        <f t="shared" si="45"/>
        <v>Jan</v>
      </c>
      <c r="M217" s="150" t="str">
        <f t="shared" si="49"/>
        <v>00</v>
      </c>
      <c r="N217" s="153"/>
      <c r="V217" s="151">
        <f t="shared" si="46"/>
        <v>0</v>
      </c>
      <c r="W217" s="151">
        <f t="shared" si="47"/>
        <v>0</v>
      </c>
      <c r="X217" s="151">
        <f t="shared" si="48"/>
        <v>0</v>
      </c>
      <c r="Y217" s="151">
        <f t="shared" si="50"/>
        <v>0</v>
      </c>
    </row>
    <row r="218" spans="1:25" x14ac:dyDescent="0.25">
      <c r="A218" s="150"/>
      <c r="B218" s="158">
        <v>48976</v>
      </c>
      <c r="C218" s="153"/>
      <c r="D218" s="153"/>
      <c r="E218" s="178"/>
      <c r="L218" s="150" t="str">
        <f t="shared" si="45"/>
        <v>Jan</v>
      </c>
      <c r="M218" s="150" t="str">
        <f t="shared" si="49"/>
        <v>00</v>
      </c>
      <c r="N218" s="153"/>
      <c r="V218" s="151">
        <f t="shared" si="46"/>
        <v>0</v>
      </c>
      <c r="W218" s="151">
        <f t="shared" si="47"/>
        <v>0</v>
      </c>
      <c r="X218" s="151">
        <f t="shared" si="48"/>
        <v>0</v>
      </c>
      <c r="Y218" s="151">
        <f t="shared" si="50"/>
        <v>0</v>
      </c>
    </row>
    <row r="219" spans="1:25" x14ac:dyDescent="0.25">
      <c r="A219" s="150"/>
      <c r="B219" s="158">
        <v>49004</v>
      </c>
      <c r="C219" s="153"/>
      <c r="D219" s="153"/>
      <c r="E219" s="178"/>
      <c r="L219" s="150" t="str">
        <f t="shared" si="45"/>
        <v>Jan</v>
      </c>
      <c r="M219" s="150" t="str">
        <f t="shared" si="49"/>
        <v>00</v>
      </c>
      <c r="N219" s="153"/>
      <c r="V219" s="151">
        <f t="shared" si="46"/>
        <v>0</v>
      </c>
      <c r="W219" s="151">
        <f t="shared" si="47"/>
        <v>0</v>
      </c>
      <c r="X219" s="151">
        <f t="shared" si="48"/>
        <v>0</v>
      </c>
      <c r="Y219" s="151">
        <f t="shared" si="50"/>
        <v>0</v>
      </c>
    </row>
    <row r="220" spans="1:25" x14ac:dyDescent="0.25">
      <c r="A220" s="150"/>
      <c r="B220" s="158">
        <v>49035</v>
      </c>
      <c r="C220" s="153"/>
      <c r="D220" s="153"/>
      <c r="E220" s="178"/>
      <c r="L220" s="150" t="str">
        <f t="shared" si="45"/>
        <v>Jan</v>
      </c>
      <c r="M220" s="150" t="str">
        <f t="shared" si="49"/>
        <v>00</v>
      </c>
      <c r="N220" s="153"/>
      <c r="V220" s="151">
        <f t="shared" si="46"/>
        <v>0</v>
      </c>
      <c r="W220" s="151">
        <f t="shared" si="47"/>
        <v>0</v>
      </c>
      <c r="X220" s="151">
        <f t="shared" si="48"/>
        <v>0</v>
      </c>
      <c r="Y220" s="151">
        <f t="shared" si="50"/>
        <v>0</v>
      </c>
    </row>
    <row r="221" spans="1:25" x14ac:dyDescent="0.25">
      <c r="A221" s="150"/>
      <c r="B221" s="158">
        <v>49065</v>
      </c>
      <c r="C221" s="153"/>
      <c r="D221" s="153"/>
      <c r="E221" s="178"/>
      <c r="L221" s="150" t="str">
        <f t="shared" si="45"/>
        <v>Jan</v>
      </c>
      <c r="M221" s="150" t="str">
        <f t="shared" si="49"/>
        <v>00</v>
      </c>
      <c r="N221" s="153"/>
      <c r="V221" s="151">
        <f t="shared" si="46"/>
        <v>0</v>
      </c>
      <c r="W221" s="151">
        <f t="shared" si="47"/>
        <v>0</v>
      </c>
      <c r="X221" s="151">
        <f t="shared" si="48"/>
        <v>0</v>
      </c>
      <c r="Y221" s="151">
        <f t="shared" si="50"/>
        <v>0</v>
      </c>
    </row>
    <row r="222" spans="1:25" x14ac:dyDescent="0.25">
      <c r="A222" s="150"/>
      <c r="B222" s="158">
        <v>49096</v>
      </c>
      <c r="C222" s="153"/>
      <c r="D222" s="153"/>
      <c r="E222" s="178"/>
      <c r="L222" s="150" t="str">
        <f t="shared" ref="L222:L285" si="51">TEXT(E222,"mmm")</f>
        <v>Jan</v>
      </c>
      <c r="M222" s="150" t="str">
        <f t="shared" si="49"/>
        <v>00</v>
      </c>
      <c r="N222" s="153"/>
      <c r="V222" s="151">
        <f t="shared" si="46"/>
        <v>0</v>
      </c>
      <c r="W222" s="151">
        <f t="shared" si="47"/>
        <v>0</v>
      </c>
      <c r="X222" s="151">
        <f t="shared" si="48"/>
        <v>0</v>
      </c>
      <c r="Y222" s="151">
        <f t="shared" si="50"/>
        <v>0</v>
      </c>
    </row>
    <row r="223" spans="1:25" x14ac:dyDescent="0.25">
      <c r="A223" s="150"/>
      <c r="B223" s="158">
        <v>49126</v>
      </c>
      <c r="C223" s="153"/>
      <c r="D223" s="153"/>
      <c r="E223" s="178"/>
      <c r="L223" s="150" t="str">
        <f t="shared" si="51"/>
        <v>Jan</v>
      </c>
      <c r="M223" s="150" t="str">
        <f t="shared" si="49"/>
        <v>00</v>
      </c>
      <c r="N223" s="153"/>
      <c r="V223" s="151">
        <f t="shared" si="46"/>
        <v>0</v>
      </c>
      <c r="W223" s="151">
        <f t="shared" si="47"/>
        <v>0</v>
      </c>
      <c r="X223" s="151">
        <f t="shared" si="48"/>
        <v>0</v>
      </c>
      <c r="Y223" s="151">
        <f t="shared" si="50"/>
        <v>0</v>
      </c>
    </row>
    <row r="224" spans="1:25" x14ac:dyDescent="0.25">
      <c r="A224" s="150"/>
      <c r="B224" s="158">
        <v>49157</v>
      </c>
      <c r="C224" s="153"/>
      <c r="D224" s="153"/>
      <c r="E224" s="178"/>
      <c r="L224" s="150" t="str">
        <f t="shared" si="51"/>
        <v>Jan</v>
      </c>
      <c r="M224" s="150" t="str">
        <f t="shared" si="49"/>
        <v>00</v>
      </c>
      <c r="N224" s="153"/>
      <c r="V224" s="151">
        <f t="shared" ref="V224:V287" si="52">F224-Q224</f>
        <v>0</v>
      </c>
      <c r="W224" s="151">
        <f t="shared" ref="W224:W287" si="53">E224-R224</f>
        <v>0</v>
      </c>
      <c r="X224" s="151">
        <f t="shared" ref="X224:X287" si="54">G224-T224</f>
        <v>0</v>
      </c>
      <c r="Y224" s="151">
        <f t="shared" si="50"/>
        <v>0</v>
      </c>
    </row>
    <row r="225" spans="1:25" x14ac:dyDescent="0.25">
      <c r="A225" s="150"/>
      <c r="B225" s="158">
        <v>49188</v>
      </c>
      <c r="C225" s="153"/>
      <c r="D225" s="153"/>
      <c r="E225" s="178"/>
      <c r="L225" s="150" t="str">
        <f t="shared" si="51"/>
        <v>Jan</v>
      </c>
      <c r="M225" s="150" t="str">
        <f t="shared" si="49"/>
        <v>00</v>
      </c>
      <c r="N225" s="153"/>
      <c r="V225" s="151">
        <f t="shared" si="52"/>
        <v>0</v>
      </c>
      <c r="W225" s="151">
        <f t="shared" si="53"/>
        <v>0</v>
      </c>
      <c r="X225" s="151">
        <f t="shared" si="54"/>
        <v>0</v>
      </c>
      <c r="Y225" s="151">
        <f t="shared" si="50"/>
        <v>0</v>
      </c>
    </row>
    <row r="226" spans="1:25" x14ac:dyDescent="0.25">
      <c r="A226" s="150"/>
      <c r="B226" s="158">
        <v>49218</v>
      </c>
      <c r="C226" s="153"/>
      <c r="D226" s="153"/>
      <c r="E226" s="178"/>
      <c r="L226" s="150" t="str">
        <f t="shared" si="51"/>
        <v>Jan</v>
      </c>
      <c r="M226" s="150" t="str">
        <f t="shared" si="49"/>
        <v>00</v>
      </c>
      <c r="N226" s="153"/>
      <c r="V226" s="151">
        <f t="shared" si="52"/>
        <v>0</v>
      </c>
      <c r="W226" s="151">
        <f t="shared" si="53"/>
        <v>0</v>
      </c>
      <c r="X226" s="151">
        <f t="shared" si="54"/>
        <v>0</v>
      </c>
      <c r="Y226" s="151">
        <f t="shared" si="50"/>
        <v>0</v>
      </c>
    </row>
    <row r="227" spans="1:25" x14ac:dyDescent="0.25">
      <c r="A227" s="150"/>
      <c r="B227" s="158">
        <v>49249</v>
      </c>
      <c r="C227" s="153"/>
      <c r="D227" s="153"/>
      <c r="E227" s="178"/>
      <c r="L227" s="150" t="str">
        <f t="shared" si="51"/>
        <v>Jan</v>
      </c>
      <c r="M227" s="150" t="str">
        <f t="shared" si="49"/>
        <v>00</v>
      </c>
      <c r="N227" s="153"/>
      <c r="V227" s="151">
        <f t="shared" si="52"/>
        <v>0</v>
      </c>
      <c r="W227" s="151">
        <f t="shared" si="53"/>
        <v>0</v>
      </c>
      <c r="X227" s="151">
        <f t="shared" si="54"/>
        <v>0</v>
      </c>
      <c r="Y227" s="151">
        <f t="shared" si="50"/>
        <v>0</v>
      </c>
    </row>
    <row r="228" spans="1:25" x14ac:dyDescent="0.25">
      <c r="A228" s="150"/>
      <c r="B228" s="158">
        <v>49279</v>
      </c>
      <c r="C228" s="153"/>
      <c r="D228" s="153"/>
      <c r="E228" s="178"/>
      <c r="L228" s="150" t="str">
        <f t="shared" si="51"/>
        <v>Jan</v>
      </c>
      <c r="M228" s="150" t="str">
        <f t="shared" si="49"/>
        <v>00</v>
      </c>
      <c r="N228" s="153"/>
      <c r="V228" s="151">
        <f t="shared" si="52"/>
        <v>0</v>
      </c>
      <c r="W228" s="151">
        <f t="shared" si="53"/>
        <v>0</v>
      </c>
      <c r="X228" s="151">
        <f t="shared" si="54"/>
        <v>0</v>
      </c>
      <c r="Y228" s="151">
        <f t="shared" si="50"/>
        <v>0</v>
      </c>
    </row>
    <row r="229" spans="1:25" x14ac:dyDescent="0.25">
      <c r="A229" s="150"/>
      <c r="B229" s="158">
        <v>49310</v>
      </c>
      <c r="C229" s="153"/>
      <c r="D229" s="153"/>
      <c r="E229" s="178"/>
      <c r="L229" s="150" t="str">
        <f t="shared" si="51"/>
        <v>Jan</v>
      </c>
      <c r="M229" s="150" t="str">
        <f t="shared" si="49"/>
        <v>00</v>
      </c>
      <c r="N229" s="153"/>
      <c r="V229" s="151">
        <f t="shared" si="52"/>
        <v>0</v>
      </c>
      <c r="W229" s="151">
        <f t="shared" si="53"/>
        <v>0</v>
      </c>
      <c r="X229" s="151">
        <f t="shared" si="54"/>
        <v>0</v>
      </c>
      <c r="Y229" s="151">
        <f t="shared" si="50"/>
        <v>0</v>
      </c>
    </row>
    <row r="230" spans="1:25" x14ac:dyDescent="0.25">
      <c r="A230" s="150"/>
      <c r="B230" s="158">
        <v>49341</v>
      </c>
      <c r="C230" s="153"/>
      <c r="D230" s="153"/>
      <c r="E230" s="178"/>
      <c r="L230" s="150" t="str">
        <f t="shared" si="51"/>
        <v>Jan</v>
      </c>
      <c r="M230" s="150" t="str">
        <f t="shared" si="49"/>
        <v>00</v>
      </c>
      <c r="N230" s="153"/>
      <c r="V230" s="151">
        <f t="shared" si="52"/>
        <v>0</v>
      </c>
      <c r="W230" s="151">
        <f t="shared" si="53"/>
        <v>0</v>
      </c>
      <c r="X230" s="151">
        <f t="shared" si="54"/>
        <v>0</v>
      </c>
      <c r="Y230" s="151">
        <f t="shared" si="50"/>
        <v>0</v>
      </c>
    </row>
    <row r="231" spans="1:25" x14ac:dyDescent="0.25">
      <c r="A231" s="150"/>
      <c r="B231" s="158">
        <v>49369</v>
      </c>
      <c r="C231" s="153"/>
      <c r="D231" s="153"/>
      <c r="E231" s="178"/>
      <c r="L231" s="150" t="str">
        <f t="shared" si="51"/>
        <v>Jan</v>
      </c>
      <c r="M231" s="150" t="str">
        <f t="shared" si="49"/>
        <v>00</v>
      </c>
      <c r="N231" s="153"/>
      <c r="V231" s="151">
        <f t="shared" si="52"/>
        <v>0</v>
      </c>
      <c r="W231" s="151">
        <f t="shared" si="53"/>
        <v>0</v>
      </c>
      <c r="X231" s="151">
        <f t="shared" si="54"/>
        <v>0</v>
      </c>
      <c r="Y231" s="151">
        <f t="shared" si="50"/>
        <v>0</v>
      </c>
    </row>
    <row r="232" spans="1:25" x14ac:dyDescent="0.25">
      <c r="A232" s="150"/>
      <c r="B232" s="158">
        <v>49400</v>
      </c>
      <c r="C232" s="153"/>
      <c r="D232" s="153"/>
      <c r="E232" s="178"/>
      <c r="L232" s="150" t="str">
        <f t="shared" si="51"/>
        <v>Jan</v>
      </c>
      <c r="M232" s="150" t="str">
        <f t="shared" si="49"/>
        <v>00</v>
      </c>
      <c r="N232" s="153"/>
      <c r="V232" s="151">
        <f t="shared" si="52"/>
        <v>0</v>
      </c>
      <c r="W232" s="151">
        <f t="shared" si="53"/>
        <v>0</v>
      </c>
      <c r="X232" s="151">
        <f t="shared" si="54"/>
        <v>0</v>
      </c>
      <c r="Y232" s="151">
        <f t="shared" si="50"/>
        <v>0</v>
      </c>
    </row>
    <row r="233" spans="1:25" x14ac:dyDescent="0.25">
      <c r="A233" s="150"/>
      <c r="B233" s="158">
        <v>49430</v>
      </c>
      <c r="C233" s="153"/>
      <c r="D233" s="153"/>
      <c r="E233" s="178"/>
      <c r="L233" s="150" t="str">
        <f t="shared" si="51"/>
        <v>Jan</v>
      </c>
      <c r="M233" s="150" t="str">
        <f t="shared" si="49"/>
        <v>00</v>
      </c>
      <c r="N233" s="153"/>
      <c r="V233" s="151">
        <f t="shared" si="52"/>
        <v>0</v>
      </c>
      <c r="W233" s="151">
        <f t="shared" si="53"/>
        <v>0</v>
      </c>
      <c r="X233" s="151">
        <f t="shared" si="54"/>
        <v>0</v>
      </c>
      <c r="Y233" s="151">
        <f t="shared" si="50"/>
        <v>0</v>
      </c>
    </row>
    <row r="234" spans="1:25" x14ac:dyDescent="0.25">
      <c r="A234" s="150"/>
      <c r="B234" s="158">
        <v>49461</v>
      </c>
      <c r="C234" s="153"/>
      <c r="D234" s="153"/>
      <c r="E234" s="178"/>
      <c r="L234" s="150" t="str">
        <f t="shared" si="51"/>
        <v>Jan</v>
      </c>
      <c r="M234" s="150" t="str">
        <f t="shared" ref="M234:M297" si="55">TEXT(E234,"yy")</f>
        <v>00</v>
      </c>
      <c r="N234" s="153"/>
      <c r="V234" s="151">
        <f t="shared" si="52"/>
        <v>0</v>
      </c>
      <c r="W234" s="151">
        <f t="shared" si="53"/>
        <v>0</v>
      </c>
      <c r="X234" s="151">
        <f t="shared" si="54"/>
        <v>0</v>
      </c>
      <c r="Y234" s="151">
        <f t="shared" si="50"/>
        <v>0</v>
      </c>
    </row>
    <row r="235" spans="1:25" x14ac:dyDescent="0.25">
      <c r="A235" s="150"/>
      <c r="B235" s="158">
        <v>49491</v>
      </c>
      <c r="C235" s="153"/>
      <c r="D235" s="153"/>
      <c r="E235" s="178"/>
      <c r="L235" s="150" t="str">
        <f t="shared" si="51"/>
        <v>Jan</v>
      </c>
      <c r="M235" s="150" t="str">
        <f t="shared" si="55"/>
        <v>00</v>
      </c>
      <c r="N235" s="153"/>
      <c r="V235" s="151">
        <f t="shared" si="52"/>
        <v>0</v>
      </c>
      <c r="W235" s="151">
        <f t="shared" si="53"/>
        <v>0</v>
      </c>
      <c r="X235" s="151">
        <f t="shared" si="54"/>
        <v>0</v>
      </c>
      <c r="Y235" s="151">
        <f t="shared" si="50"/>
        <v>0</v>
      </c>
    </row>
    <row r="236" spans="1:25" x14ac:dyDescent="0.25">
      <c r="A236" s="150"/>
      <c r="B236" s="158">
        <v>49522</v>
      </c>
      <c r="C236" s="153"/>
      <c r="D236" s="153"/>
      <c r="E236" s="178"/>
      <c r="L236" s="150" t="str">
        <f t="shared" si="51"/>
        <v>Jan</v>
      </c>
      <c r="M236" s="150" t="str">
        <f t="shared" si="55"/>
        <v>00</v>
      </c>
      <c r="N236" s="153"/>
      <c r="V236" s="151">
        <f t="shared" si="52"/>
        <v>0</v>
      </c>
      <c r="W236" s="151">
        <f t="shared" si="53"/>
        <v>0</v>
      </c>
      <c r="X236" s="151">
        <f t="shared" si="54"/>
        <v>0</v>
      </c>
      <c r="Y236" s="151">
        <f t="shared" si="50"/>
        <v>0</v>
      </c>
    </row>
    <row r="237" spans="1:25" x14ac:dyDescent="0.25">
      <c r="A237" s="150"/>
      <c r="B237" s="158">
        <v>49553</v>
      </c>
      <c r="C237" s="153"/>
      <c r="D237" s="153"/>
      <c r="E237" s="178"/>
      <c r="L237" s="150" t="str">
        <f t="shared" si="51"/>
        <v>Jan</v>
      </c>
      <c r="M237" s="150" t="str">
        <f t="shared" si="55"/>
        <v>00</v>
      </c>
      <c r="N237" s="153"/>
      <c r="V237" s="151">
        <f t="shared" si="52"/>
        <v>0</v>
      </c>
      <c r="W237" s="151">
        <f t="shared" si="53"/>
        <v>0</v>
      </c>
      <c r="X237" s="151">
        <f t="shared" si="54"/>
        <v>0</v>
      </c>
      <c r="Y237" s="151">
        <f t="shared" si="50"/>
        <v>0</v>
      </c>
    </row>
    <row r="238" spans="1:25" x14ac:dyDescent="0.25">
      <c r="A238" s="150"/>
      <c r="B238" s="158">
        <v>49583</v>
      </c>
      <c r="C238" s="153"/>
      <c r="D238" s="153"/>
      <c r="E238" s="178"/>
      <c r="L238" s="150" t="str">
        <f t="shared" si="51"/>
        <v>Jan</v>
      </c>
      <c r="M238" s="150" t="str">
        <f t="shared" si="55"/>
        <v>00</v>
      </c>
      <c r="N238" s="153"/>
      <c r="V238" s="151">
        <f t="shared" si="52"/>
        <v>0</v>
      </c>
      <c r="W238" s="151">
        <f t="shared" si="53"/>
        <v>0</v>
      </c>
      <c r="X238" s="151">
        <f t="shared" si="54"/>
        <v>0</v>
      </c>
      <c r="Y238" s="151">
        <f t="shared" si="50"/>
        <v>0</v>
      </c>
    </row>
    <row r="239" spans="1:25" x14ac:dyDescent="0.25">
      <c r="A239" s="150"/>
      <c r="B239" s="158">
        <v>49614</v>
      </c>
      <c r="C239" s="153"/>
      <c r="D239" s="153"/>
      <c r="E239" s="178"/>
      <c r="L239" s="150" t="str">
        <f t="shared" si="51"/>
        <v>Jan</v>
      </c>
      <c r="M239" s="150" t="str">
        <f t="shared" si="55"/>
        <v>00</v>
      </c>
      <c r="N239" s="153"/>
      <c r="V239" s="151">
        <f t="shared" si="52"/>
        <v>0</v>
      </c>
      <c r="W239" s="151">
        <f t="shared" si="53"/>
        <v>0</v>
      </c>
      <c r="X239" s="151">
        <f t="shared" si="54"/>
        <v>0</v>
      </c>
      <c r="Y239" s="151">
        <f t="shared" si="50"/>
        <v>0</v>
      </c>
    </row>
    <row r="240" spans="1:25" x14ac:dyDescent="0.25">
      <c r="A240" s="150"/>
      <c r="B240" s="158">
        <v>49644</v>
      </c>
      <c r="C240" s="153"/>
      <c r="D240" s="153"/>
      <c r="E240" s="178"/>
      <c r="L240" s="150" t="str">
        <f t="shared" si="51"/>
        <v>Jan</v>
      </c>
      <c r="M240" s="150" t="str">
        <f t="shared" si="55"/>
        <v>00</v>
      </c>
      <c r="N240" s="153"/>
      <c r="V240" s="151">
        <f t="shared" si="52"/>
        <v>0</v>
      </c>
      <c r="W240" s="151">
        <f t="shared" si="53"/>
        <v>0</v>
      </c>
      <c r="X240" s="151">
        <f t="shared" si="54"/>
        <v>0</v>
      </c>
      <c r="Y240" s="151">
        <f t="shared" si="50"/>
        <v>0</v>
      </c>
    </row>
    <row r="241" spans="1:25" x14ac:dyDescent="0.25">
      <c r="A241" s="150"/>
      <c r="B241" s="158">
        <v>49675</v>
      </c>
      <c r="C241" s="153"/>
      <c r="D241" s="153"/>
      <c r="E241" s="178"/>
      <c r="L241" s="150" t="str">
        <f t="shared" si="51"/>
        <v>Jan</v>
      </c>
      <c r="M241" s="150" t="str">
        <f t="shared" si="55"/>
        <v>00</v>
      </c>
      <c r="N241" s="153"/>
      <c r="V241" s="151">
        <f t="shared" si="52"/>
        <v>0</v>
      </c>
      <c r="W241" s="151">
        <f t="shared" si="53"/>
        <v>0</v>
      </c>
      <c r="X241" s="151">
        <f t="shared" si="54"/>
        <v>0</v>
      </c>
      <c r="Y241" s="151">
        <f t="shared" si="50"/>
        <v>0</v>
      </c>
    </row>
    <row r="242" spans="1:25" x14ac:dyDescent="0.25">
      <c r="A242" s="150"/>
      <c r="B242" s="158">
        <v>49706</v>
      </c>
      <c r="C242" s="153"/>
      <c r="D242" s="153"/>
      <c r="E242" s="178"/>
      <c r="L242" s="150" t="str">
        <f t="shared" si="51"/>
        <v>Jan</v>
      </c>
      <c r="M242" s="150" t="str">
        <f t="shared" si="55"/>
        <v>00</v>
      </c>
      <c r="N242" s="153"/>
      <c r="V242" s="151">
        <f t="shared" si="52"/>
        <v>0</v>
      </c>
      <c r="W242" s="151">
        <f t="shared" si="53"/>
        <v>0</v>
      </c>
      <c r="X242" s="151">
        <f t="shared" si="54"/>
        <v>0</v>
      </c>
      <c r="Y242" s="151">
        <f t="shared" si="50"/>
        <v>0</v>
      </c>
    </row>
    <row r="243" spans="1:25" x14ac:dyDescent="0.25">
      <c r="A243" s="150"/>
      <c r="B243" s="158">
        <v>49735</v>
      </c>
      <c r="C243" s="153"/>
      <c r="D243" s="153"/>
      <c r="E243" s="178"/>
      <c r="L243" s="150" t="str">
        <f t="shared" si="51"/>
        <v>Jan</v>
      </c>
      <c r="M243" s="150" t="str">
        <f t="shared" si="55"/>
        <v>00</v>
      </c>
      <c r="N243" s="153"/>
      <c r="V243" s="151">
        <f t="shared" si="52"/>
        <v>0</v>
      </c>
      <c r="W243" s="151">
        <f t="shared" si="53"/>
        <v>0</v>
      </c>
      <c r="X243" s="151">
        <f t="shared" si="54"/>
        <v>0</v>
      </c>
      <c r="Y243" s="151">
        <f t="shared" si="50"/>
        <v>0</v>
      </c>
    </row>
    <row r="244" spans="1:25" x14ac:dyDescent="0.25">
      <c r="A244" s="150"/>
      <c r="B244" s="158">
        <v>49766</v>
      </c>
      <c r="C244" s="153"/>
      <c r="D244" s="153"/>
      <c r="E244" s="178"/>
      <c r="L244" s="150" t="str">
        <f t="shared" si="51"/>
        <v>Jan</v>
      </c>
      <c r="M244" s="150" t="str">
        <f t="shared" si="55"/>
        <v>00</v>
      </c>
      <c r="N244" s="153"/>
      <c r="V244" s="151">
        <f t="shared" si="52"/>
        <v>0</v>
      </c>
      <c r="W244" s="151">
        <f t="shared" si="53"/>
        <v>0</v>
      </c>
      <c r="X244" s="151">
        <f t="shared" si="54"/>
        <v>0</v>
      </c>
      <c r="Y244" s="151">
        <f t="shared" si="50"/>
        <v>0</v>
      </c>
    </row>
    <row r="245" spans="1:25" x14ac:dyDescent="0.25">
      <c r="A245" s="150"/>
      <c r="B245" s="158">
        <v>49796</v>
      </c>
      <c r="C245" s="153"/>
      <c r="D245" s="153"/>
      <c r="E245" s="178"/>
      <c r="L245" s="150" t="str">
        <f t="shared" si="51"/>
        <v>Jan</v>
      </c>
      <c r="M245" s="150" t="str">
        <f t="shared" si="55"/>
        <v>00</v>
      </c>
      <c r="N245" s="153"/>
      <c r="V245" s="151">
        <f t="shared" si="52"/>
        <v>0</v>
      </c>
      <c r="W245" s="151">
        <f t="shared" si="53"/>
        <v>0</v>
      </c>
      <c r="X245" s="151">
        <f t="shared" si="54"/>
        <v>0</v>
      </c>
      <c r="Y245" s="151">
        <f t="shared" si="50"/>
        <v>0</v>
      </c>
    </row>
    <row r="246" spans="1:25" x14ac:dyDescent="0.25">
      <c r="A246" s="150"/>
      <c r="B246" s="158">
        <v>49827</v>
      </c>
      <c r="C246" s="153"/>
      <c r="D246" s="153"/>
      <c r="E246" s="178"/>
      <c r="L246" s="150" t="str">
        <f t="shared" si="51"/>
        <v>Jan</v>
      </c>
      <c r="M246" s="150" t="str">
        <f t="shared" si="55"/>
        <v>00</v>
      </c>
      <c r="N246" s="153"/>
      <c r="V246" s="151">
        <f t="shared" si="52"/>
        <v>0</v>
      </c>
      <c r="W246" s="151">
        <f t="shared" si="53"/>
        <v>0</v>
      </c>
      <c r="X246" s="151">
        <f t="shared" si="54"/>
        <v>0</v>
      </c>
      <c r="Y246" s="151">
        <f t="shared" si="50"/>
        <v>0</v>
      </c>
    </row>
    <row r="247" spans="1:25" x14ac:dyDescent="0.25">
      <c r="A247" s="150"/>
      <c r="B247" s="158">
        <v>49857</v>
      </c>
      <c r="C247" s="153"/>
      <c r="D247" s="153"/>
      <c r="E247" s="178"/>
      <c r="L247" s="150" t="str">
        <f t="shared" si="51"/>
        <v>Jan</v>
      </c>
      <c r="M247" s="150" t="str">
        <f t="shared" si="55"/>
        <v>00</v>
      </c>
      <c r="N247" s="153"/>
      <c r="V247" s="151">
        <f t="shared" si="52"/>
        <v>0</v>
      </c>
      <c r="W247" s="151">
        <f t="shared" si="53"/>
        <v>0</v>
      </c>
      <c r="X247" s="151">
        <f t="shared" si="54"/>
        <v>0</v>
      </c>
      <c r="Y247" s="151">
        <f t="shared" si="50"/>
        <v>0</v>
      </c>
    </row>
    <row r="248" spans="1:25" x14ac:dyDescent="0.25">
      <c r="A248" s="150"/>
      <c r="B248" s="158">
        <v>49888</v>
      </c>
      <c r="C248" s="153"/>
      <c r="D248" s="153"/>
      <c r="E248" s="178"/>
      <c r="L248" s="150" t="str">
        <f t="shared" si="51"/>
        <v>Jan</v>
      </c>
      <c r="M248" s="150" t="str">
        <f t="shared" si="55"/>
        <v>00</v>
      </c>
      <c r="N248" s="153"/>
      <c r="V248" s="151">
        <f t="shared" si="52"/>
        <v>0</v>
      </c>
      <c r="W248" s="151">
        <f t="shared" si="53"/>
        <v>0</v>
      </c>
      <c r="X248" s="151">
        <f t="shared" si="54"/>
        <v>0</v>
      </c>
      <c r="Y248" s="151">
        <f t="shared" si="50"/>
        <v>0</v>
      </c>
    </row>
    <row r="249" spans="1:25" x14ac:dyDescent="0.25">
      <c r="A249" s="150"/>
      <c r="B249" s="158">
        <v>49919</v>
      </c>
      <c r="C249" s="153"/>
      <c r="D249" s="153"/>
      <c r="E249" s="178"/>
      <c r="L249" s="150" t="str">
        <f t="shared" si="51"/>
        <v>Jan</v>
      </c>
      <c r="M249" s="150" t="str">
        <f t="shared" si="55"/>
        <v>00</v>
      </c>
      <c r="N249" s="153"/>
      <c r="V249" s="151">
        <f t="shared" si="52"/>
        <v>0</v>
      </c>
      <c r="W249" s="151">
        <f t="shared" si="53"/>
        <v>0</v>
      </c>
      <c r="X249" s="151">
        <f t="shared" si="54"/>
        <v>0</v>
      </c>
      <c r="Y249" s="151">
        <f t="shared" si="50"/>
        <v>0</v>
      </c>
    </row>
    <row r="250" spans="1:25" x14ac:dyDescent="0.25">
      <c r="A250" s="150"/>
      <c r="B250" s="158">
        <v>49949</v>
      </c>
      <c r="C250" s="153"/>
      <c r="D250" s="153"/>
      <c r="E250" s="178"/>
      <c r="L250" s="150" t="str">
        <f t="shared" si="51"/>
        <v>Jan</v>
      </c>
      <c r="M250" s="150" t="str">
        <f t="shared" si="55"/>
        <v>00</v>
      </c>
      <c r="N250" s="153"/>
      <c r="V250" s="151">
        <f t="shared" si="52"/>
        <v>0</v>
      </c>
      <c r="W250" s="151">
        <f t="shared" si="53"/>
        <v>0</v>
      </c>
      <c r="X250" s="151">
        <f t="shared" si="54"/>
        <v>0</v>
      </c>
      <c r="Y250" s="151">
        <f t="shared" si="50"/>
        <v>0</v>
      </c>
    </row>
    <row r="251" spans="1:25" x14ac:dyDescent="0.25">
      <c r="A251" s="150"/>
      <c r="B251" s="158">
        <v>49980</v>
      </c>
      <c r="C251" s="153"/>
      <c r="D251" s="153"/>
      <c r="E251" s="178"/>
      <c r="L251" s="150" t="str">
        <f t="shared" si="51"/>
        <v>Jan</v>
      </c>
      <c r="M251" s="150" t="str">
        <f t="shared" si="55"/>
        <v>00</v>
      </c>
      <c r="N251" s="153"/>
      <c r="V251" s="151">
        <f t="shared" si="52"/>
        <v>0</v>
      </c>
      <c r="W251" s="151">
        <f t="shared" si="53"/>
        <v>0</v>
      </c>
      <c r="X251" s="151">
        <f t="shared" si="54"/>
        <v>0</v>
      </c>
      <c r="Y251" s="151">
        <f t="shared" si="50"/>
        <v>0</v>
      </c>
    </row>
    <row r="252" spans="1:25" x14ac:dyDescent="0.25">
      <c r="A252" s="150"/>
      <c r="B252" s="158">
        <v>50010</v>
      </c>
      <c r="C252" s="153"/>
      <c r="D252" s="153"/>
      <c r="E252" s="178"/>
      <c r="L252" s="150" t="str">
        <f t="shared" si="51"/>
        <v>Jan</v>
      </c>
      <c r="M252" s="150" t="str">
        <f t="shared" si="55"/>
        <v>00</v>
      </c>
      <c r="N252" s="153"/>
      <c r="V252" s="151">
        <f t="shared" si="52"/>
        <v>0</v>
      </c>
      <c r="W252" s="151">
        <f t="shared" si="53"/>
        <v>0</v>
      </c>
      <c r="X252" s="151">
        <f t="shared" si="54"/>
        <v>0</v>
      </c>
      <c r="Y252" s="151">
        <f t="shared" si="50"/>
        <v>0</v>
      </c>
    </row>
    <row r="253" spans="1:25" x14ac:dyDescent="0.25">
      <c r="A253" s="150"/>
      <c r="B253" s="158">
        <v>50041</v>
      </c>
      <c r="C253" s="153"/>
      <c r="D253" s="153"/>
      <c r="E253" s="178"/>
      <c r="L253" s="150" t="str">
        <f t="shared" si="51"/>
        <v>Jan</v>
      </c>
      <c r="M253" s="150" t="str">
        <f t="shared" si="55"/>
        <v>00</v>
      </c>
      <c r="N253" s="153"/>
      <c r="V253" s="151">
        <f t="shared" si="52"/>
        <v>0</v>
      </c>
      <c r="W253" s="151">
        <f t="shared" si="53"/>
        <v>0</v>
      </c>
      <c r="X253" s="151">
        <f t="shared" si="54"/>
        <v>0</v>
      </c>
      <c r="Y253" s="151">
        <f t="shared" si="50"/>
        <v>0</v>
      </c>
    </row>
    <row r="254" spans="1:25" x14ac:dyDescent="0.25">
      <c r="A254" s="150"/>
      <c r="B254" s="158">
        <v>50072</v>
      </c>
      <c r="C254" s="153"/>
      <c r="D254" s="153"/>
      <c r="E254" s="178"/>
      <c r="L254" s="150" t="str">
        <f t="shared" si="51"/>
        <v>Jan</v>
      </c>
      <c r="M254" s="150" t="str">
        <f t="shared" si="55"/>
        <v>00</v>
      </c>
      <c r="N254" s="153"/>
      <c r="V254" s="151">
        <f t="shared" si="52"/>
        <v>0</v>
      </c>
      <c r="W254" s="151">
        <f t="shared" si="53"/>
        <v>0</v>
      </c>
      <c r="X254" s="151">
        <f t="shared" si="54"/>
        <v>0</v>
      </c>
      <c r="Y254" s="151">
        <f t="shared" si="50"/>
        <v>0</v>
      </c>
    </row>
    <row r="255" spans="1:25" x14ac:dyDescent="0.25">
      <c r="A255" s="150"/>
      <c r="B255" s="158">
        <v>50100</v>
      </c>
      <c r="C255" s="153"/>
      <c r="D255" s="153"/>
      <c r="E255" s="178"/>
      <c r="L255" s="150" t="str">
        <f t="shared" si="51"/>
        <v>Jan</v>
      </c>
      <c r="M255" s="150" t="str">
        <f t="shared" si="55"/>
        <v>00</v>
      </c>
      <c r="N255" s="153"/>
      <c r="V255" s="151">
        <f t="shared" si="52"/>
        <v>0</v>
      </c>
      <c r="W255" s="151">
        <f t="shared" si="53"/>
        <v>0</v>
      </c>
      <c r="X255" s="151">
        <f t="shared" si="54"/>
        <v>0</v>
      </c>
      <c r="Y255" s="151">
        <f t="shared" si="50"/>
        <v>0</v>
      </c>
    </row>
    <row r="256" spans="1:25" x14ac:dyDescent="0.25">
      <c r="A256" s="150"/>
      <c r="B256" s="158">
        <v>50131</v>
      </c>
      <c r="C256" s="153"/>
      <c r="D256" s="153"/>
      <c r="E256" s="178"/>
      <c r="L256" s="150" t="str">
        <f t="shared" si="51"/>
        <v>Jan</v>
      </c>
      <c r="M256" s="150" t="str">
        <f t="shared" si="55"/>
        <v>00</v>
      </c>
      <c r="N256" s="153"/>
      <c r="V256" s="151">
        <f t="shared" si="52"/>
        <v>0</v>
      </c>
      <c r="W256" s="151">
        <f t="shared" si="53"/>
        <v>0</v>
      </c>
      <c r="X256" s="151">
        <f t="shared" si="54"/>
        <v>0</v>
      </c>
      <c r="Y256" s="151">
        <f t="shared" si="50"/>
        <v>0</v>
      </c>
    </row>
    <row r="257" spans="1:25" x14ac:dyDescent="0.25">
      <c r="A257" s="150"/>
      <c r="B257" s="158">
        <v>50161</v>
      </c>
      <c r="C257" s="153"/>
      <c r="D257" s="153"/>
      <c r="E257" s="178"/>
      <c r="L257" s="150" t="str">
        <f t="shared" si="51"/>
        <v>Jan</v>
      </c>
      <c r="M257" s="150" t="str">
        <f t="shared" si="55"/>
        <v>00</v>
      </c>
      <c r="N257" s="153"/>
      <c r="V257" s="151">
        <f t="shared" si="52"/>
        <v>0</v>
      </c>
      <c r="W257" s="151">
        <f t="shared" si="53"/>
        <v>0</v>
      </c>
      <c r="X257" s="151">
        <f t="shared" si="54"/>
        <v>0</v>
      </c>
      <c r="Y257" s="151">
        <f t="shared" si="50"/>
        <v>0</v>
      </c>
    </row>
    <row r="258" spans="1:25" x14ac:dyDescent="0.25">
      <c r="A258" s="150"/>
      <c r="B258" s="158">
        <v>50192</v>
      </c>
      <c r="C258" s="153"/>
      <c r="D258" s="153"/>
      <c r="E258" s="178"/>
      <c r="L258" s="150" t="str">
        <f t="shared" si="51"/>
        <v>Jan</v>
      </c>
      <c r="M258" s="150" t="str">
        <f t="shared" si="55"/>
        <v>00</v>
      </c>
      <c r="N258" s="153"/>
      <c r="V258" s="151">
        <f t="shared" si="52"/>
        <v>0</v>
      </c>
      <c r="W258" s="151">
        <f t="shared" si="53"/>
        <v>0</v>
      </c>
      <c r="X258" s="151">
        <f t="shared" si="54"/>
        <v>0</v>
      </c>
      <c r="Y258" s="151">
        <f t="shared" si="50"/>
        <v>0</v>
      </c>
    </row>
    <row r="259" spans="1:25" x14ac:dyDescent="0.25">
      <c r="A259" s="150"/>
      <c r="B259" s="158">
        <v>50222</v>
      </c>
      <c r="C259" s="153"/>
      <c r="D259" s="153"/>
      <c r="E259" s="178"/>
      <c r="L259" s="150" t="str">
        <f t="shared" si="51"/>
        <v>Jan</v>
      </c>
      <c r="M259" s="150" t="str">
        <f t="shared" si="55"/>
        <v>00</v>
      </c>
      <c r="N259" s="153"/>
      <c r="V259" s="151">
        <f t="shared" si="52"/>
        <v>0</v>
      </c>
      <c r="W259" s="151">
        <f t="shared" si="53"/>
        <v>0</v>
      </c>
      <c r="X259" s="151">
        <f t="shared" si="54"/>
        <v>0</v>
      </c>
      <c r="Y259" s="151">
        <f t="shared" ref="Y259:Y322" si="56">V259+W259+X259</f>
        <v>0</v>
      </c>
    </row>
    <row r="260" spans="1:25" x14ac:dyDescent="0.25">
      <c r="A260" s="150"/>
      <c r="B260" s="158">
        <v>50253</v>
      </c>
      <c r="C260" s="153"/>
      <c r="D260" s="153"/>
      <c r="E260" s="178"/>
      <c r="L260" s="150" t="str">
        <f t="shared" si="51"/>
        <v>Jan</v>
      </c>
      <c r="M260" s="150" t="str">
        <f t="shared" si="55"/>
        <v>00</v>
      </c>
      <c r="N260" s="153"/>
      <c r="V260" s="151">
        <f t="shared" si="52"/>
        <v>0</v>
      </c>
      <c r="W260" s="151">
        <f t="shared" si="53"/>
        <v>0</v>
      </c>
      <c r="X260" s="151">
        <f t="shared" si="54"/>
        <v>0</v>
      </c>
      <c r="Y260" s="151">
        <f t="shared" si="56"/>
        <v>0</v>
      </c>
    </row>
    <row r="261" spans="1:25" x14ac:dyDescent="0.25">
      <c r="A261" s="150"/>
      <c r="B261" s="158">
        <v>50284</v>
      </c>
      <c r="C261" s="153"/>
      <c r="D261" s="153"/>
      <c r="E261" s="178"/>
      <c r="L261" s="150" t="str">
        <f t="shared" si="51"/>
        <v>Jan</v>
      </c>
      <c r="M261" s="150" t="str">
        <f t="shared" si="55"/>
        <v>00</v>
      </c>
      <c r="N261" s="153"/>
      <c r="V261" s="151">
        <f t="shared" si="52"/>
        <v>0</v>
      </c>
      <c r="W261" s="151">
        <f t="shared" si="53"/>
        <v>0</v>
      </c>
      <c r="X261" s="151">
        <f t="shared" si="54"/>
        <v>0</v>
      </c>
      <c r="Y261" s="151">
        <f t="shared" si="56"/>
        <v>0</v>
      </c>
    </row>
    <row r="262" spans="1:25" x14ac:dyDescent="0.25">
      <c r="A262" s="150"/>
      <c r="B262" s="158">
        <v>50314</v>
      </c>
      <c r="C262" s="153"/>
      <c r="D262" s="153"/>
      <c r="E262" s="178"/>
      <c r="L262" s="150" t="str">
        <f t="shared" si="51"/>
        <v>Jan</v>
      </c>
      <c r="M262" s="150" t="str">
        <f t="shared" si="55"/>
        <v>00</v>
      </c>
      <c r="N262" s="153"/>
      <c r="V262" s="151">
        <f t="shared" si="52"/>
        <v>0</v>
      </c>
      <c r="W262" s="151">
        <f t="shared" si="53"/>
        <v>0</v>
      </c>
      <c r="X262" s="151">
        <f t="shared" si="54"/>
        <v>0</v>
      </c>
      <c r="Y262" s="151">
        <f t="shared" si="56"/>
        <v>0</v>
      </c>
    </row>
    <row r="263" spans="1:25" x14ac:dyDescent="0.25">
      <c r="A263" s="150"/>
      <c r="B263" s="158">
        <v>50345</v>
      </c>
      <c r="C263" s="153"/>
      <c r="D263" s="153"/>
      <c r="E263" s="178"/>
      <c r="L263" s="150" t="str">
        <f t="shared" si="51"/>
        <v>Jan</v>
      </c>
      <c r="M263" s="150" t="str">
        <f t="shared" si="55"/>
        <v>00</v>
      </c>
      <c r="N263" s="153"/>
      <c r="V263" s="151">
        <f t="shared" si="52"/>
        <v>0</v>
      </c>
      <c r="W263" s="151">
        <f t="shared" si="53"/>
        <v>0</v>
      </c>
      <c r="X263" s="151">
        <f t="shared" si="54"/>
        <v>0</v>
      </c>
      <c r="Y263" s="151">
        <f t="shared" si="56"/>
        <v>0</v>
      </c>
    </row>
    <row r="264" spans="1:25" x14ac:dyDescent="0.25">
      <c r="A264" s="150"/>
      <c r="B264" s="158">
        <v>50375</v>
      </c>
      <c r="C264" s="153"/>
      <c r="D264" s="153"/>
      <c r="E264" s="178"/>
      <c r="L264" s="150" t="str">
        <f t="shared" si="51"/>
        <v>Jan</v>
      </c>
      <c r="M264" s="150" t="str">
        <f t="shared" si="55"/>
        <v>00</v>
      </c>
      <c r="N264" s="153"/>
      <c r="V264" s="151">
        <f t="shared" si="52"/>
        <v>0</v>
      </c>
      <c r="W264" s="151">
        <f t="shared" si="53"/>
        <v>0</v>
      </c>
      <c r="X264" s="151">
        <f t="shared" si="54"/>
        <v>0</v>
      </c>
      <c r="Y264" s="151">
        <f t="shared" si="56"/>
        <v>0</v>
      </c>
    </row>
    <row r="265" spans="1:25" x14ac:dyDescent="0.25">
      <c r="A265" s="150"/>
      <c r="B265" s="158">
        <v>50406</v>
      </c>
      <c r="C265" s="153"/>
      <c r="D265" s="153"/>
      <c r="E265" s="178"/>
      <c r="L265" s="150" t="str">
        <f t="shared" si="51"/>
        <v>Jan</v>
      </c>
      <c r="M265" s="150" t="str">
        <f t="shared" si="55"/>
        <v>00</v>
      </c>
      <c r="N265" s="153"/>
      <c r="V265" s="151">
        <f t="shared" si="52"/>
        <v>0</v>
      </c>
      <c r="W265" s="151">
        <f t="shared" si="53"/>
        <v>0</v>
      </c>
      <c r="X265" s="151">
        <f t="shared" si="54"/>
        <v>0</v>
      </c>
      <c r="Y265" s="151">
        <f t="shared" si="56"/>
        <v>0</v>
      </c>
    </row>
    <row r="266" spans="1:25" x14ac:dyDescent="0.25">
      <c r="A266" s="150"/>
      <c r="B266" s="158">
        <v>50437</v>
      </c>
      <c r="C266" s="153"/>
      <c r="D266" s="153"/>
      <c r="E266" s="178"/>
      <c r="L266" s="150" t="str">
        <f t="shared" si="51"/>
        <v>Jan</v>
      </c>
      <c r="M266" s="150" t="str">
        <f t="shared" si="55"/>
        <v>00</v>
      </c>
      <c r="N266" s="153"/>
      <c r="V266" s="151">
        <f t="shared" si="52"/>
        <v>0</v>
      </c>
      <c r="W266" s="151">
        <f t="shared" si="53"/>
        <v>0</v>
      </c>
      <c r="X266" s="151">
        <f t="shared" si="54"/>
        <v>0</v>
      </c>
      <c r="Y266" s="151">
        <f t="shared" si="56"/>
        <v>0</v>
      </c>
    </row>
    <row r="267" spans="1:25" x14ac:dyDescent="0.25">
      <c r="A267" s="150"/>
      <c r="B267" s="158">
        <v>50465</v>
      </c>
      <c r="C267" s="153"/>
      <c r="D267" s="153"/>
      <c r="E267" s="178"/>
      <c r="L267" s="150" t="str">
        <f t="shared" si="51"/>
        <v>Jan</v>
      </c>
      <c r="M267" s="150" t="str">
        <f t="shared" si="55"/>
        <v>00</v>
      </c>
      <c r="N267" s="153"/>
      <c r="V267" s="151">
        <f t="shared" si="52"/>
        <v>0</v>
      </c>
      <c r="W267" s="151">
        <f t="shared" si="53"/>
        <v>0</v>
      </c>
      <c r="X267" s="151">
        <f t="shared" si="54"/>
        <v>0</v>
      </c>
      <c r="Y267" s="151">
        <f t="shared" si="56"/>
        <v>0</v>
      </c>
    </row>
    <row r="268" spans="1:25" x14ac:dyDescent="0.25">
      <c r="A268" s="150"/>
      <c r="B268" s="158">
        <v>50496</v>
      </c>
      <c r="C268" s="153"/>
      <c r="D268" s="153"/>
      <c r="E268" s="178"/>
      <c r="L268" s="150" t="str">
        <f t="shared" si="51"/>
        <v>Jan</v>
      </c>
      <c r="M268" s="150" t="str">
        <f t="shared" si="55"/>
        <v>00</v>
      </c>
      <c r="N268" s="153"/>
      <c r="V268" s="151">
        <f t="shared" si="52"/>
        <v>0</v>
      </c>
      <c r="W268" s="151">
        <f t="shared" si="53"/>
        <v>0</v>
      </c>
      <c r="X268" s="151">
        <f t="shared" si="54"/>
        <v>0</v>
      </c>
      <c r="Y268" s="151">
        <f t="shared" si="56"/>
        <v>0</v>
      </c>
    </row>
    <row r="269" spans="1:25" x14ac:dyDescent="0.25">
      <c r="A269" s="150"/>
      <c r="B269" s="158">
        <v>50526</v>
      </c>
      <c r="C269" s="153"/>
      <c r="D269" s="153"/>
      <c r="E269" s="178"/>
      <c r="L269" s="150" t="str">
        <f t="shared" si="51"/>
        <v>Jan</v>
      </c>
      <c r="M269" s="150" t="str">
        <f t="shared" si="55"/>
        <v>00</v>
      </c>
      <c r="N269" s="153"/>
      <c r="V269" s="151">
        <f t="shared" si="52"/>
        <v>0</v>
      </c>
      <c r="W269" s="151">
        <f t="shared" si="53"/>
        <v>0</v>
      </c>
      <c r="X269" s="151">
        <f t="shared" si="54"/>
        <v>0</v>
      </c>
      <c r="Y269" s="151">
        <f t="shared" si="56"/>
        <v>0</v>
      </c>
    </row>
    <row r="270" spans="1:25" x14ac:dyDescent="0.25">
      <c r="A270" s="150"/>
      <c r="B270" s="158">
        <v>50557</v>
      </c>
      <c r="C270" s="153"/>
      <c r="D270" s="153"/>
      <c r="E270" s="178"/>
      <c r="L270" s="150" t="str">
        <f t="shared" si="51"/>
        <v>Jan</v>
      </c>
      <c r="M270" s="150" t="str">
        <f t="shared" si="55"/>
        <v>00</v>
      </c>
      <c r="N270" s="153"/>
      <c r="V270" s="151">
        <f t="shared" si="52"/>
        <v>0</v>
      </c>
      <c r="W270" s="151">
        <f t="shared" si="53"/>
        <v>0</v>
      </c>
      <c r="X270" s="151">
        <f t="shared" si="54"/>
        <v>0</v>
      </c>
      <c r="Y270" s="151">
        <f t="shared" si="56"/>
        <v>0</v>
      </c>
    </row>
    <row r="271" spans="1:25" x14ac:dyDescent="0.25">
      <c r="A271" s="150"/>
      <c r="B271" s="158">
        <v>50587</v>
      </c>
      <c r="C271" s="153"/>
      <c r="D271" s="153"/>
      <c r="E271" s="178"/>
      <c r="L271" s="150" t="str">
        <f t="shared" si="51"/>
        <v>Jan</v>
      </c>
      <c r="M271" s="150" t="str">
        <f t="shared" si="55"/>
        <v>00</v>
      </c>
      <c r="N271" s="153"/>
      <c r="V271" s="151">
        <f t="shared" si="52"/>
        <v>0</v>
      </c>
      <c r="W271" s="151">
        <f t="shared" si="53"/>
        <v>0</v>
      </c>
      <c r="X271" s="151">
        <f t="shared" si="54"/>
        <v>0</v>
      </c>
      <c r="Y271" s="151">
        <f t="shared" si="56"/>
        <v>0</v>
      </c>
    </row>
    <row r="272" spans="1:25" x14ac:dyDescent="0.25">
      <c r="A272" s="150"/>
      <c r="B272" s="158">
        <v>50618</v>
      </c>
      <c r="C272" s="153"/>
      <c r="D272" s="153"/>
      <c r="E272" s="178"/>
      <c r="L272" s="150" t="str">
        <f t="shared" si="51"/>
        <v>Jan</v>
      </c>
      <c r="M272" s="150" t="str">
        <f t="shared" si="55"/>
        <v>00</v>
      </c>
      <c r="N272" s="153"/>
      <c r="V272" s="151">
        <f t="shared" si="52"/>
        <v>0</v>
      </c>
      <c r="W272" s="151">
        <f t="shared" si="53"/>
        <v>0</v>
      </c>
      <c r="X272" s="151">
        <f t="shared" si="54"/>
        <v>0</v>
      </c>
      <c r="Y272" s="151">
        <f t="shared" si="56"/>
        <v>0</v>
      </c>
    </row>
    <row r="273" spans="1:25" x14ac:dyDescent="0.25">
      <c r="A273" s="150"/>
      <c r="B273" s="158">
        <v>50649</v>
      </c>
      <c r="C273" s="153"/>
      <c r="D273" s="153"/>
      <c r="E273" s="178"/>
      <c r="L273" s="150" t="str">
        <f t="shared" si="51"/>
        <v>Jan</v>
      </c>
      <c r="M273" s="150" t="str">
        <f t="shared" si="55"/>
        <v>00</v>
      </c>
      <c r="N273" s="153"/>
      <c r="V273" s="151">
        <f t="shared" si="52"/>
        <v>0</v>
      </c>
      <c r="W273" s="151">
        <f t="shared" si="53"/>
        <v>0</v>
      </c>
      <c r="X273" s="151">
        <f t="shared" si="54"/>
        <v>0</v>
      </c>
      <c r="Y273" s="151">
        <f t="shared" si="56"/>
        <v>0</v>
      </c>
    </row>
    <row r="274" spans="1:25" x14ac:dyDescent="0.25">
      <c r="A274" s="150"/>
      <c r="B274" s="158">
        <v>50679</v>
      </c>
      <c r="C274" s="153"/>
      <c r="D274" s="153"/>
      <c r="E274" s="178"/>
      <c r="L274" s="150" t="str">
        <f t="shared" si="51"/>
        <v>Jan</v>
      </c>
      <c r="M274" s="150" t="str">
        <f t="shared" si="55"/>
        <v>00</v>
      </c>
      <c r="N274" s="153"/>
      <c r="V274" s="151">
        <f t="shared" si="52"/>
        <v>0</v>
      </c>
      <c r="W274" s="151">
        <f t="shared" si="53"/>
        <v>0</v>
      </c>
      <c r="X274" s="151">
        <f t="shared" si="54"/>
        <v>0</v>
      </c>
      <c r="Y274" s="151">
        <f t="shared" si="56"/>
        <v>0</v>
      </c>
    </row>
    <row r="275" spans="1:25" x14ac:dyDescent="0.25">
      <c r="A275" s="150"/>
      <c r="B275" s="158">
        <v>50710</v>
      </c>
      <c r="C275" s="153"/>
      <c r="D275" s="153"/>
      <c r="E275" s="178"/>
      <c r="L275" s="150" t="str">
        <f t="shared" si="51"/>
        <v>Jan</v>
      </c>
      <c r="M275" s="150" t="str">
        <f t="shared" si="55"/>
        <v>00</v>
      </c>
      <c r="N275" s="153"/>
      <c r="V275" s="151">
        <f t="shared" si="52"/>
        <v>0</v>
      </c>
      <c r="W275" s="151">
        <f t="shared" si="53"/>
        <v>0</v>
      </c>
      <c r="X275" s="151">
        <f t="shared" si="54"/>
        <v>0</v>
      </c>
      <c r="Y275" s="151">
        <f t="shared" si="56"/>
        <v>0</v>
      </c>
    </row>
    <row r="276" spans="1:25" x14ac:dyDescent="0.25">
      <c r="A276" s="150"/>
      <c r="B276" s="158">
        <v>50740</v>
      </c>
      <c r="C276" s="153"/>
      <c r="D276" s="153"/>
      <c r="E276" s="178"/>
      <c r="L276" s="150" t="str">
        <f t="shared" si="51"/>
        <v>Jan</v>
      </c>
      <c r="M276" s="150" t="str">
        <f t="shared" si="55"/>
        <v>00</v>
      </c>
      <c r="N276" s="153"/>
      <c r="V276" s="151">
        <f t="shared" si="52"/>
        <v>0</v>
      </c>
      <c r="W276" s="151">
        <f t="shared" si="53"/>
        <v>0</v>
      </c>
      <c r="X276" s="151">
        <f t="shared" si="54"/>
        <v>0</v>
      </c>
      <c r="Y276" s="151">
        <f t="shared" si="56"/>
        <v>0</v>
      </c>
    </row>
    <row r="277" spans="1:25" x14ac:dyDescent="0.25">
      <c r="A277" s="150"/>
      <c r="B277" s="158">
        <v>50771</v>
      </c>
      <c r="C277" s="153"/>
      <c r="D277" s="153"/>
      <c r="E277" s="178"/>
      <c r="L277" s="150" t="str">
        <f t="shared" si="51"/>
        <v>Jan</v>
      </c>
      <c r="M277" s="150" t="str">
        <f t="shared" si="55"/>
        <v>00</v>
      </c>
      <c r="N277" s="153"/>
      <c r="V277" s="151">
        <f t="shared" si="52"/>
        <v>0</v>
      </c>
      <c r="W277" s="151">
        <f t="shared" si="53"/>
        <v>0</v>
      </c>
      <c r="X277" s="151">
        <f t="shared" si="54"/>
        <v>0</v>
      </c>
      <c r="Y277" s="151">
        <f t="shared" si="56"/>
        <v>0</v>
      </c>
    </row>
    <row r="278" spans="1:25" x14ac:dyDescent="0.25">
      <c r="A278" s="150"/>
      <c r="B278" s="158">
        <v>50802</v>
      </c>
      <c r="C278" s="153"/>
      <c r="D278" s="153"/>
      <c r="E278" s="178"/>
      <c r="L278" s="150" t="str">
        <f t="shared" si="51"/>
        <v>Jan</v>
      </c>
      <c r="M278" s="150" t="str">
        <f t="shared" si="55"/>
        <v>00</v>
      </c>
      <c r="N278" s="153"/>
      <c r="V278" s="151">
        <f t="shared" si="52"/>
        <v>0</v>
      </c>
      <c r="W278" s="151">
        <f t="shared" si="53"/>
        <v>0</v>
      </c>
      <c r="X278" s="151">
        <f t="shared" si="54"/>
        <v>0</v>
      </c>
      <c r="Y278" s="151">
        <f t="shared" si="56"/>
        <v>0</v>
      </c>
    </row>
    <row r="279" spans="1:25" x14ac:dyDescent="0.25">
      <c r="A279" s="150"/>
      <c r="B279" s="158">
        <v>50830</v>
      </c>
      <c r="C279" s="153"/>
      <c r="D279" s="153"/>
      <c r="E279" s="178"/>
      <c r="L279" s="150" t="str">
        <f t="shared" si="51"/>
        <v>Jan</v>
      </c>
      <c r="M279" s="150" t="str">
        <f t="shared" si="55"/>
        <v>00</v>
      </c>
      <c r="N279" s="153"/>
      <c r="V279" s="151">
        <f t="shared" si="52"/>
        <v>0</v>
      </c>
      <c r="W279" s="151">
        <f t="shared" si="53"/>
        <v>0</v>
      </c>
      <c r="X279" s="151">
        <f t="shared" si="54"/>
        <v>0</v>
      </c>
      <c r="Y279" s="151">
        <f t="shared" si="56"/>
        <v>0</v>
      </c>
    </row>
    <row r="280" spans="1:25" x14ac:dyDescent="0.25">
      <c r="A280" s="150"/>
      <c r="B280" s="158">
        <v>50861</v>
      </c>
      <c r="C280" s="153"/>
      <c r="D280" s="153"/>
      <c r="E280" s="178"/>
      <c r="L280" s="150" t="str">
        <f t="shared" si="51"/>
        <v>Jan</v>
      </c>
      <c r="M280" s="150" t="str">
        <f t="shared" si="55"/>
        <v>00</v>
      </c>
      <c r="N280" s="153"/>
      <c r="V280" s="151">
        <f t="shared" si="52"/>
        <v>0</v>
      </c>
      <c r="W280" s="151">
        <f t="shared" si="53"/>
        <v>0</v>
      </c>
      <c r="X280" s="151">
        <f t="shared" si="54"/>
        <v>0</v>
      </c>
      <c r="Y280" s="151">
        <f t="shared" si="56"/>
        <v>0</v>
      </c>
    </row>
    <row r="281" spans="1:25" x14ac:dyDescent="0.25">
      <c r="A281" s="150"/>
      <c r="B281" s="158">
        <v>50891</v>
      </c>
      <c r="C281" s="153"/>
      <c r="D281" s="153"/>
      <c r="E281" s="178"/>
      <c r="L281" s="150" t="str">
        <f t="shared" si="51"/>
        <v>Jan</v>
      </c>
      <c r="M281" s="150" t="str">
        <f t="shared" si="55"/>
        <v>00</v>
      </c>
      <c r="N281" s="153"/>
      <c r="V281" s="151">
        <f t="shared" si="52"/>
        <v>0</v>
      </c>
      <c r="W281" s="151">
        <f t="shared" si="53"/>
        <v>0</v>
      </c>
      <c r="X281" s="151">
        <f t="shared" si="54"/>
        <v>0</v>
      </c>
      <c r="Y281" s="151">
        <f t="shared" si="56"/>
        <v>0</v>
      </c>
    </row>
    <row r="282" spans="1:25" x14ac:dyDescent="0.25">
      <c r="A282" s="150"/>
      <c r="B282" s="158">
        <v>50922</v>
      </c>
      <c r="C282" s="153"/>
      <c r="D282" s="153"/>
      <c r="E282" s="178"/>
      <c r="L282" s="150" t="str">
        <f t="shared" si="51"/>
        <v>Jan</v>
      </c>
      <c r="M282" s="150" t="str">
        <f t="shared" si="55"/>
        <v>00</v>
      </c>
      <c r="N282" s="153"/>
      <c r="V282" s="151">
        <f t="shared" si="52"/>
        <v>0</v>
      </c>
      <c r="W282" s="151">
        <f t="shared" si="53"/>
        <v>0</v>
      </c>
      <c r="X282" s="151">
        <f t="shared" si="54"/>
        <v>0</v>
      </c>
      <c r="Y282" s="151">
        <f t="shared" si="56"/>
        <v>0</v>
      </c>
    </row>
    <row r="283" spans="1:25" x14ac:dyDescent="0.25">
      <c r="A283" s="150"/>
      <c r="B283" s="158">
        <v>50952</v>
      </c>
      <c r="C283" s="153"/>
      <c r="D283" s="153"/>
      <c r="E283" s="178"/>
      <c r="L283" s="150" t="str">
        <f t="shared" si="51"/>
        <v>Jan</v>
      </c>
      <c r="M283" s="150" t="str">
        <f t="shared" si="55"/>
        <v>00</v>
      </c>
      <c r="N283" s="153"/>
      <c r="V283" s="151">
        <f t="shared" si="52"/>
        <v>0</v>
      </c>
      <c r="W283" s="151">
        <f t="shared" si="53"/>
        <v>0</v>
      </c>
      <c r="X283" s="151">
        <f t="shared" si="54"/>
        <v>0</v>
      </c>
      <c r="Y283" s="151">
        <f t="shared" si="56"/>
        <v>0</v>
      </c>
    </row>
    <row r="284" spans="1:25" x14ac:dyDescent="0.25">
      <c r="A284" s="150"/>
      <c r="B284" s="158">
        <v>50983</v>
      </c>
      <c r="C284" s="153"/>
      <c r="D284" s="153"/>
      <c r="E284" s="178"/>
      <c r="L284" s="150" t="str">
        <f t="shared" si="51"/>
        <v>Jan</v>
      </c>
      <c r="M284" s="150" t="str">
        <f t="shared" si="55"/>
        <v>00</v>
      </c>
      <c r="N284" s="153"/>
      <c r="V284" s="151">
        <f t="shared" si="52"/>
        <v>0</v>
      </c>
      <c r="W284" s="151">
        <f t="shared" si="53"/>
        <v>0</v>
      </c>
      <c r="X284" s="151">
        <f t="shared" si="54"/>
        <v>0</v>
      </c>
      <c r="Y284" s="151">
        <f t="shared" si="56"/>
        <v>0</v>
      </c>
    </row>
    <row r="285" spans="1:25" x14ac:dyDescent="0.25">
      <c r="A285" s="150"/>
      <c r="B285" s="158">
        <v>51014</v>
      </c>
      <c r="C285" s="153"/>
      <c r="D285" s="153"/>
      <c r="E285" s="178"/>
      <c r="L285" s="150" t="str">
        <f t="shared" si="51"/>
        <v>Jan</v>
      </c>
      <c r="M285" s="150" t="str">
        <f t="shared" si="55"/>
        <v>00</v>
      </c>
      <c r="N285" s="153"/>
      <c r="V285" s="151">
        <f t="shared" si="52"/>
        <v>0</v>
      </c>
      <c r="W285" s="151">
        <f t="shared" si="53"/>
        <v>0</v>
      </c>
      <c r="X285" s="151">
        <f t="shared" si="54"/>
        <v>0</v>
      </c>
      <c r="Y285" s="151">
        <f t="shared" si="56"/>
        <v>0</v>
      </c>
    </row>
    <row r="286" spans="1:25" x14ac:dyDescent="0.25">
      <c r="A286" s="150"/>
      <c r="B286" s="158">
        <v>51044</v>
      </c>
      <c r="C286" s="153"/>
      <c r="D286" s="153"/>
      <c r="E286" s="178"/>
      <c r="L286" s="150" t="str">
        <f t="shared" ref="L286:L349" si="57">TEXT(E286,"mmm")</f>
        <v>Jan</v>
      </c>
      <c r="M286" s="150" t="str">
        <f t="shared" si="55"/>
        <v>00</v>
      </c>
      <c r="N286" s="153"/>
      <c r="V286" s="151">
        <f t="shared" si="52"/>
        <v>0</v>
      </c>
      <c r="W286" s="151">
        <f t="shared" si="53"/>
        <v>0</v>
      </c>
      <c r="X286" s="151">
        <f t="shared" si="54"/>
        <v>0</v>
      </c>
      <c r="Y286" s="151">
        <f t="shared" si="56"/>
        <v>0</v>
      </c>
    </row>
    <row r="287" spans="1:25" x14ac:dyDescent="0.25">
      <c r="A287" s="150"/>
      <c r="B287" s="158">
        <v>51075</v>
      </c>
      <c r="C287" s="153"/>
      <c r="D287" s="153"/>
      <c r="E287" s="178"/>
      <c r="L287" s="150" t="str">
        <f t="shared" si="57"/>
        <v>Jan</v>
      </c>
      <c r="M287" s="150" t="str">
        <f t="shared" si="55"/>
        <v>00</v>
      </c>
      <c r="N287" s="153"/>
      <c r="V287" s="151">
        <f t="shared" si="52"/>
        <v>0</v>
      </c>
      <c r="W287" s="151">
        <f t="shared" si="53"/>
        <v>0</v>
      </c>
      <c r="X287" s="151">
        <f t="shared" si="54"/>
        <v>0</v>
      </c>
      <c r="Y287" s="151">
        <f t="shared" si="56"/>
        <v>0</v>
      </c>
    </row>
    <row r="288" spans="1:25" x14ac:dyDescent="0.25">
      <c r="A288" s="150"/>
      <c r="B288" s="158">
        <v>51105</v>
      </c>
      <c r="C288" s="153"/>
      <c r="D288" s="153"/>
      <c r="E288" s="178"/>
      <c r="L288" s="150" t="str">
        <f t="shared" si="57"/>
        <v>Jan</v>
      </c>
      <c r="M288" s="150" t="str">
        <f t="shared" si="55"/>
        <v>00</v>
      </c>
      <c r="N288" s="153"/>
      <c r="V288" s="151">
        <f t="shared" ref="V288:V351" si="58">F288-Q288</f>
        <v>0</v>
      </c>
      <c r="W288" s="151">
        <f t="shared" ref="W288:W351" si="59">E288-R288</f>
        <v>0</v>
      </c>
      <c r="X288" s="151">
        <f t="shared" ref="X288:X351" si="60">G288-T288</f>
        <v>0</v>
      </c>
      <c r="Y288" s="151">
        <f t="shared" si="56"/>
        <v>0</v>
      </c>
    </row>
    <row r="289" spans="1:25" x14ac:dyDescent="0.25">
      <c r="A289" s="150"/>
      <c r="B289" s="158">
        <v>51136</v>
      </c>
      <c r="C289" s="153"/>
      <c r="D289" s="153"/>
      <c r="E289" s="178"/>
      <c r="L289" s="150" t="str">
        <f t="shared" si="57"/>
        <v>Jan</v>
      </c>
      <c r="M289" s="150" t="str">
        <f t="shared" si="55"/>
        <v>00</v>
      </c>
      <c r="N289" s="153"/>
      <c r="V289" s="151">
        <f t="shared" si="58"/>
        <v>0</v>
      </c>
      <c r="W289" s="151">
        <f t="shared" si="59"/>
        <v>0</v>
      </c>
      <c r="X289" s="151">
        <f t="shared" si="60"/>
        <v>0</v>
      </c>
      <c r="Y289" s="151">
        <f t="shared" si="56"/>
        <v>0</v>
      </c>
    </row>
    <row r="290" spans="1:25" x14ac:dyDescent="0.25">
      <c r="A290" s="150"/>
      <c r="B290" s="158">
        <v>51167</v>
      </c>
      <c r="C290" s="153"/>
      <c r="D290" s="153"/>
      <c r="E290" s="178"/>
      <c r="L290" s="150" t="str">
        <f t="shared" si="57"/>
        <v>Jan</v>
      </c>
      <c r="M290" s="150" t="str">
        <f t="shared" si="55"/>
        <v>00</v>
      </c>
      <c r="N290" s="153"/>
      <c r="V290" s="151">
        <f t="shared" si="58"/>
        <v>0</v>
      </c>
      <c r="W290" s="151">
        <f t="shared" si="59"/>
        <v>0</v>
      </c>
      <c r="X290" s="151">
        <f t="shared" si="60"/>
        <v>0</v>
      </c>
      <c r="Y290" s="151">
        <f t="shared" si="56"/>
        <v>0</v>
      </c>
    </row>
    <row r="291" spans="1:25" x14ac:dyDescent="0.25">
      <c r="A291" s="150"/>
      <c r="B291" s="158">
        <v>51196</v>
      </c>
      <c r="C291" s="153"/>
      <c r="D291" s="153"/>
      <c r="E291" s="178"/>
      <c r="L291" s="150" t="str">
        <f t="shared" si="57"/>
        <v>Jan</v>
      </c>
      <c r="M291" s="150" t="str">
        <f t="shared" si="55"/>
        <v>00</v>
      </c>
      <c r="N291" s="153"/>
      <c r="V291" s="151">
        <f t="shared" si="58"/>
        <v>0</v>
      </c>
      <c r="W291" s="151">
        <f t="shared" si="59"/>
        <v>0</v>
      </c>
      <c r="X291" s="151">
        <f t="shared" si="60"/>
        <v>0</v>
      </c>
      <c r="Y291" s="151">
        <f t="shared" si="56"/>
        <v>0</v>
      </c>
    </row>
    <row r="292" spans="1:25" x14ac:dyDescent="0.25">
      <c r="A292" s="150"/>
      <c r="B292" s="158">
        <v>51227</v>
      </c>
      <c r="C292" s="153"/>
      <c r="D292" s="153"/>
      <c r="E292" s="178"/>
      <c r="L292" s="150" t="str">
        <f t="shared" si="57"/>
        <v>Jan</v>
      </c>
      <c r="M292" s="150" t="str">
        <f t="shared" si="55"/>
        <v>00</v>
      </c>
      <c r="N292" s="153"/>
      <c r="V292" s="151">
        <f t="shared" si="58"/>
        <v>0</v>
      </c>
      <c r="W292" s="151">
        <f t="shared" si="59"/>
        <v>0</v>
      </c>
      <c r="X292" s="151">
        <f t="shared" si="60"/>
        <v>0</v>
      </c>
      <c r="Y292" s="151">
        <f t="shared" si="56"/>
        <v>0</v>
      </c>
    </row>
    <row r="293" spans="1:25" x14ac:dyDescent="0.25">
      <c r="A293" s="150"/>
      <c r="B293" s="158">
        <v>51257</v>
      </c>
      <c r="C293" s="153"/>
      <c r="D293" s="153"/>
      <c r="E293" s="178"/>
      <c r="L293" s="150" t="str">
        <f t="shared" si="57"/>
        <v>Jan</v>
      </c>
      <c r="M293" s="150" t="str">
        <f t="shared" si="55"/>
        <v>00</v>
      </c>
      <c r="N293" s="153"/>
      <c r="V293" s="151">
        <f t="shared" si="58"/>
        <v>0</v>
      </c>
      <c r="W293" s="151">
        <f t="shared" si="59"/>
        <v>0</v>
      </c>
      <c r="X293" s="151">
        <f t="shared" si="60"/>
        <v>0</v>
      </c>
      <c r="Y293" s="151">
        <f t="shared" si="56"/>
        <v>0</v>
      </c>
    </row>
    <row r="294" spans="1:25" x14ac:dyDescent="0.25">
      <c r="A294" s="150"/>
      <c r="B294" s="158">
        <v>51288</v>
      </c>
      <c r="C294" s="153"/>
      <c r="D294" s="153"/>
      <c r="E294" s="178"/>
      <c r="L294" s="150" t="str">
        <f t="shared" si="57"/>
        <v>Jan</v>
      </c>
      <c r="M294" s="150" t="str">
        <f t="shared" si="55"/>
        <v>00</v>
      </c>
      <c r="N294" s="153"/>
      <c r="V294" s="151">
        <f t="shared" si="58"/>
        <v>0</v>
      </c>
      <c r="W294" s="151">
        <f t="shared" si="59"/>
        <v>0</v>
      </c>
      <c r="X294" s="151">
        <f t="shared" si="60"/>
        <v>0</v>
      </c>
      <c r="Y294" s="151">
        <f t="shared" si="56"/>
        <v>0</v>
      </c>
    </row>
    <row r="295" spans="1:25" x14ac:dyDescent="0.25">
      <c r="A295" s="150"/>
      <c r="B295" s="158">
        <v>51318</v>
      </c>
      <c r="C295" s="153"/>
      <c r="D295" s="153"/>
      <c r="E295" s="178"/>
      <c r="L295" s="150" t="str">
        <f t="shared" si="57"/>
        <v>Jan</v>
      </c>
      <c r="M295" s="150" t="str">
        <f t="shared" si="55"/>
        <v>00</v>
      </c>
      <c r="N295" s="153"/>
      <c r="V295" s="151">
        <f t="shared" si="58"/>
        <v>0</v>
      </c>
      <c r="W295" s="151">
        <f t="shared" si="59"/>
        <v>0</v>
      </c>
      <c r="X295" s="151">
        <f t="shared" si="60"/>
        <v>0</v>
      </c>
      <c r="Y295" s="151">
        <f t="shared" si="56"/>
        <v>0</v>
      </c>
    </row>
    <row r="296" spans="1:25" x14ac:dyDescent="0.25">
      <c r="A296" s="150"/>
      <c r="B296" s="158">
        <v>51349</v>
      </c>
      <c r="C296" s="153"/>
      <c r="D296" s="153"/>
      <c r="E296" s="178"/>
      <c r="L296" s="150" t="str">
        <f t="shared" si="57"/>
        <v>Jan</v>
      </c>
      <c r="M296" s="150" t="str">
        <f t="shared" si="55"/>
        <v>00</v>
      </c>
      <c r="N296" s="153"/>
      <c r="V296" s="151">
        <f t="shared" si="58"/>
        <v>0</v>
      </c>
      <c r="W296" s="151">
        <f t="shared" si="59"/>
        <v>0</v>
      </c>
      <c r="X296" s="151">
        <f t="shared" si="60"/>
        <v>0</v>
      </c>
      <c r="Y296" s="151">
        <f t="shared" si="56"/>
        <v>0</v>
      </c>
    </row>
    <row r="297" spans="1:25" x14ac:dyDescent="0.25">
      <c r="A297" s="150"/>
      <c r="B297" s="158">
        <v>51380</v>
      </c>
      <c r="C297" s="153"/>
      <c r="D297" s="153"/>
      <c r="E297" s="178"/>
      <c r="L297" s="150" t="str">
        <f t="shared" si="57"/>
        <v>Jan</v>
      </c>
      <c r="M297" s="150" t="str">
        <f t="shared" si="55"/>
        <v>00</v>
      </c>
      <c r="N297" s="153"/>
      <c r="V297" s="151">
        <f t="shared" si="58"/>
        <v>0</v>
      </c>
      <c r="W297" s="151">
        <f t="shared" si="59"/>
        <v>0</v>
      </c>
      <c r="X297" s="151">
        <f t="shared" si="60"/>
        <v>0</v>
      </c>
      <c r="Y297" s="151">
        <f t="shared" si="56"/>
        <v>0</v>
      </c>
    </row>
    <row r="298" spans="1:25" x14ac:dyDescent="0.25">
      <c r="A298" s="150"/>
      <c r="B298" s="158">
        <v>51410</v>
      </c>
      <c r="C298" s="153"/>
      <c r="D298" s="153"/>
      <c r="E298" s="178"/>
      <c r="L298" s="150" t="str">
        <f t="shared" si="57"/>
        <v>Jan</v>
      </c>
      <c r="M298" s="150" t="str">
        <f t="shared" ref="M298:M361" si="61">TEXT(E298,"yy")</f>
        <v>00</v>
      </c>
      <c r="N298" s="153"/>
      <c r="V298" s="151">
        <f t="shared" si="58"/>
        <v>0</v>
      </c>
      <c r="W298" s="151">
        <f t="shared" si="59"/>
        <v>0</v>
      </c>
      <c r="X298" s="151">
        <f t="shared" si="60"/>
        <v>0</v>
      </c>
      <c r="Y298" s="151">
        <f t="shared" si="56"/>
        <v>0</v>
      </c>
    </row>
    <row r="299" spans="1:25" x14ac:dyDescent="0.25">
      <c r="A299" s="150"/>
      <c r="B299" s="158">
        <v>51441</v>
      </c>
      <c r="C299" s="153"/>
      <c r="D299" s="153"/>
      <c r="E299" s="178"/>
      <c r="L299" s="150" t="str">
        <f t="shared" si="57"/>
        <v>Jan</v>
      </c>
      <c r="M299" s="150" t="str">
        <f t="shared" si="61"/>
        <v>00</v>
      </c>
      <c r="N299" s="153"/>
      <c r="V299" s="151">
        <f t="shared" si="58"/>
        <v>0</v>
      </c>
      <c r="W299" s="151">
        <f t="shared" si="59"/>
        <v>0</v>
      </c>
      <c r="X299" s="151">
        <f t="shared" si="60"/>
        <v>0</v>
      </c>
      <c r="Y299" s="151">
        <f t="shared" si="56"/>
        <v>0</v>
      </c>
    </row>
    <row r="300" spans="1:25" x14ac:dyDescent="0.25">
      <c r="A300" s="150"/>
      <c r="B300" s="158">
        <v>51471</v>
      </c>
      <c r="C300" s="153"/>
      <c r="D300" s="153"/>
      <c r="E300" s="178"/>
      <c r="L300" s="150" t="str">
        <f t="shared" si="57"/>
        <v>Jan</v>
      </c>
      <c r="M300" s="150" t="str">
        <f t="shared" si="61"/>
        <v>00</v>
      </c>
      <c r="N300" s="153"/>
      <c r="V300" s="151">
        <f t="shared" si="58"/>
        <v>0</v>
      </c>
      <c r="W300" s="151">
        <f t="shared" si="59"/>
        <v>0</v>
      </c>
      <c r="X300" s="151">
        <f t="shared" si="60"/>
        <v>0</v>
      </c>
      <c r="Y300" s="151">
        <f t="shared" si="56"/>
        <v>0</v>
      </c>
    </row>
    <row r="301" spans="1:25" x14ac:dyDescent="0.25">
      <c r="A301" s="150"/>
      <c r="B301" s="158">
        <v>51502</v>
      </c>
      <c r="C301" s="153"/>
      <c r="D301" s="153"/>
      <c r="E301" s="178"/>
      <c r="L301" s="150" t="str">
        <f t="shared" si="57"/>
        <v>Jan</v>
      </c>
      <c r="M301" s="150" t="str">
        <f t="shared" si="61"/>
        <v>00</v>
      </c>
      <c r="N301" s="153"/>
      <c r="V301" s="151">
        <f t="shared" si="58"/>
        <v>0</v>
      </c>
      <c r="W301" s="151">
        <f t="shared" si="59"/>
        <v>0</v>
      </c>
      <c r="X301" s="151">
        <f t="shared" si="60"/>
        <v>0</v>
      </c>
      <c r="Y301" s="151">
        <f t="shared" si="56"/>
        <v>0</v>
      </c>
    </row>
    <row r="302" spans="1:25" x14ac:dyDescent="0.25">
      <c r="A302" s="150"/>
      <c r="B302" s="158">
        <v>51533</v>
      </c>
      <c r="C302" s="153"/>
      <c r="D302" s="153"/>
      <c r="E302" s="178"/>
      <c r="L302" s="150" t="str">
        <f t="shared" si="57"/>
        <v>Jan</v>
      </c>
      <c r="M302" s="150" t="str">
        <f t="shared" si="61"/>
        <v>00</v>
      </c>
      <c r="N302" s="153"/>
      <c r="V302" s="151">
        <f t="shared" si="58"/>
        <v>0</v>
      </c>
      <c r="W302" s="151">
        <f t="shared" si="59"/>
        <v>0</v>
      </c>
      <c r="X302" s="151">
        <f t="shared" si="60"/>
        <v>0</v>
      </c>
      <c r="Y302" s="151">
        <f t="shared" si="56"/>
        <v>0</v>
      </c>
    </row>
    <row r="303" spans="1:25" x14ac:dyDescent="0.25">
      <c r="A303" s="150"/>
      <c r="B303" s="158">
        <v>51561</v>
      </c>
      <c r="C303" s="153"/>
      <c r="D303" s="153"/>
      <c r="E303" s="178"/>
      <c r="L303" s="150" t="str">
        <f t="shared" si="57"/>
        <v>Jan</v>
      </c>
      <c r="M303" s="150" t="str">
        <f t="shared" si="61"/>
        <v>00</v>
      </c>
      <c r="N303" s="153"/>
      <c r="V303" s="151">
        <f t="shared" si="58"/>
        <v>0</v>
      </c>
      <c r="W303" s="151">
        <f t="shared" si="59"/>
        <v>0</v>
      </c>
      <c r="X303" s="151">
        <f t="shared" si="60"/>
        <v>0</v>
      </c>
      <c r="Y303" s="151">
        <f t="shared" si="56"/>
        <v>0</v>
      </c>
    </row>
    <row r="304" spans="1:25" x14ac:dyDescent="0.25">
      <c r="A304" s="150"/>
      <c r="B304" s="158">
        <v>51592</v>
      </c>
      <c r="C304" s="153"/>
      <c r="D304" s="153"/>
      <c r="E304" s="178"/>
      <c r="L304" s="150" t="str">
        <f t="shared" si="57"/>
        <v>Jan</v>
      </c>
      <c r="M304" s="150" t="str">
        <f t="shared" si="61"/>
        <v>00</v>
      </c>
      <c r="N304" s="153"/>
      <c r="V304" s="151">
        <f t="shared" si="58"/>
        <v>0</v>
      </c>
      <c r="W304" s="151">
        <f t="shared" si="59"/>
        <v>0</v>
      </c>
      <c r="X304" s="151">
        <f t="shared" si="60"/>
        <v>0</v>
      </c>
      <c r="Y304" s="151">
        <f t="shared" si="56"/>
        <v>0</v>
      </c>
    </row>
    <row r="305" spans="1:25" x14ac:dyDescent="0.25">
      <c r="A305" s="150"/>
      <c r="B305" s="158">
        <v>51622</v>
      </c>
      <c r="C305" s="153"/>
      <c r="D305" s="153"/>
      <c r="E305" s="178"/>
      <c r="L305" s="150" t="str">
        <f t="shared" si="57"/>
        <v>Jan</v>
      </c>
      <c r="M305" s="150" t="str">
        <f t="shared" si="61"/>
        <v>00</v>
      </c>
      <c r="N305" s="153"/>
      <c r="V305" s="151">
        <f t="shared" si="58"/>
        <v>0</v>
      </c>
      <c r="W305" s="151">
        <f t="shared" si="59"/>
        <v>0</v>
      </c>
      <c r="X305" s="151">
        <f t="shared" si="60"/>
        <v>0</v>
      </c>
      <c r="Y305" s="151">
        <f t="shared" si="56"/>
        <v>0</v>
      </c>
    </row>
    <row r="306" spans="1:25" x14ac:dyDescent="0.25">
      <c r="A306" s="150"/>
      <c r="B306" s="158">
        <v>51653</v>
      </c>
      <c r="C306" s="153"/>
      <c r="D306" s="153"/>
      <c r="E306" s="178"/>
      <c r="L306" s="150" t="str">
        <f t="shared" si="57"/>
        <v>Jan</v>
      </c>
      <c r="M306" s="150" t="str">
        <f t="shared" si="61"/>
        <v>00</v>
      </c>
      <c r="N306" s="153"/>
      <c r="V306" s="151">
        <f t="shared" si="58"/>
        <v>0</v>
      </c>
      <c r="W306" s="151">
        <f t="shared" si="59"/>
        <v>0</v>
      </c>
      <c r="X306" s="151">
        <f t="shared" si="60"/>
        <v>0</v>
      </c>
      <c r="Y306" s="151">
        <f t="shared" si="56"/>
        <v>0</v>
      </c>
    </row>
    <row r="307" spans="1:25" x14ac:dyDescent="0.25">
      <c r="A307" s="150"/>
      <c r="B307" s="158">
        <v>51683</v>
      </c>
      <c r="C307" s="153"/>
      <c r="D307" s="153"/>
      <c r="E307" s="178"/>
      <c r="L307" s="150" t="str">
        <f t="shared" si="57"/>
        <v>Jan</v>
      </c>
      <c r="M307" s="150" t="str">
        <f t="shared" si="61"/>
        <v>00</v>
      </c>
      <c r="N307" s="153"/>
      <c r="V307" s="151">
        <f t="shared" si="58"/>
        <v>0</v>
      </c>
      <c r="W307" s="151">
        <f t="shared" si="59"/>
        <v>0</v>
      </c>
      <c r="X307" s="151">
        <f t="shared" si="60"/>
        <v>0</v>
      </c>
      <c r="Y307" s="151">
        <f t="shared" si="56"/>
        <v>0</v>
      </c>
    </row>
    <row r="308" spans="1:25" x14ac:dyDescent="0.25">
      <c r="A308" s="150"/>
      <c r="B308" s="158">
        <v>51714</v>
      </c>
      <c r="C308" s="153"/>
      <c r="D308" s="153"/>
      <c r="E308" s="178"/>
      <c r="L308" s="150" t="str">
        <f t="shared" si="57"/>
        <v>Jan</v>
      </c>
      <c r="M308" s="150" t="str">
        <f t="shared" si="61"/>
        <v>00</v>
      </c>
      <c r="N308" s="153"/>
      <c r="V308" s="151">
        <f t="shared" si="58"/>
        <v>0</v>
      </c>
      <c r="W308" s="151">
        <f t="shared" si="59"/>
        <v>0</v>
      </c>
      <c r="X308" s="151">
        <f t="shared" si="60"/>
        <v>0</v>
      </c>
      <c r="Y308" s="151">
        <f t="shared" si="56"/>
        <v>0</v>
      </c>
    </row>
    <row r="309" spans="1:25" x14ac:dyDescent="0.25">
      <c r="A309" s="150"/>
      <c r="B309" s="158">
        <v>51745</v>
      </c>
      <c r="C309" s="153"/>
      <c r="D309" s="153"/>
      <c r="E309" s="178"/>
      <c r="L309" s="150" t="str">
        <f t="shared" si="57"/>
        <v>Jan</v>
      </c>
      <c r="M309" s="150" t="str">
        <f t="shared" si="61"/>
        <v>00</v>
      </c>
      <c r="N309" s="153"/>
      <c r="V309" s="151">
        <f t="shared" si="58"/>
        <v>0</v>
      </c>
      <c r="W309" s="151">
        <f t="shared" si="59"/>
        <v>0</v>
      </c>
      <c r="X309" s="151">
        <f t="shared" si="60"/>
        <v>0</v>
      </c>
      <c r="Y309" s="151">
        <f t="shared" si="56"/>
        <v>0</v>
      </c>
    </row>
    <row r="310" spans="1:25" x14ac:dyDescent="0.25">
      <c r="A310" s="150"/>
      <c r="B310" s="158">
        <v>51775</v>
      </c>
      <c r="C310" s="153"/>
      <c r="D310" s="153"/>
      <c r="E310" s="178"/>
      <c r="L310" s="150" t="str">
        <f t="shared" si="57"/>
        <v>Jan</v>
      </c>
      <c r="M310" s="150" t="str">
        <f t="shared" si="61"/>
        <v>00</v>
      </c>
      <c r="N310" s="153"/>
      <c r="V310" s="151">
        <f t="shared" si="58"/>
        <v>0</v>
      </c>
      <c r="W310" s="151">
        <f t="shared" si="59"/>
        <v>0</v>
      </c>
      <c r="X310" s="151">
        <f t="shared" si="60"/>
        <v>0</v>
      </c>
      <c r="Y310" s="151">
        <f t="shared" si="56"/>
        <v>0</v>
      </c>
    </row>
    <row r="311" spans="1:25" x14ac:dyDescent="0.25">
      <c r="A311" s="150"/>
      <c r="B311" s="158">
        <v>51806</v>
      </c>
      <c r="C311" s="153"/>
      <c r="D311" s="153"/>
      <c r="E311" s="178"/>
      <c r="L311" s="150" t="str">
        <f t="shared" si="57"/>
        <v>Jan</v>
      </c>
      <c r="M311" s="150" t="str">
        <f t="shared" si="61"/>
        <v>00</v>
      </c>
      <c r="N311" s="153"/>
      <c r="V311" s="151">
        <f t="shared" si="58"/>
        <v>0</v>
      </c>
      <c r="W311" s="151">
        <f t="shared" si="59"/>
        <v>0</v>
      </c>
      <c r="X311" s="151">
        <f t="shared" si="60"/>
        <v>0</v>
      </c>
      <c r="Y311" s="151">
        <f t="shared" si="56"/>
        <v>0</v>
      </c>
    </row>
    <row r="312" spans="1:25" x14ac:dyDescent="0.25">
      <c r="A312" s="150"/>
      <c r="B312" s="158">
        <v>51836</v>
      </c>
      <c r="C312" s="153"/>
      <c r="D312" s="153"/>
      <c r="E312" s="178"/>
      <c r="L312" s="150" t="str">
        <f t="shared" si="57"/>
        <v>Jan</v>
      </c>
      <c r="M312" s="150" t="str">
        <f t="shared" si="61"/>
        <v>00</v>
      </c>
      <c r="N312" s="153"/>
      <c r="V312" s="151">
        <f t="shared" si="58"/>
        <v>0</v>
      </c>
      <c r="W312" s="151">
        <f t="shared" si="59"/>
        <v>0</v>
      </c>
      <c r="X312" s="151">
        <f t="shared" si="60"/>
        <v>0</v>
      </c>
      <c r="Y312" s="151">
        <f t="shared" si="56"/>
        <v>0</v>
      </c>
    </row>
    <row r="313" spans="1:25" x14ac:dyDescent="0.25">
      <c r="A313" s="150"/>
      <c r="B313" s="158">
        <v>51867</v>
      </c>
      <c r="C313" s="153"/>
      <c r="D313" s="153"/>
      <c r="E313" s="178"/>
      <c r="L313" s="150" t="str">
        <f t="shared" si="57"/>
        <v>Jan</v>
      </c>
      <c r="M313" s="150" t="str">
        <f t="shared" si="61"/>
        <v>00</v>
      </c>
      <c r="N313" s="153"/>
      <c r="V313" s="151">
        <f t="shared" si="58"/>
        <v>0</v>
      </c>
      <c r="W313" s="151">
        <f t="shared" si="59"/>
        <v>0</v>
      </c>
      <c r="X313" s="151">
        <f t="shared" si="60"/>
        <v>0</v>
      </c>
      <c r="Y313" s="151">
        <f t="shared" si="56"/>
        <v>0</v>
      </c>
    </row>
    <row r="314" spans="1:25" x14ac:dyDescent="0.25">
      <c r="A314" s="150"/>
      <c r="B314" s="158">
        <v>51898</v>
      </c>
      <c r="C314" s="153"/>
      <c r="D314" s="153"/>
      <c r="E314" s="178"/>
      <c r="L314" s="150" t="str">
        <f t="shared" si="57"/>
        <v>Jan</v>
      </c>
      <c r="M314" s="150" t="str">
        <f t="shared" si="61"/>
        <v>00</v>
      </c>
      <c r="N314" s="153"/>
      <c r="V314" s="151">
        <f t="shared" si="58"/>
        <v>0</v>
      </c>
      <c r="W314" s="151">
        <f t="shared" si="59"/>
        <v>0</v>
      </c>
      <c r="X314" s="151">
        <f t="shared" si="60"/>
        <v>0</v>
      </c>
      <c r="Y314" s="151">
        <f t="shared" si="56"/>
        <v>0</v>
      </c>
    </row>
    <row r="315" spans="1:25" x14ac:dyDescent="0.25">
      <c r="A315" s="150"/>
      <c r="B315" s="158">
        <v>51926</v>
      </c>
      <c r="C315" s="153"/>
      <c r="D315" s="153"/>
      <c r="E315" s="178"/>
      <c r="L315" s="150" t="str">
        <f t="shared" si="57"/>
        <v>Jan</v>
      </c>
      <c r="M315" s="150" t="str">
        <f t="shared" si="61"/>
        <v>00</v>
      </c>
      <c r="N315" s="153"/>
      <c r="V315" s="151">
        <f t="shared" si="58"/>
        <v>0</v>
      </c>
      <c r="W315" s="151">
        <f t="shared" si="59"/>
        <v>0</v>
      </c>
      <c r="X315" s="151">
        <f t="shared" si="60"/>
        <v>0</v>
      </c>
      <c r="Y315" s="151">
        <f t="shared" si="56"/>
        <v>0</v>
      </c>
    </row>
    <row r="316" spans="1:25" x14ac:dyDescent="0.25">
      <c r="A316" s="150"/>
      <c r="B316" s="158">
        <v>51957</v>
      </c>
      <c r="C316" s="153"/>
      <c r="D316" s="153"/>
      <c r="E316" s="178"/>
      <c r="L316" s="150" t="str">
        <f t="shared" si="57"/>
        <v>Jan</v>
      </c>
      <c r="M316" s="150" t="str">
        <f t="shared" si="61"/>
        <v>00</v>
      </c>
      <c r="N316" s="153"/>
      <c r="V316" s="151">
        <f t="shared" si="58"/>
        <v>0</v>
      </c>
      <c r="W316" s="151">
        <f t="shared" si="59"/>
        <v>0</v>
      </c>
      <c r="X316" s="151">
        <f t="shared" si="60"/>
        <v>0</v>
      </c>
      <c r="Y316" s="151">
        <f t="shared" si="56"/>
        <v>0</v>
      </c>
    </row>
    <row r="317" spans="1:25" x14ac:dyDescent="0.25">
      <c r="A317" s="150"/>
      <c r="B317" s="158">
        <v>51987</v>
      </c>
      <c r="C317" s="153"/>
      <c r="D317" s="153"/>
      <c r="E317" s="178"/>
      <c r="L317" s="150" t="str">
        <f t="shared" si="57"/>
        <v>Jan</v>
      </c>
      <c r="M317" s="150" t="str">
        <f t="shared" si="61"/>
        <v>00</v>
      </c>
      <c r="N317" s="153"/>
      <c r="V317" s="151">
        <f t="shared" si="58"/>
        <v>0</v>
      </c>
      <c r="W317" s="151">
        <f t="shared" si="59"/>
        <v>0</v>
      </c>
      <c r="X317" s="151">
        <f t="shared" si="60"/>
        <v>0</v>
      </c>
      <c r="Y317" s="151">
        <f t="shared" si="56"/>
        <v>0</v>
      </c>
    </row>
    <row r="318" spans="1:25" x14ac:dyDescent="0.25">
      <c r="A318" s="150"/>
      <c r="B318" s="158">
        <v>52018</v>
      </c>
      <c r="C318" s="153"/>
      <c r="D318" s="153"/>
      <c r="E318" s="178"/>
      <c r="L318" s="150" t="str">
        <f t="shared" si="57"/>
        <v>Jan</v>
      </c>
      <c r="M318" s="150" t="str">
        <f t="shared" si="61"/>
        <v>00</v>
      </c>
      <c r="N318" s="153"/>
      <c r="V318" s="151">
        <f t="shared" si="58"/>
        <v>0</v>
      </c>
      <c r="W318" s="151">
        <f t="shared" si="59"/>
        <v>0</v>
      </c>
      <c r="X318" s="151">
        <f t="shared" si="60"/>
        <v>0</v>
      </c>
      <c r="Y318" s="151">
        <f t="shared" si="56"/>
        <v>0</v>
      </c>
    </row>
    <row r="319" spans="1:25" x14ac:dyDescent="0.25">
      <c r="A319" s="150"/>
      <c r="B319" s="158">
        <v>52048</v>
      </c>
      <c r="C319" s="153"/>
      <c r="D319" s="153"/>
      <c r="E319" s="178"/>
      <c r="L319" s="150" t="str">
        <f t="shared" si="57"/>
        <v>Jan</v>
      </c>
      <c r="M319" s="150" t="str">
        <f t="shared" si="61"/>
        <v>00</v>
      </c>
      <c r="N319" s="153"/>
      <c r="V319" s="151">
        <f t="shared" si="58"/>
        <v>0</v>
      </c>
      <c r="W319" s="151">
        <f t="shared" si="59"/>
        <v>0</v>
      </c>
      <c r="X319" s="151">
        <f t="shared" si="60"/>
        <v>0</v>
      </c>
      <c r="Y319" s="151">
        <f t="shared" si="56"/>
        <v>0</v>
      </c>
    </row>
    <row r="320" spans="1:25" x14ac:dyDescent="0.25">
      <c r="A320" s="150"/>
      <c r="B320" s="158">
        <v>52079</v>
      </c>
      <c r="C320" s="153"/>
      <c r="D320" s="153"/>
      <c r="E320" s="178"/>
      <c r="L320" s="150" t="str">
        <f t="shared" si="57"/>
        <v>Jan</v>
      </c>
      <c r="M320" s="150" t="str">
        <f t="shared" si="61"/>
        <v>00</v>
      </c>
      <c r="N320" s="153"/>
      <c r="V320" s="151">
        <f t="shared" si="58"/>
        <v>0</v>
      </c>
      <c r="W320" s="151">
        <f t="shared" si="59"/>
        <v>0</v>
      </c>
      <c r="X320" s="151">
        <f t="shared" si="60"/>
        <v>0</v>
      </c>
      <c r="Y320" s="151">
        <f t="shared" si="56"/>
        <v>0</v>
      </c>
    </row>
    <row r="321" spans="1:25" x14ac:dyDescent="0.25">
      <c r="A321" s="150"/>
      <c r="B321" s="158">
        <v>52110</v>
      </c>
      <c r="C321" s="153"/>
      <c r="D321" s="153"/>
      <c r="E321" s="178"/>
      <c r="L321" s="150" t="str">
        <f t="shared" si="57"/>
        <v>Jan</v>
      </c>
      <c r="M321" s="150" t="str">
        <f t="shared" si="61"/>
        <v>00</v>
      </c>
      <c r="N321" s="153"/>
      <c r="V321" s="151">
        <f t="shared" si="58"/>
        <v>0</v>
      </c>
      <c r="W321" s="151">
        <f t="shared" si="59"/>
        <v>0</v>
      </c>
      <c r="X321" s="151">
        <f t="shared" si="60"/>
        <v>0</v>
      </c>
      <c r="Y321" s="151">
        <f t="shared" si="56"/>
        <v>0</v>
      </c>
    </row>
    <row r="322" spans="1:25" x14ac:dyDescent="0.25">
      <c r="A322" s="150"/>
      <c r="B322" s="158">
        <v>52140</v>
      </c>
      <c r="C322" s="153"/>
      <c r="D322" s="153"/>
      <c r="E322" s="178"/>
      <c r="L322" s="150" t="str">
        <f t="shared" si="57"/>
        <v>Jan</v>
      </c>
      <c r="M322" s="150" t="str">
        <f t="shared" si="61"/>
        <v>00</v>
      </c>
      <c r="N322" s="153"/>
      <c r="V322" s="151">
        <f t="shared" si="58"/>
        <v>0</v>
      </c>
      <c r="W322" s="151">
        <f t="shared" si="59"/>
        <v>0</v>
      </c>
      <c r="X322" s="151">
        <f t="shared" si="60"/>
        <v>0</v>
      </c>
      <c r="Y322" s="151">
        <f t="shared" si="56"/>
        <v>0</v>
      </c>
    </row>
    <row r="323" spans="1:25" x14ac:dyDescent="0.25">
      <c r="A323" s="150"/>
      <c r="B323" s="158">
        <v>52171</v>
      </c>
      <c r="C323" s="153"/>
      <c r="D323" s="153"/>
      <c r="E323" s="178"/>
      <c r="L323" s="150" t="str">
        <f t="shared" si="57"/>
        <v>Jan</v>
      </c>
      <c r="M323" s="150" t="str">
        <f t="shared" si="61"/>
        <v>00</v>
      </c>
      <c r="N323" s="153"/>
      <c r="V323" s="151">
        <f t="shared" si="58"/>
        <v>0</v>
      </c>
      <c r="W323" s="151">
        <f t="shared" si="59"/>
        <v>0</v>
      </c>
      <c r="X323" s="151">
        <f t="shared" si="60"/>
        <v>0</v>
      </c>
      <c r="Y323" s="151">
        <f t="shared" ref="Y323:Y373" si="62">V323+W323+X323</f>
        <v>0</v>
      </c>
    </row>
    <row r="324" spans="1:25" x14ac:dyDescent="0.25">
      <c r="A324" s="150"/>
      <c r="B324" s="158">
        <v>52201</v>
      </c>
      <c r="C324" s="153"/>
      <c r="D324" s="153"/>
      <c r="E324" s="178"/>
      <c r="L324" s="150" t="str">
        <f t="shared" si="57"/>
        <v>Jan</v>
      </c>
      <c r="M324" s="150" t="str">
        <f t="shared" si="61"/>
        <v>00</v>
      </c>
      <c r="N324" s="153"/>
      <c r="V324" s="151">
        <f t="shared" si="58"/>
        <v>0</v>
      </c>
      <c r="W324" s="151">
        <f t="shared" si="59"/>
        <v>0</v>
      </c>
      <c r="X324" s="151">
        <f t="shared" si="60"/>
        <v>0</v>
      </c>
      <c r="Y324" s="151">
        <f t="shared" si="62"/>
        <v>0</v>
      </c>
    </row>
    <row r="325" spans="1:25" x14ac:dyDescent="0.25">
      <c r="A325" s="150"/>
      <c r="B325" s="158">
        <v>52232</v>
      </c>
      <c r="C325" s="153"/>
      <c r="D325" s="153"/>
      <c r="E325" s="178"/>
      <c r="L325" s="150" t="str">
        <f t="shared" si="57"/>
        <v>Jan</v>
      </c>
      <c r="M325" s="150" t="str">
        <f t="shared" si="61"/>
        <v>00</v>
      </c>
      <c r="N325" s="153"/>
      <c r="V325" s="151">
        <f t="shared" si="58"/>
        <v>0</v>
      </c>
      <c r="W325" s="151">
        <f t="shared" si="59"/>
        <v>0</v>
      </c>
      <c r="X325" s="151">
        <f t="shared" si="60"/>
        <v>0</v>
      </c>
      <c r="Y325" s="151">
        <f t="shared" si="62"/>
        <v>0</v>
      </c>
    </row>
    <row r="326" spans="1:25" x14ac:dyDescent="0.25">
      <c r="A326" s="150"/>
      <c r="B326" s="158">
        <v>52263</v>
      </c>
      <c r="C326" s="153"/>
      <c r="D326" s="153"/>
      <c r="E326" s="178"/>
      <c r="L326" s="150" t="str">
        <f t="shared" si="57"/>
        <v>Jan</v>
      </c>
      <c r="M326" s="150" t="str">
        <f t="shared" si="61"/>
        <v>00</v>
      </c>
      <c r="N326" s="153"/>
      <c r="V326" s="151">
        <f t="shared" si="58"/>
        <v>0</v>
      </c>
      <c r="W326" s="151">
        <f t="shared" si="59"/>
        <v>0</v>
      </c>
      <c r="X326" s="151">
        <f t="shared" si="60"/>
        <v>0</v>
      </c>
      <c r="Y326" s="151">
        <f t="shared" si="62"/>
        <v>0</v>
      </c>
    </row>
    <row r="327" spans="1:25" x14ac:dyDescent="0.25">
      <c r="A327" s="150"/>
      <c r="B327" s="158">
        <v>52291</v>
      </c>
      <c r="C327" s="153"/>
      <c r="D327" s="153"/>
      <c r="E327" s="178"/>
      <c r="L327" s="150" t="str">
        <f t="shared" si="57"/>
        <v>Jan</v>
      </c>
      <c r="M327" s="150" t="str">
        <f t="shared" si="61"/>
        <v>00</v>
      </c>
      <c r="N327" s="153"/>
      <c r="V327" s="151">
        <f t="shared" si="58"/>
        <v>0</v>
      </c>
      <c r="W327" s="151">
        <f t="shared" si="59"/>
        <v>0</v>
      </c>
      <c r="X327" s="151">
        <f t="shared" si="60"/>
        <v>0</v>
      </c>
      <c r="Y327" s="151">
        <f t="shared" si="62"/>
        <v>0</v>
      </c>
    </row>
    <row r="328" spans="1:25" x14ac:dyDescent="0.25">
      <c r="A328" s="150"/>
      <c r="B328" s="158">
        <v>52322</v>
      </c>
      <c r="C328" s="153"/>
      <c r="D328" s="153"/>
      <c r="E328" s="178"/>
      <c r="L328" s="150" t="str">
        <f t="shared" si="57"/>
        <v>Jan</v>
      </c>
      <c r="M328" s="150" t="str">
        <f t="shared" si="61"/>
        <v>00</v>
      </c>
      <c r="N328" s="153"/>
      <c r="V328" s="151">
        <f t="shared" si="58"/>
        <v>0</v>
      </c>
      <c r="W328" s="151">
        <f t="shared" si="59"/>
        <v>0</v>
      </c>
      <c r="X328" s="151">
        <f t="shared" si="60"/>
        <v>0</v>
      </c>
      <c r="Y328" s="151">
        <f t="shared" si="62"/>
        <v>0</v>
      </c>
    </row>
    <row r="329" spans="1:25" x14ac:dyDescent="0.25">
      <c r="A329" s="150"/>
      <c r="B329" s="158">
        <v>52352</v>
      </c>
      <c r="C329" s="153"/>
      <c r="D329" s="153"/>
      <c r="E329" s="178"/>
      <c r="L329" s="150" t="str">
        <f t="shared" si="57"/>
        <v>Jan</v>
      </c>
      <c r="M329" s="150" t="str">
        <f t="shared" si="61"/>
        <v>00</v>
      </c>
      <c r="N329" s="153"/>
      <c r="V329" s="151">
        <f t="shared" si="58"/>
        <v>0</v>
      </c>
      <c r="W329" s="151">
        <f t="shared" si="59"/>
        <v>0</v>
      </c>
      <c r="X329" s="151">
        <f t="shared" si="60"/>
        <v>0</v>
      </c>
      <c r="Y329" s="151">
        <f t="shared" si="62"/>
        <v>0</v>
      </c>
    </row>
    <row r="330" spans="1:25" x14ac:dyDescent="0.25">
      <c r="A330" s="150"/>
      <c r="B330" s="158">
        <v>52383</v>
      </c>
      <c r="C330" s="153"/>
      <c r="D330" s="153"/>
      <c r="E330" s="178"/>
      <c r="L330" s="150" t="str">
        <f t="shared" si="57"/>
        <v>Jan</v>
      </c>
      <c r="M330" s="150" t="str">
        <f t="shared" si="61"/>
        <v>00</v>
      </c>
      <c r="N330" s="153"/>
      <c r="V330" s="151">
        <f t="shared" si="58"/>
        <v>0</v>
      </c>
      <c r="W330" s="151">
        <f t="shared" si="59"/>
        <v>0</v>
      </c>
      <c r="X330" s="151">
        <f t="shared" si="60"/>
        <v>0</v>
      </c>
      <c r="Y330" s="151">
        <f t="shared" si="62"/>
        <v>0</v>
      </c>
    </row>
    <row r="331" spans="1:25" x14ac:dyDescent="0.25">
      <c r="A331" s="150"/>
      <c r="B331" s="158">
        <v>52413</v>
      </c>
      <c r="C331" s="153"/>
      <c r="D331" s="153"/>
      <c r="E331" s="178"/>
      <c r="L331" s="150" t="str">
        <f t="shared" si="57"/>
        <v>Jan</v>
      </c>
      <c r="M331" s="150" t="str">
        <f t="shared" si="61"/>
        <v>00</v>
      </c>
      <c r="N331" s="153"/>
      <c r="V331" s="151">
        <f t="shared" si="58"/>
        <v>0</v>
      </c>
      <c r="W331" s="151">
        <f t="shared" si="59"/>
        <v>0</v>
      </c>
      <c r="X331" s="151">
        <f t="shared" si="60"/>
        <v>0</v>
      </c>
      <c r="Y331" s="151">
        <f t="shared" si="62"/>
        <v>0</v>
      </c>
    </row>
    <row r="332" spans="1:25" x14ac:dyDescent="0.25">
      <c r="A332" s="150"/>
      <c r="B332" s="158">
        <v>52444</v>
      </c>
      <c r="C332" s="153"/>
      <c r="D332" s="153"/>
      <c r="E332" s="178"/>
      <c r="L332" s="150" t="str">
        <f t="shared" si="57"/>
        <v>Jan</v>
      </c>
      <c r="M332" s="150" t="str">
        <f t="shared" si="61"/>
        <v>00</v>
      </c>
      <c r="N332" s="153"/>
      <c r="V332" s="151">
        <f t="shared" si="58"/>
        <v>0</v>
      </c>
      <c r="W332" s="151">
        <f t="shared" si="59"/>
        <v>0</v>
      </c>
      <c r="X332" s="151">
        <f t="shared" si="60"/>
        <v>0</v>
      </c>
      <c r="Y332" s="151">
        <f t="shared" si="62"/>
        <v>0</v>
      </c>
    </row>
    <row r="333" spans="1:25" x14ac:dyDescent="0.25">
      <c r="A333" s="150"/>
      <c r="B333" s="158">
        <v>52475</v>
      </c>
      <c r="C333" s="153"/>
      <c r="D333" s="153"/>
      <c r="E333" s="178"/>
      <c r="L333" s="150" t="str">
        <f t="shared" si="57"/>
        <v>Jan</v>
      </c>
      <c r="M333" s="150" t="str">
        <f t="shared" si="61"/>
        <v>00</v>
      </c>
      <c r="N333" s="153"/>
      <c r="V333" s="151">
        <f t="shared" si="58"/>
        <v>0</v>
      </c>
      <c r="W333" s="151">
        <f t="shared" si="59"/>
        <v>0</v>
      </c>
      <c r="X333" s="151">
        <f t="shared" si="60"/>
        <v>0</v>
      </c>
      <c r="Y333" s="151">
        <f t="shared" si="62"/>
        <v>0</v>
      </c>
    </row>
    <row r="334" spans="1:25" x14ac:dyDescent="0.25">
      <c r="A334" s="150"/>
      <c r="B334" s="158">
        <v>52505</v>
      </c>
      <c r="C334" s="153"/>
      <c r="D334" s="153"/>
      <c r="E334" s="178"/>
      <c r="L334" s="150" t="str">
        <f t="shared" si="57"/>
        <v>Jan</v>
      </c>
      <c r="M334" s="150" t="str">
        <f t="shared" si="61"/>
        <v>00</v>
      </c>
      <c r="N334" s="153"/>
      <c r="V334" s="151">
        <f t="shared" si="58"/>
        <v>0</v>
      </c>
      <c r="W334" s="151">
        <f t="shared" si="59"/>
        <v>0</v>
      </c>
      <c r="X334" s="151">
        <f t="shared" si="60"/>
        <v>0</v>
      </c>
      <c r="Y334" s="151">
        <f t="shared" si="62"/>
        <v>0</v>
      </c>
    </row>
    <row r="335" spans="1:25" x14ac:dyDescent="0.25">
      <c r="A335" s="150"/>
      <c r="B335" s="158">
        <v>52536</v>
      </c>
      <c r="C335" s="153"/>
      <c r="D335" s="153"/>
      <c r="E335" s="178"/>
      <c r="L335" s="150" t="str">
        <f t="shared" si="57"/>
        <v>Jan</v>
      </c>
      <c r="M335" s="150" t="str">
        <f t="shared" si="61"/>
        <v>00</v>
      </c>
      <c r="N335" s="153"/>
      <c r="V335" s="151">
        <f t="shared" si="58"/>
        <v>0</v>
      </c>
      <c r="W335" s="151">
        <f t="shared" si="59"/>
        <v>0</v>
      </c>
      <c r="X335" s="151">
        <f t="shared" si="60"/>
        <v>0</v>
      </c>
      <c r="Y335" s="151">
        <f t="shared" si="62"/>
        <v>0</v>
      </c>
    </row>
    <row r="336" spans="1:25" x14ac:dyDescent="0.25">
      <c r="A336" s="150"/>
      <c r="B336" s="158">
        <v>52566</v>
      </c>
      <c r="C336" s="153"/>
      <c r="D336" s="153"/>
      <c r="E336" s="178"/>
      <c r="L336" s="150" t="str">
        <f t="shared" si="57"/>
        <v>Jan</v>
      </c>
      <c r="M336" s="150" t="str">
        <f t="shared" si="61"/>
        <v>00</v>
      </c>
      <c r="N336" s="153"/>
      <c r="V336" s="151">
        <f t="shared" si="58"/>
        <v>0</v>
      </c>
      <c r="W336" s="151">
        <f t="shared" si="59"/>
        <v>0</v>
      </c>
      <c r="X336" s="151">
        <f t="shared" si="60"/>
        <v>0</v>
      </c>
      <c r="Y336" s="151">
        <f t="shared" si="62"/>
        <v>0</v>
      </c>
    </row>
    <row r="337" spans="1:25" x14ac:dyDescent="0.25">
      <c r="A337" s="150"/>
      <c r="B337" s="158">
        <v>52597</v>
      </c>
      <c r="C337" s="153"/>
      <c r="D337" s="153"/>
      <c r="E337" s="178"/>
      <c r="L337" s="150" t="str">
        <f t="shared" si="57"/>
        <v>Jan</v>
      </c>
      <c r="M337" s="150" t="str">
        <f t="shared" si="61"/>
        <v>00</v>
      </c>
      <c r="N337" s="153"/>
      <c r="V337" s="151">
        <f t="shared" si="58"/>
        <v>0</v>
      </c>
      <c r="W337" s="151">
        <f t="shared" si="59"/>
        <v>0</v>
      </c>
      <c r="X337" s="151">
        <f t="shared" si="60"/>
        <v>0</v>
      </c>
      <c r="Y337" s="151">
        <f t="shared" si="62"/>
        <v>0</v>
      </c>
    </row>
    <row r="338" spans="1:25" x14ac:dyDescent="0.25">
      <c r="A338" s="150"/>
      <c r="B338" s="158">
        <v>52628</v>
      </c>
      <c r="C338" s="153"/>
      <c r="D338" s="153"/>
      <c r="E338" s="178"/>
      <c r="L338" s="150" t="str">
        <f t="shared" si="57"/>
        <v>Jan</v>
      </c>
      <c r="M338" s="150" t="str">
        <f t="shared" si="61"/>
        <v>00</v>
      </c>
      <c r="N338" s="153"/>
      <c r="V338" s="151">
        <f t="shared" si="58"/>
        <v>0</v>
      </c>
      <c r="W338" s="151">
        <f t="shared" si="59"/>
        <v>0</v>
      </c>
      <c r="X338" s="151">
        <f t="shared" si="60"/>
        <v>0</v>
      </c>
      <c r="Y338" s="151">
        <f t="shared" si="62"/>
        <v>0</v>
      </c>
    </row>
    <row r="339" spans="1:25" x14ac:dyDescent="0.25">
      <c r="A339" s="150"/>
      <c r="B339" s="158">
        <v>52657</v>
      </c>
      <c r="C339" s="153"/>
      <c r="D339" s="153"/>
      <c r="E339" s="178"/>
      <c r="L339" s="150" t="str">
        <f t="shared" si="57"/>
        <v>Jan</v>
      </c>
      <c r="M339" s="150" t="str">
        <f t="shared" si="61"/>
        <v>00</v>
      </c>
      <c r="N339" s="153"/>
      <c r="V339" s="151">
        <f t="shared" si="58"/>
        <v>0</v>
      </c>
      <c r="W339" s="151">
        <f t="shared" si="59"/>
        <v>0</v>
      </c>
      <c r="X339" s="151">
        <f t="shared" si="60"/>
        <v>0</v>
      </c>
      <c r="Y339" s="151">
        <f t="shared" si="62"/>
        <v>0</v>
      </c>
    </row>
    <row r="340" spans="1:25" x14ac:dyDescent="0.25">
      <c r="A340" s="150"/>
      <c r="B340" s="158">
        <v>52688</v>
      </c>
      <c r="C340" s="153"/>
      <c r="D340" s="153"/>
      <c r="E340" s="178"/>
      <c r="L340" s="150" t="str">
        <f t="shared" si="57"/>
        <v>Jan</v>
      </c>
      <c r="M340" s="150" t="str">
        <f t="shared" si="61"/>
        <v>00</v>
      </c>
      <c r="N340" s="153"/>
      <c r="V340" s="151">
        <f t="shared" si="58"/>
        <v>0</v>
      </c>
      <c r="W340" s="151">
        <f t="shared" si="59"/>
        <v>0</v>
      </c>
      <c r="X340" s="151">
        <f t="shared" si="60"/>
        <v>0</v>
      </c>
      <c r="Y340" s="151">
        <f t="shared" si="62"/>
        <v>0</v>
      </c>
    </row>
    <row r="341" spans="1:25" x14ac:dyDescent="0.25">
      <c r="A341" s="150"/>
      <c r="B341" s="158">
        <v>52718</v>
      </c>
      <c r="C341" s="153"/>
      <c r="D341" s="153"/>
      <c r="E341" s="178"/>
      <c r="L341" s="150" t="str">
        <f t="shared" si="57"/>
        <v>Jan</v>
      </c>
      <c r="M341" s="150" t="str">
        <f t="shared" si="61"/>
        <v>00</v>
      </c>
      <c r="N341" s="153"/>
      <c r="V341" s="151">
        <f t="shared" si="58"/>
        <v>0</v>
      </c>
      <c r="W341" s="151">
        <f t="shared" si="59"/>
        <v>0</v>
      </c>
      <c r="X341" s="151">
        <f t="shared" si="60"/>
        <v>0</v>
      </c>
      <c r="Y341" s="151">
        <f t="shared" si="62"/>
        <v>0</v>
      </c>
    </row>
    <row r="342" spans="1:25" x14ac:dyDescent="0.25">
      <c r="A342" s="150"/>
      <c r="B342" s="158">
        <v>52749</v>
      </c>
      <c r="C342" s="153"/>
      <c r="D342" s="153"/>
      <c r="E342" s="178"/>
      <c r="L342" s="150" t="str">
        <f t="shared" si="57"/>
        <v>Jan</v>
      </c>
      <c r="M342" s="150" t="str">
        <f t="shared" si="61"/>
        <v>00</v>
      </c>
      <c r="N342" s="153"/>
      <c r="V342" s="151">
        <f t="shared" si="58"/>
        <v>0</v>
      </c>
      <c r="W342" s="151">
        <f t="shared" si="59"/>
        <v>0</v>
      </c>
      <c r="X342" s="151">
        <f t="shared" si="60"/>
        <v>0</v>
      </c>
      <c r="Y342" s="151">
        <f t="shared" si="62"/>
        <v>0</v>
      </c>
    </row>
    <row r="343" spans="1:25" x14ac:dyDescent="0.25">
      <c r="A343" s="150"/>
      <c r="B343" s="158">
        <v>52779</v>
      </c>
      <c r="C343" s="153"/>
      <c r="D343" s="153"/>
      <c r="E343" s="178"/>
      <c r="L343" s="150" t="str">
        <f t="shared" si="57"/>
        <v>Jan</v>
      </c>
      <c r="M343" s="150" t="str">
        <f t="shared" si="61"/>
        <v>00</v>
      </c>
      <c r="N343" s="153"/>
      <c r="V343" s="151">
        <f t="shared" si="58"/>
        <v>0</v>
      </c>
      <c r="W343" s="151">
        <f t="shared" si="59"/>
        <v>0</v>
      </c>
      <c r="X343" s="151">
        <f t="shared" si="60"/>
        <v>0</v>
      </c>
      <c r="Y343" s="151">
        <f t="shared" si="62"/>
        <v>0</v>
      </c>
    </row>
    <row r="344" spans="1:25" x14ac:dyDescent="0.25">
      <c r="A344" s="150"/>
      <c r="B344" s="158">
        <v>52810</v>
      </c>
      <c r="C344" s="153"/>
      <c r="D344" s="153"/>
      <c r="E344" s="178"/>
      <c r="L344" s="150" t="str">
        <f t="shared" si="57"/>
        <v>Jan</v>
      </c>
      <c r="M344" s="150" t="str">
        <f t="shared" si="61"/>
        <v>00</v>
      </c>
      <c r="N344" s="153"/>
      <c r="V344" s="151">
        <f t="shared" si="58"/>
        <v>0</v>
      </c>
      <c r="W344" s="151">
        <f t="shared" si="59"/>
        <v>0</v>
      </c>
      <c r="X344" s="151">
        <f t="shared" si="60"/>
        <v>0</v>
      </c>
      <c r="Y344" s="151">
        <f t="shared" si="62"/>
        <v>0</v>
      </c>
    </row>
    <row r="345" spans="1:25" x14ac:dyDescent="0.25">
      <c r="A345" s="150"/>
      <c r="B345" s="158">
        <v>52841</v>
      </c>
      <c r="C345" s="153"/>
      <c r="D345" s="153"/>
      <c r="E345" s="178"/>
      <c r="L345" s="150" t="str">
        <f t="shared" si="57"/>
        <v>Jan</v>
      </c>
      <c r="M345" s="150" t="str">
        <f t="shared" si="61"/>
        <v>00</v>
      </c>
      <c r="N345" s="153"/>
      <c r="V345" s="151">
        <f t="shared" si="58"/>
        <v>0</v>
      </c>
      <c r="W345" s="151">
        <f t="shared" si="59"/>
        <v>0</v>
      </c>
      <c r="X345" s="151">
        <f t="shared" si="60"/>
        <v>0</v>
      </c>
      <c r="Y345" s="151">
        <f t="shared" si="62"/>
        <v>0</v>
      </c>
    </row>
    <row r="346" spans="1:25" x14ac:dyDescent="0.25">
      <c r="A346" s="150"/>
      <c r="B346" s="158">
        <v>52871</v>
      </c>
      <c r="C346" s="153"/>
      <c r="D346" s="153"/>
      <c r="E346" s="178"/>
      <c r="L346" s="150" t="str">
        <f t="shared" si="57"/>
        <v>Jan</v>
      </c>
      <c r="M346" s="150" t="str">
        <f t="shared" si="61"/>
        <v>00</v>
      </c>
      <c r="N346" s="153"/>
      <c r="V346" s="151">
        <f t="shared" si="58"/>
        <v>0</v>
      </c>
      <c r="W346" s="151">
        <f t="shared" si="59"/>
        <v>0</v>
      </c>
      <c r="X346" s="151">
        <f t="shared" si="60"/>
        <v>0</v>
      </c>
      <c r="Y346" s="151">
        <f t="shared" si="62"/>
        <v>0</v>
      </c>
    </row>
    <row r="347" spans="1:25" x14ac:dyDescent="0.25">
      <c r="A347" s="150"/>
      <c r="B347" s="158">
        <v>52902</v>
      </c>
      <c r="C347" s="153"/>
      <c r="D347" s="153"/>
      <c r="E347" s="178"/>
      <c r="L347" s="150" t="str">
        <f t="shared" si="57"/>
        <v>Jan</v>
      </c>
      <c r="M347" s="150" t="str">
        <f t="shared" si="61"/>
        <v>00</v>
      </c>
      <c r="N347" s="153"/>
      <c r="V347" s="151">
        <f t="shared" si="58"/>
        <v>0</v>
      </c>
      <c r="W347" s="151">
        <f t="shared" si="59"/>
        <v>0</v>
      </c>
      <c r="X347" s="151">
        <f t="shared" si="60"/>
        <v>0</v>
      </c>
      <c r="Y347" s="151">
        <f t="shared" si="62"/>
        <v>0</v>
      </c>
    </row>
    <row r="348" spans="1:25" x14ac:dyDescent="0.25">
      <c r="A348" s="150"/>
      <c r="B348" s="158">
        <v>52932</v>
      </c>
      <c r="C348" s="153"/>
      <c r="D348" s="153"/>
      <c r="E348" s="178"/>
      <c r="L348" s="150" t="str">
        <f t="shared" si="57"/>
        <v>Jan</v>
      </c>
      <c r="M348" s="150" t="str">
        <f t="shared" si="61"/>
        <v>00</v>
      </c>
      <c r="N348" s="153"/>
      <c r="V348" s="151">
        <f t="shared" si="58"/>
        <v>0</v>
      </c>
      <c r="W348" s="151">
        <f t="shared" si="59"/>
        <v>0</v>
      </c>
      <c r="X348" s="151">
        <f t="shared" si="60"/>
        <v>0</v>
      </c>
      <c r="Y348" s="151">
        <f t="shared" si="62"/>
        <v>0</v>
      </c>
    </row>
    <row r="349" spans="1:25" x14ac:dyDescent="0.25">
      <c r="A349" s="150"/>
      <c r="B349" s="158">
        <v>52963</v>
      </c>
      <c r="C349" s="153"/>
      <c r="D349" s="153"/>
      <c r="E349" s="178"/>
      <c r="L349" s="150" t="str">
        <f t="shared" si="57"/>
        <v>Jan</v>
      </c>
      <c r="M349" s="150" t="str">
        <f t="shared" si="61"/>
        <v>00</v>
      </c>
      <c r="N349" s="153"/>
      <c r="V349" s="151">
        <f t="shared" si="58"/>
        <v>0</v>
      </c>
      <c r="W349" s="151">
        <f t="shared" si="59"/>
        <v>0</v>
      </c>
      <c r="X349" s="151">
        <f t="shared" si="60"/>
        <v>0</v>
      </c>
      <c r="Y349" s="151">
        <f t="shared" si="62"/>
        <v>0</v>
      </c>
    </row>
    <row r="350" spans="1:25" x14ac:dyDescent="0.25">
      <c r="A350" s="150"/>
      <c r="B350" s="158">
        <v>52994</v>
      </c>
      <c r="C350" s="153"/>
      <c r="D350" s="153"/>
      <c r="E350" s="178"/>
      <c r="L350" s="150" t="str">
        <f t="shared" ref="L350:L373" si="63">TEXT(E350,"mmm")</f>
        <v>Jan</v>
      </c>
      <c r="M350" s="150" t="str">
        <f t="shared" si="61"/>
        <v>00</v>
      </c>
      <c r="N350" s="153"/>
      <c r="V350" s="151">
        <f t="shared" si="58"/>
        <v>0</v>
      </c>
      <c r="W350" s="151">
        <f t="shared" si="59"/>
        <v>0</v>
      </c>
      <c r="X350" s="151">
        <f t="shared" si="60"/>
        <v>0</v>
      </c>
      <c r="Y350" s="151">
        <f t="shared" si="62"/>
        <v>0</v>
      </c>
    </row>
    <row r="351" spans="1:25" x14ac:dyDescent="0.25">
      <c r="A351" s="150"/>
      <c r="B351" s="158">
        <v>53022</v>
      </c>
      <c r="C351" s="153"/>
      <c r="D351" s="153"/>
      <c r="E351" s="178"/>
      <c r="L351" s="150" t="str">
        <f t="shared" si="63"/>
        <v>Jan</v>
      </c>
      <c r="M351" s="150" t="str">
        <f t="shared" si="61"/>
        <v>00</v>
      </c>
      <c r="N351" s="153"/>
      <c r="V351" s="151">
        <f t="shared" si="58"/>
        <v>0</v>
      </c>
      <c r="W351" s="151">
        <f t="shared" si="59"/>
        <v>0</v>
      </c>
      <c r="X351" s="151">
        <f t="shared" si="60"/>
        <v>0</v>
      </c>
      <c r="Y351" s="151">
        <f t="shared" si="62"/>
        <v>0</v>
      </c>
    </row>
    <row r="352" spans="1:25" x14ac:dyDescent="0.25">
      <c r="A352" s="150"/>
      <c r="B352" s="158">
        <v>53053</v>
      </c>
      <c r="C352" s="153"/>
      <c r="D352" s="153"/>
      <c r="E352" s="178"/>
      <c r="L352" s="150" t="str">
        <f t="shared" si="63"/>
        <v>Jan</v>
      </c>
      <c r="M352" s="150" t="str">
        <f t="shared" si="61"/>
        <v>00</v>
      </c>
      <c r="N352" s="153"/>
      <c r="V352" s="151">
        <f t="shared" ref="V352:V373" si="64">F352-Q352</f>
        <v>0</v>
      </c>
      <c r="W352" s="151">
        <f t="shared" ref="W352:W373" si="65">E352-R352</f>
        <v>0</v>
      </c>
      <c r="X352" s="151">
        <f t="shared" ref="X352:X373" si="66">G352-T352</f>
        <v>0</v>
      </c>
      <c r="Y352" s="151">
        <f t="shared" si="62"/>
        <v>0</v>
      </c>
    </row>
    <row r="353" spans="1:25" x14ac:dyDescent="0.25">
      <c r="A353" s="150"/>
      <c r="B353" s="158">
        <v>53083</v>
      </c>
      <c r="C353" s="153"/>
      <c r="D353" s="153"/>
      <c r="E353" s="178"/>
      <c r="L353" s="150" t="str">
        <f t="shared" si="63"/>
        <v>Jan</v>
      </c>
      <c r="M353" s="150" t="str">
        <f t="shared" si="61"/>
        <v>00</v>
      </c>
      <c r="N353" s="153"/>
      <c r="V353" s="151">
        <f t="shared" si="64"/>
        <v>0</v>
      </c>
      <c r="W353" s="151">
        <f t="shared" si="65"/>
        <v>0</v>
      </c>
      <c r="X353" s="151">
        <f t="shared" si="66"/>
        <v>0</v>
      </c>
      <c r="Y353" s="151">
        <f t="shared" si="62"/>
        <v>0</v>
      </c>
    </row>
    <row r="354" spans="1:25" x14ac:dyDescent="0.25">
      <c r="A354" s="150"/>
      <c r="B354" s="158">
        <v>53114</v>
      </c>
      <c r="C354" s="153"/>
      <c r="D354" s="153"/>
      <c r="E354" s="178"/>
      <c r="L354" s="150" t="str">
        <f t="shared" si="63"/>
        <v>Jan</v>
      </c>
      <c r="M354" s="150" t="str">
        <f t="shared" si="61"/>
        <v>00</v>
      </c>
      <c r="N354" s="153"/>
      <c r="V354" s="151">
        <f t="shared" si="64"/>
        <v>0</v>
      </c>
      <c r="W354" s="151">
        <f t="shared" si="65"/>
        <v>0</v>
      </c>
      <c r="X354" s="151">
        <f t="shared" si="66"/>
        <v>0</v>
      </c>
      <c r="Y354" s="151">
        <f t="shared" si="62"/>
        <v>0</v>
      </c>
    </row>
    <row r="355" spans="1:25" x14ac:dyDescent="0.25">
      <c r="A355" s="150"/>
      <c r="B355" s="158">
        <v>53144</v>
      </c>
      <c r="C355" s="153"/>
      <c r="D355" s="153"/>
      <c r="E355" s="178"/>
      <c r="L355" s="150" t="str">
        <f t="shared" si="63"/>
        <v>Jan</v>
      </c>
      <c r="M355" s="150" t="str">
        <f t="shared" si="61"/>
        <v>00</v>
      </c>
      <c r="N355" s="153"/>
      <c r="V355" s="151">
        <f t="shared" si="64"/>
        <v>0</v>
      </c>
      <c r="W355" s="151">
        <f t="shared" si="65"/>
        <v>0</v>
      </c>
      <c r="X355" s="151">
        <f t="shared" si="66"/>
        <v>0</v>
      </c>
      <c r="Y355" s="151">
        <f t="shared" si="62"/>
        <v>0</v>
      </c>
    </row>
    <row r="356" spans="1:25" x14ac:dyDescent="0.25">
      <c r="A356" s="150"/>
      <c r="B356" s="158">
        <v>53175</v>
      </c>
      <c r="C356" s="153"/>
      <c r="D356" s="153"/>
      <c r="E356" s="178"/>
      <c r="L356" s="150" t="str">
        <f t="shared" si="63"/>
        <v>Jan</v>
      </c>
      <c r="M356" s="150" t="str">
        <f t="shared" si="61"/>
        <v>00</v>
      </c>
      <c r="N356" s="153"/>
      <c r="V356" s="151">
        <f t="shared" si="64"/>
        <v>0</v>
      </c>
      <c r="W356" s="151">
        <f t="shared" si="65"/>
        <v>0</v>
      </c>
      <c r="X356" s="151">
        <f t="shared" si="66"/>
        <v>0</v>
      </c>
      <c r="Y356" s="151">
        <f t="shared" si="62"/>
        <v>0</v>
      </c>
    </row>
    <row r="357" spans="1:25" x14ac:dyDescent="0.25">
      <c r="A357" s="150"/>
      <c r="B357" s="158">
        <v>53206</v>
      </c>
      <c r="C357" s="153"/>
      <c r="D357" s="153"/>
      <c r="E357" s="178"/>
      <c r="L357" s="150" t="str">
        <f t="shared" si="63"/>
        <v>Jan</v>
      </c>
      <c r="M357" s="150" t="str">
        <f t="shared" si="61"/>
        <v>00</v>
      </c>
      <c r="N357" s="153"/>
      <c r="V357" s="151">
        <f t="shared" si="64"/>
        <v>0</v>
      </c>
      <c r="W357" s="151">
        <f t="shared" si="65"/>
        <v>0</v>
      </c>
      <c r="X357" s="151">
        <f t="shared" si="66"/>
        <v>0</v>
      </c>
      <c r="Y357" s="151">
        <f t="shared" si="62"/>
        <v>0</v>
      </c>
    </row>
    <row r="358" spans="1:25" x14ac:dyDescent="0.25">
      <c r="A358" s="150"/>
      <c r="B358" s="158">
        <v>53236</v>
      </c>
      <c r="C358" s="153"/>
      <c r="D358" s="153"/>
      <c r="E358" s="178"/>
      <c r="L358" s="150" t="str">
        <f t="shared" si="63"/>
        <v>Jan</v>
      </c>
      <c r="M358" s="150" t="str">
        <f t="shared" si="61"/>
        <v>00</v>
      </c>
      <c r="N358" s="153"/>
      <c r="V358" s="151">
        <f t="shared" si="64"/>
        <v>0</v>
      </c>
      <c r="W358" s="151">
        <f t="shared" si="65"/>
        <v>0</v>
      </c>
      <c r="X358" s="151">
        <f t="shared" si="66"/>
        <v>0</v>
      </c>
      <c r="Y358" s="151">
        <f t="shared" si="62"/>
        <v>0</v>
      </c>
    </row>
    <row r="359" spans="1:25" x14ac:dyDescent="0.25">
      <c r="A359" s="150"/>
      <c r="B359" s="158">
        <v>53267</v>
      </c>
      <c r="C359" s="153"/>
      <c r="D359" s="153"/>
      <c r="E359" s="178"/>
      <c r="L359" s="150" t="str">
        <f t="shared" si="63"/>
        <v>Jan</v>
      </c>
      <c r="M359" s="150" t="str">
        <f t="shared" si="61"/>
        <v>00</v>
      </c>
      <c r="N359" s="153"/>
      <c r="V359" s="151">
        <f t="shared" si="64"/>
        <v>0</v>
      </c>
      <c r="W359" s="151">
        <f t="shared" si="65"/>
        <v>0</v>
      </c>
      <c r="X359" s="151">
        <f t="shared" si="66"/>
        <v>0</v>
      </c>
      <c r="Y359" s="151">
        <f t="shared" si="62"/>
        <v>0</v>
      </c>
    </row>
    <row r="360" spans="1:25" x14ac:dyDescent="0.25">
      <c r="A360" s="150"/>
      <c r="B360" s="158">
        <v>53297</v>
      </c>
      <c r="C360" s="153"/>
      <c r="D360" s="153"/>
      <c r="E360" s="178"/>
      <c r="L360" s="150" t="str">
        <f t="shared" si="63"/>
        <v>Jan</v>
      </c>
      <c r="M360" s="150" t="str">
        <f t="shared" si="61"/>
        <v>00</v>
      </c>
      <c r="N360" s="153"/>
      <c r="V360" s="151">
        <f t="shared" si="64"/>
        <v>0</v>
      </c>
      <c r="W360" s="151">
        <f t="shared" si="65"/>
        <v>0</v>
      </c>
      <c r="X360" s="151">
        <f t="shared" si="66"/>
        <v>0</v>
      </c>
      <c r="Y360" s="151">
        <f t="shared" si="62"/>
        <v>0</v>
      </c>
    </row>
    <row r="361" spans="1:25" x14ac:dyDescent="0.25">
      <c r="A361" s="150"/>
      <c r="B361" s="158">
        <v>53328</v>
      </c>
      <c r="C361" s="153"/>
      <c r="D361" s="153"/>
      <c r="E361" s="178"/>
      <c r="L361" s="150" t="str">
        <f t="shared" si="63"/>
        <v>Jan</v>
      </c>
      <c r="M361" s="150" t="str">
        <f t="shared" si="61"/>
        <v>00</v>
      </c>
      <c r="N361" s="153"/>
      <c r="V361" s="151">
        <f t="shared" si="64"/>
        <v>0</v>
      </c>
      <c r="W361" s="151">
        <f t="shared" si="65"/>
        <v>0</v>
      </c>
      <c r="X361" s="151">
        <f t="shared" si="66"/>
        <v>0</v>
      </c>
      <c r="Y361" s="151">
        <f t="shared" si="62"/>
        <v>0</v>
      </c>
    </row>
    <row r="362" spans="1:25" x14ac:dyDescent="0.25">
      <c r="A362" s="150"/>
      <c r="B362" s="158">
        <v>53359</v>
      </c>
      <c r="C362" s="153"/>
      <c r="D362" s="153"/>
      <c r="E362" s="178"/>
      <c r="L362" s="150" t="str">
        <f t="shared" si="63"/>
        <v>Jan</v>
      </c>
      <c r="M362" s="150" t="str">
        <f t="shared" ref="M362:M373" si="67">TEXT(E362,"yy")</f>
        <v>00</v>
      </c>
      <c r="N362" s="153"/>
      <c r="V362" s="151">
        <f t="shared" si="64"/>
        <v>0</v>
      </c>
      <c r="W362" s="151">
        <f t="shared" si="65"/>
        <v>0</v>
      </c>
      <c r="X362" s="151">
        <f t="shared" si="66"/>
        <v>0</v>
      </c>
      <c r="Y362" s="151">
        <f t="shared" si="62"/>
        <v>0</v>
      </c>
    </row>
    <row r="363" spans="1:25" x14ac:dyDescent="0.25">
      <c r="A363" s="150"/>
      <c r="B363" s="158">
        <v>53387</v>
      </c>
      <c r="C363" s="153"/>
      <c r="D363" s="153"/>
      <c r="E363" s="178"/>
      <c r="L363" s="150" t="str">
        <f t="shared" si="63"/>
        <v>Jan</v>
      </c>
      <c r="M363" s="150" t="str">
        <f t="shared" si="67"/>
        <v>00</v>
      </c>
      <c r="N363" s="153"/>
      <c r="V363" s="151">
        <f t="shared" si="64"/>
        <v>0</v>
      </c>
      <c r="W363" s="151">
        <f t="shared" si="65"/>
        <v>0</v>
      </c>
      <c r="X363" s="151">
        <f t="shared" si="66"/>
        <v>0</v>
      </c>
      <c r="Y363" s="151">
        <f t="shared" si="62"/>
        <v>0</v>
      </c>
    </row>
    <row r="364" spans="1:25" x14ac:dyDescent="0.25">
      <c r="A364" s="150"/>
      <c r="B364" s="158">
        <v>53418</v>
      </c>
      <c r="C364" s="153"/>
      <c r="D364" s="153"/>
      <c r="E364" s="178"/>
      <c r="L364" s="150" t="str">
        <f t="shared" si="63"/>
        <v>Jan</v>
      </c>
      <c r="M364" s="150" t="str">
        <f t="shared" si="67"/>
        <v>00</v>
      </c>
      <c r="N364" s="153"/>
      <c r="V364" s="151">
        <f t="shared" si="64"/>
        <v>0</v>
      </c>
      <c r="W364" s="151">
        <f t="shared" si="65"/>
        <v>0</v>
      </c>
      <c r="X364" s="151">
        <f t="shared" si="66"/>
        <v>0</v>
      </c>
      <c r="Y364" s="151">
        <f t="shared" si="62"/>
        <v>0</v>
      </c>
    </row>
    <row r="365" spans="1:25" x14ac:dyDescent="0.25">
      <c r="A365" s="150"/>
      <c r="B365" s="158">
        <v>53448</v>
      </c>
      <c r="C365" s="153"/>
      <c r="D365" s="153"/>
      <c r="E365" s="178"/>
      <c r="L365" s="150" t="str">
        <f t="shared" si="63"/>
        <v>Jan</v>
      </c>
      <c r="M365" s="150" t="str">
        <f t="shared" si="67"/>
        <v>00</v>
      </c>
      <c r="N365" s="153"/>
      <c r="V365" s="151">
        <f t="shared" si="64"/>
        <v>0</v>
      </c>
      <c r="W365" s="151">
        <f t="shared" si="65"/>
        <v>0</v>
      </c>
      <c r="X365" s="151">
        <f t="shared" si="66"/>
        <v>0</v>
      </c>
      <c r="Y365" s="151">
        <f t="shared" si="62"/>
        <v>0</v>
      </c>
    </row>
    <row r="366" spans="1:25" x14ac:dyDescent="0.25">
      <c r="A366" s="150"/>
      <c r="B366" s="158">
        <v>53479</v>
      </c>
      <c r="C366" s="153"/>
      <c r="D366" s="153"/>
      <c r="E366" s="178"/>
      <c r="L366" s="150" t="str">
        <f t="shared" si="63"/>
        <v>Jan</v>
      </c>
      <c r="M366" s="150" t="str">
        <f t="shared" si="67"/>
        <v>00</v>
      </c>
      <c r="N366" s="153"/>
      <c r="V366" s="151">
        <f t="shared" si="64"/>
        <v>0</v>
      </c>
      <c r="W366" s="151">
        <f t="shared" si="65"/>
        <v>0</v>
      </c>
      <c r="X366" s="151">
        <f t="shared" si="66"/>
        <v>0</v>
      </c>
      <c r="Y366" s="151">
        <f t="shared" si="62"/>
        <v>0</v>
      </c>
    </row>
    <row r="367" spans="1:25" x14ac:dyDescent="0.25">
      <c r="A367" s="150"/>
      <c r="B367" s="158">
        <v>53509</v>
      </c>
      <c r="C367" s="153"/>
      <c r="D367" s="153"/>
      <c r="E367" s="178"/>
      <c r="L367" s="150" t="str">
        <f t="shared" si="63"/>
        <v>Jan</v>
      </c>
      <c r="M367" s="150" t="str">
        <f t="shared" si="67"/>
        <v>00</v>
      </c>
      <c r="N367" s="153"/>
      <c r="V367" s="151">
        <f t="shared" si="64"/>
        <v>0</v>
      </c>
      <c r="W367" s="151">
        <f t="shared" si="65"/>
        <v>0</v>
      </c>
      <c r="X367" s="151">
        <f t="shared" si="66"/>
        <v>0</v>
      </c>
      <c r="Y367" s="151">
        <f t="shared" si="62"/>
        <v>0</v>
      </c>
    </row>
    <row r="368" spans="1:25" x14ac:dyDescent="0.25">
      <c r="A368" s="150"/>
      <c r="B368" s="158">
        <v>53540</v>
      </c>
      <c r="C368" s="153"/>
      <c r="D368" s="153"/>
      <c r="E368" s="178"/>
      <c r="L368" s="150" t="str">
        <f t="shared" si="63"/>
        <v>Jan</v>
      </c>
      <c r="M368" s="150" t="str">
        <f t="shared" si="67"/>
        <v>00</v>
      </c>
      <c r="N368" s="153"/>
      <c r="V368" s="151">
        <f t="shared" si="64"/>
        <v>0</v>
      </c>
      <c r="W368" s="151">
        <f t="shared" si="65"/>
        <v>0</v>
      </c>
      <c r="X368" s="151">
        <f t="shared" si="66"/>
        <v>0</v>
      </c>
      <c r="Y368" s="151">
        <f t="shared" si="62"/>
        <v>0</v>
      </c>
    </row>
    <row r="369" spans="1:25" x14ac:dyDescent="0.25">
      <c r="A369" s="150"/>
      <c r="B369" s="158">
        <v>53571</v>
      </c>
      <c r="C369" s="153"/>
      <c r="D369" s="153"/>
      <c r="E369" s="178"/>
      <c r="L369" s="150" t="str">
        <f t="shared" si="63"/>
        <v>Jan</v>
      </c>
      <c r="M369" s="150" t="str">
        <f t="shared" si="67"/>
        <v>00</v>
      </c>
      <c r="N369" s="153"/>
      <c r="V369" s="151">
        <f t="shared" si="64"/>
        <v>0</v>
      </c>
      <c r="W369" s="151">
        <f t="shared" si="65"/>
        <v>0</v>
      </c>
      <c r="X369" s="151">
        <f t="shared" si="66"/>
        <v>0</v>
      </c>
      <c r="Y369" s="151">
        <f t="shared" si="62"/>
        <v>0</v>
      </c>
    </row>
    <row r="370" spans="1:25" x14ac:dyDescent="0.25">
      <c r="A370" s="150"/>
      <c r="B370" s="158">
        <v>53601</v>
      </c>
      <c r="C370" s="153"/>
      <c r="D370" s="153"/>
      <c r="E370" s="178"/>
      <c r="L370" s="150" t="str">
        <f t="shared" si="63"/>
        <v>Jan</v>
      </c>
      <c r="M370" s="150" t="str">
        <f t="shared" si="67"/>
        <v>00</v>
      </c>
      <c r="N370" s="153"/>
      <c r="V370" s="151">
        <f t="shared" si="64"/>
        <v>0</v>
      </c>
      <c r="W370" s="151">
        <f t="shared" si="65"/>
        <v>0</v>
      </c>
      <c r="X370" s="151">
        <f t="shared" si="66"/>
        <v>0</v>
      </c>
      <c r="Y370" s="151">
        <f t="shared" si="62"/>
        <v>0</v>
      </c>
    </row>
    <row r="371" spans="1:25" x14ac:dyDescent="0.25">
      <c r="A371" s="150"/>
      <c r="B371" s="158">
        <v>53632</v>
      </c>
      <c r="C371" s="153"/>
      <c r="D371" s="153"/>
      <c r="E371" s="178"/>
      <c r="L371" s="150" t="str">
        <f t="shared" si="63"/>
        <v>Jan</v>
      </c>
      <c r="M371" s="150" t="str">
        <f t="shared" si="67"/>
        <v>00</v>
      </c>
      <c r="N371" s="153"/>
      <c r="V371" s="151">
        <f t="shared" si="64"/>
        <v>0</v>
      </c>
      <c r="W371" s="151">
        <f t="shared" si="65"/>
        <v>0</v>
      </c>
      <c r="X371" s="151">
        <f t="shared" si="66"/>
        <v>0</v>
      </c>
      <c r="Y371" s="151">
        <f t="shared" si="62"/>
        <v>0</v>
      </c>
    </row>
    <row r="372" spans="1:25" x14ac:dyDescent="0.25">
      <c r="A372" s="150"/>
      <c r="B372" s="158">
        <v>53662</v>
      </c>
      <c r="C372" s="153"/>
      <c r="D372" s="153"/>
      <c r="E372" s="178"/>
      <c r="L372" s="150" t="str">
        <f t="shared" si="63"/>
        <v>Jan</v>
      </c>
      <c r="M372" s="150" t="str">
        <f t="shared" si="67"/>
        <v>00</v>
      </c>
      <c r="N372" s="153"/>
      <c r="V372" s="151">
        <f t="shared" si="64"/>
        <v>0</v>
      </c>
      <c r="W372" s="151">
        <f t="shared" si="65"/>
        <v>0</v>
      </c>
      <c r="X372" s="151">
        <f t="shared" si="66"/>
        <v>0</v>
      </c>
      <c r="Y372" s="151">
        <f t="shared" si="62"/>
        <v>0</v>
      </c>
    </row>
    <row r="373" spans="1:25" x14ac:dyDescent="0.25">
      <c r="A373" s="150"/>
      <c r="B373" s="158">
        <v>53693</v>
      </c>
      <c r="C373" s="153"/>
      <c r="D373" s="153"/>
      <c r="E373" s="178"/>
      <c r="L373" s="150" t="str">
        <f t="shared" si="63"/>
        <v>Jan</v>
      </c>
      <c r="M373" s="150" t="str">
        <f t="shared" si="67"/>
        <v>00</v>
      </c>
      <c r="N373" s="153"/>
      <c r="V373" s="151">
        <f t="shared" si="64"/>
        <v>0</v>
      </c>
      <c r="W373" s="151">
        <f t="shared" si="65"/>
        <v>0</v>
      </c>
      <c r="X373" s="151">
        <f t="shared" si="66"/>
        <v>0</v>
      </c>
      <c r="Y373" s="151">
        <f t="shared" si="62"/>
        <v>0</v>
      </c>
    </row>
    <row r="374" spans="1:25" x14ac:dyDescent="0.25">
      <c r="A374" s="330"/>
      <c r="B374" s="158">
        <v>53724</v>
      </c>
      <c r="C374" s="203"/>
      <c r="D374" s="153"/>
      <c r="E374" s="331"/>
      <c r="F374" s="203"/>
      <c r="G374" s="203"/>
      <c r="H374" s="203"/>
      <c r="I374" s="203"/>
      <c r="J374" s="203"/>
      <c r="K374" s="203"/>
      <c r="L374" s="332" t="str">
        <f>TEXT(E374,"mmm")</f>
        <v>Jan</v>
      </c>
      <c r="M374" s="332" t="str">
        <f>TEXT(E374,"yy")</f>
        <v>00</v>
      </c>
      <c r="N374" s="203"/>
    </row>
  </sheetData>
  <phoneticPr fontId="31" type="noConversion"/>
  <conditionalFormatting sqref="B2:B1048576">
    <cfRule type="duplicateValues" dxfId="34" priority="31"/>
  </conditionalFormatting>
  <conditionalFormatting sqref="E2:E1048576">
    <cfRule type="duplicateValues" dxfId="33" priority="18"/>
  </conditionalFormatting>
  <conditionalFormatting sqref="E375:E1048576 E2:E13 E50">
    <cfRule type="duplicateValues" dxfId="32" priority="30"/>
  </conditionalFormatting>
  <conditionalFormatting sqref="F2:F61 F81">
    <cfRule type="duplicateValues" dxfId="31" priority="528"/>
  </conditionalFormatting>
  <conditionalFormatting sqref="F141:F1048576 F2:F105">
    <cfRule type="duplicateValues" dxfId="30" priority="17"/>
  </conditionalFormatting>
  <conditionalFormatting sqref="F375:F1048576 F2:F13 F50">
    <cfRule type="duplicateValues" dxfId="29" priority="29"/>
  </conditionalFormatting>
  <conditionalFormatting sqref="Q2:Q107">
    <cfRule type="duplicateValues" dxfId="28" priority="511"/>
  </conditionalFormatting>
  <conditionalFormatting sqref="Q108">
    <cfRule type="duplicateValues" dxfId="27" priority="8"/>
  </conditionalFormatting>
  <conditionalFormatting sqref="Q108:Q109">
    <cfRule type="duplicateValues" dxfId="26" priority="7"/>
  </conditionalFormatting>
  <conditionalFormatting sqref="Q110">
    <cfRule type="duplicateValues" dxfId="25" priority="6"/>
  </conditionalFormatting>
  <conditionalFormatting sqref="Q111">
    <cfRule type="duplicateValues" dxfId="24" priority="5"/>
  </conditionalFormatting>
  <conditionalFormatting sqref="Q112:Q119">
    <cfRule type="duplicateValues" dxfId="23" priority="4"/>
  </conditionalFormatting>
  <conditionalFormatting sqref="Q120">
    <cfRule type="duplicateValues" dxfId="22" priority="2"/>
  </conditionalFormatting>
  <conditionalFormatting sqref="Q121:Q122">
    <cfRule type="duplicateValues" dxfId="21" priority="3"/>
  </conditionalFormatting>
  <conditionalFormatting sqref="Q137 Q72:Q107">
    <cfRule type="duplicateValues" dxfId="20" priority="237"/>
  </conditionalFormatting>
  <conditionalFormatting sqref="Q137:Q1048576 Q1:Q107">
    <cfRule type="duplicateValues" dxfId="19" priority="435"/>
  </conditionalFormatting>
  <conditionalFormatting sqref="V1:Y1048576">
    <cfRule type="cellIs" dxfId="18" priority="1" operator="greaterThan">
      <formula>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99"/>
  <sheetViews>
    <sheetView zoomScaleNormal="100" workbookViewId="0">
      <selection activeCell="N3" sqref="N3"/>
    </sheetView>
  </sheetViews>
  <sheetFormatPr defaultRowHeight="15" x14ac:dyDescent="0.25"/>
  <cols>
    <col min="3" max="3" width="9.85546875" bestFit="1" customWidth="1"/>
    <col min="5" max="5" width="48" customWidth="1"/>
    <col min="6" max="6" width="23.7109375" style="76" customWidth="1"/>
    <col min="7" max="7" width="23.28515625" style="76" customWidth="1"/>
    <col min="8" max="8" width="11.5703125" style="76" bestFit="1" customWidth="1"/>
    <col min="9" max="9" width="23.5703125" customWidth="1"/>
    <col min="13" max="13" width="20.85546875" bestFit="1" customWidth="1"/>
  </cols>
  <sheetData>
    <row r="1" spans="1:14" x14ac:dyDescent="0.25">
      <c r="A1" s="360" t="s">
        <v>48</v>
      </c>
      <c r="B1" s="360"/>
      <c r="C1" s="360"/>
      <c r="D1" s="360"/>
      <c r="E1" s="360"/>
      <c r="F1" s="360"/>
      <c r="G1" s="360"/>
      <c r="H1" s="360"/>
    </row>
    <row r="2" spans="1:14" ht="26.25" customHeight="1" x14ac:dyDescent="0.3">
      <c r="A2" s="360"/>
      <c r="B2" s="360"/>
      <c r="C2" s="360"/>
      <c r="D2" s="360"/>
      <c r="E2" s="360"/>
      <c r="F2" s="360"/>
      <c r="G2" s="360"/>
      <c r="H2" s="360"/>
      <c r="I2" s="6"/>
    </row>
    <row r="3" spans="1:14" ht="15.75" thickBot="1" x14ac:dyDescent="0.3">
      <c r="J3" t="s">
        <v>504</v>
      </c>
      <c r="M3" s="133" t="s">
        <v>628</v>
      </c>
      <c r="N3" s="134">
        <v>46110</v>
      </c>
    </row>
    <row r="4" spans="1:14" s="6" customFormat="1" ht="23.25" thickBot="1" x14ac:dyDescent="0.35">
      <c r="A4" s="15" t="s">
        <v>2</v>
      </c>
      <c r="B4" s="16"/>
      <c r="C4" s="16"/>
      <c r="D4" s="16"/>
      <c r="E4" s="16">
        <f>SUM(E56:E196)</f>
        <v>0</v>
      </c>
      <c r="F4" s="16">
        <f>SUM(F6:F2122)/2</f>
        <v>124355.5</v>
      </c>
      <c r="G4" s="16">
        <f>SUM(G6:G2122)/2</f>
        <v>124355.5</v>
      </c>
      <c r="H4" s="16">
        <f>SUM(H6:H2122)/2</f>
        <v>248711</v>
      </c>
      <c r="J4" s="6">
        <f>SUM(Table4[CORRECTION NEEDED])</f>
        <v>11</v>
      </c>
    </row>
    <row r="5" spans="1:14" s="3" customFormat="1" x14ac:dyDescent="0.25">
      <c r="A5" s="3" t="s">
        <v>47</v>
      </c>
      <c r="B5" s="3" t="s">
        <v>454</v>
      </c>
      <c r="C5" s="3" t="s">
        <v>57</v>
      </c>
      <c r="D5" s="3" t="s">
        <v>56</v>
      </c>
      <c r="E5" s="3" t="s">
        <v>55</v>
      </c>
      <c r="F5" s="77" t="s">
        <v>54</v>
      </c>
      <c r="G5" s="77" t="s">
        <v>53</v>
      </c>
      <c r="H5" s="77" t="s">
        <v>2</v>
      </c>
      <c r="I5" s="3" t="s">
        <v>455</v>
      </c>
      <c r="J5" s="77" t="s">
        <v>506</v>
      </c>
    </row>
    <row r="6" spans="1:14" s="3" customFormat="1" x14ac:dyDescent="0.25">
      <c r="A6">
        <v>1</v>
      </c>
      <c r="B6" t="s">
        <v>22</v>
      </c>
      <c r="C6" t="s">
        <v>51</v>
      </c>
      <c r="D6">
        <v>43674</v>
      </c>
      <c r="E6" t="s">
        <v>50</v>
      </c>
      <c r="F6" s="76">
        <v>2446</v>
      </c>
      <c r="G6" s="76">
        <v>2446</v>
      </c>
      <c r="H6" s="76">
        <v>4892</v>
      </c>
      <c r="I6" t="s">
        <v>188</v>
      </c>
      <c r="J6" s="3">
        <f>IF(Table4[[#This Row],[Check Status with ga 55]]="OK",0,1)</f>
        <v>0</v>
      </c>
    </row>
    <row r="7" spans="1:14" s="3" customFormat="1" x14ac:dyDescent="0.25">
      <c r="A7">
        <v>2</v>
      </c>
      <c r="B7" t="s">
        <v>22</v>
      </c>
      <c r="C7" t="s">
        <v>28</v>
      </c>
      <c r="D7">
        <v>48941</v>
      </c>
      <c r="E7" t="s">
        <v>50</v>
      </c>
      <c r="F7" s="76">
        <v>2446</v>
      </c>
      <c r="G7" s="76">
        <v>2446</v>
      </c>
      <c r="H7" s="76">
        <v>4892</v>
      </c>
      <c r="I7" t="s">
        <v>188</v>
      </c>
      <c r="J7" s="3">
        <f>IF(Table4[[#This Row],[Check Status with ga 55]]="OK",0,1)</f>
        <v>0</v>
      </c>
    </row>
    <row r="8" spans="1:14" s="3" customFormat="1" x14ac:dyDescent="0.25">
      <c r="A8">
        <v>3</v>
      </c>
      <c r="B8" t="s">
        <v>22</v>
      </c>
      <c r="C8" t="s">
        <v>28</v>
      </c>
      <c r="D8">
        <v>49219</v>
      </c>
      <c r="E8" t="s">
        <v>50</v>
      </c>
      <c r="F8" s="76">
        <v>2446</v>
      </c>
      <c r="G8" s="76">
        <v>2446</v>
      </c>
      <c r="H8" s="76">
        <v>4892</v>
      </c>
      <c r="I8" t="s">
        <v>188</v>
      </c>
      <c r="J8" s="3">
        <f>IF(Table4[[#This Row],[Check Status with ga 55]]="OK",0,1)</f>
        <v>0</v>
      </c>
    </row>
    <row r="9" spans="1:14" s="3" customFormat="1" x14ac:dyDescent="0.25">
      <c r="A9">
        <v>4</v>
      </c>
      <c r="B9" t="s">
        <v>22</v>
      </c>
      <c r="C9" t="s">
        <v>28</v>
      </c>
      <c r="D9">
        <v>55291</v>
      </c>
      <c r="E9" t="s">
        <v>50</v>
      </c>
      <c r="F9" s="76">
        <v>5463</v>
      </c>
      <c r="G9" s="76">
        <v>5463</v>
      </c>
      <c r="H9" s="76">
        <v>10926</v>
      </c>
      <c r="I9" t="s">
        <v>188</v>
      </c>
      <c r="J9" s="3">
        <f>IF(Table4[[#This Row],[Check Status with ga 55]]="OK",0,1)</f>
        <v>0</v>
      </c>
    </row>
    <row r="10" spans="1:14" s="3" customFormat="1" x14ac:dyDescent="0.25">
      <c r="A10">
        <v>5</v>
      </c>
      <c r="B10" t="s">
        <v>23</v>
      </c>
      <c r="C10" t="s">
        <v>29</v>
      </c>
      <c r="D10">
        <v>2179</v>
      </c>
      <c r="E10" t="s">
        <v>50</v>
      </c>
      <c r="F10" s="76">
        <v>2446</v>
      </c>
      <c r="G10" s="76">
        <v>2446</v>
      </c>
      <c r="H10" s="76">
        <v>4892</v>
      </c>
      <c r="I10" t="s">
        <v>188</v>
      </c>
      <c r="J10" s="3">
        <f>IF(Table4[[#This Row],[Check Status with ga 55]]="OK",0,1)</f>
        <v>0</v>
      </c>
    </row>
    <row r="11" spans="1:14" s="3" customFormat="1" x14ac:dyDescent="0.25">
      <c r="A11">
        <v>6</v>
      </c>
      <c r="B11" t="s">
        <v>23</v>
      </c>
      <c r="C11" t="s">
        <v>30</v>
      </c>
      <c r="D11">
        <v>3158</v>
      </c>
      <c r="E11" t="s">
        <v>50</v>
      </c>
      <c r="F11" s="76">
        <v>2513</v>
      </c>
      <c r="G11" s="76">
        <v>2513</v>
      </c>
      <c r="H11" s="76">
        <v>5026</v>
      </c>
      <c r="I11" t="s">
        <v>188</v>
      </c>
      <c r="J11" s="3">
        <f>IF(Table4[[#This Row],[Check Status with ga 55]]="OK",0,1)</f>
        <v>0</v>
      </c>
    </row>
    <row r="12" spans="1:14" s="3" customFormat="1" x14ac:dyDescent="0.25">
      <c r="A12">
        <v>7</v>
      </c>
      <c r="B12" t="s">
        <v>23</v>
      </c>
      <c r="C12" t="s">
        <v>31</v>
      </c>
      <c r="D12">
        <v>13185</v>
      </c>
      <c r="E12" t="s">
        <v>266</v>
      </c>
      <c r="F12" s="76">
        <v>2513</v>
      </c>
      <c r="G12" s="76">
        <v>2513</v>
      </c>
      <c r="H12" s="76">
        <v>5026</v>
      </c>
      <c r="I12" t="s">
        <v>188</v>
      </c>
      <c r="J12" s="3">
        <f>IF(Table4[[#This Row],[Check Status with ga 55]]="OK",0,1)</f>
        <v>0</v>
      </c>
    </row>
    <row r="13" spans="1:14" s="3" customFormat="1" x14ac:dyDescent="0.25">
      <c r="A13">
        <v>8</v>
      </c>
      <c r="B13" t="s">
        <v>23</v>
      </c>
      <c r="C13" t="s">
        <v>32</v>
      </c>
      <c r="D13">
        <v>14705</v>
      </c>
      <c r="E13" t="s">
        <v>266</v>
      </c>
      <c r="F13" s="76">
        <v>2513</v>
      </c>
      <c r="G13" s="76">
        <v>2513</v>
      </c>
      <c r="H13" s="76">
        <v>5026</v>
      </c>
      <c r="I13" t="s">
        <v>188</v>
      </c>
      <c r="J13" s="3">
        <f>IF(Table4[[#This Row],[Check Status with ga 55]]="OK",0,1)</f>
        <v>0</v>
      </c>
    </row>
    <row r="14" spans="1:14" s="3" customFormat="1" x14ac:dyDescent="0.25">
      <c r="A14">
        <v>9</v>
      </c>
      <c r="B14" t="s">
        <v>23</v>
      </c>
      <c r="C14" t="s">
        <v>33</v>
      </c>
      <c r="D14">
        <v>19959</v>
      </c>
      <c r="E14" t="s">
        <v>266</v>
      </c>
      <c r="F14" s="76">
        <v>2513</v>
      </c>
      <c r="G14" s="76">
        <v>2513</v>
      </c>
      <c r="H14" s="76">
        <v>5026</v>
      </c>
      <c r="I14" t="s">
        <v>188</v>
      </c>
      <c r="J14" s="3">
        <f>IF(Table4[[#This Row],[Check Status with ga 55]]="OK",0,1)</f>
        <v>0</v>
      </c>
    </row>
    <row r="15" spans="1:14" s="3" customFormat="1" x14ac:dyDescent="0.25">
      <c r="A15">
        <v>10</v>
      </c>
      <c r="B15" t="s">
        <v>23</v>
      </c>
      <c r="C15" t="s">
        <v>34</v>
      </c>
      <c r="D15">
        <v>23893</v>
      </c>
      <c r="E15" t="s">
        <v>266</v>
      </c>
      <c r="F15" s="76">
        <v>2590</v>
      </c>
      <c r="G15" s="76">
        <v>2590</v>
      </c>
      <c r="H15" s="76">
        <v>5180</v>
      </c>
      <c r="I15" t="s">
        <v>188</v>
      </c>
      <c r="J15" s="3">
        <f>IF(Table4[[#This Row],[Check Status with ga 55]]="OK",0,1)</f>
        <v>0</v>
      </c>
    </row>
    <row r="16" spans="1:14" s="3" customFormat="1" x14ac:dyDescent="0.25">
      <c r="A16">
        <v>11</v>
      </c>
      <c r="B16" t="s">
        <v>23</v>
      </c>
      <c r="C16" t="s">
        <v>34</v>
      </c>
      <c r="D16">
        <v>26364</v>
      </c>
      <c r="E16" t="s">
        <v>266</v>
      </c>
      <c r="F16" s="76">
        <v>77</v>
      </c>
      <c r="G16" s="76">
        <v>77</v>
      </c>
      <c r="H16" s="76">
        <v>154</v>
      </c>
      <c r="I16" t="s">
        <v>188</v>
      </c>
      <c r="J16" s="3">
        <f>IF(Table4[[#This Row],[Check Status with ga 55]]="OK",0,1)</f>
        <v>0</v>
      </c>
    </row>
    <row r="17" spans="1:10" s="3" customFormat="1" x14ac:dyDescent="0.25">
      <c r="A17">
        <v>12</v>
      </c>
      <c r="B17" t="s">
        <v>23</v>
      </c>
      <c r="C17" t="s">
        <v>35</v>
      </c>
      <c r="D17">
        <v>28883</v>
      </c>
      <c r="E17" t="s">
        <v>266</v>
      </c>
      <c r="F17" s="76">
        <v>2590</v>
      </c>
      <c r="G17" s="76">
        <v>2590</v>
      </c>
      <c r="H17" s="76">
        <v>5180</v>
      </c>
      <c r="I17" t="s">
        <v>188</v>
      </c>
      <c r="J17" s="3">
        <f>IF(Table4[[#This Row],[Check Status with ga 55]]="OK",0,1)</f>
        <v>0</v>
      </c>
    </row>
    <row r="18" spans="1:10" s="3" customFormat="1" x14ac:dyDescent="0.25">
      <c r="A18">
        <v>13</v>
      </c>
      <c r="B18" t="s">
        <v>23</v>
      </c>
      <c r="C18" t="s">
        <v>35</v>
      </c>
      <c r="D18">
        <v>35248</v>
      </c>
      <c r="E18" t="s">
        <v>266</v>
      </c>
      <c r="F18" s="76">
        <v>2590</v>
      </c>
      <c r="G18" s="76">
        <v>2590</v>
      </c>
      <c r="H18" s="76">
        <v>5180</v>
      </c>
      <c r="I18" t="s">
        <v>188</v>
      </c>
      <c r="J18" s="3">
        <f>IF(Table4[[#This Row],[Check Status with ga 55]]="OK",0,1)</f>
        <v>0</v>
      </c>
    </row>
    <row r="19" spans="1:10" s="3" customFormat="1" x14ac:dyDescent="0.25">
      <c r="A19">
        <v>14</v>
      </c>
      <c r="B19" t="s">
        <v>23</v>
      </c>
      <c r="C19" s="53" t="s">
        <v>35</v>
      </c>
      <c r="D19" s="53">
        <v>37085</v>
      </c>
      <c r="E19" s="53"/>
      <c r="F19" s="78">
        <v>201</v>
      </c>
      <c r="G19" s="78">
        <v>201</v>
      </c>
      <c r="H19" s="78">
        <v>402</v>
      </c>
      <c r="I19" s="53" t="s">
        <v>189</v>
      </c>
      <c r="J19" s="3">
        <f>IF(Table4[[#This Row],[Check Status with ga 55]]="OK",0,1)</f>
        <v>1</v>
      </c>
    </row>
    <row r="20" spans="1:10" s="3" customFormat="1" x14ac:dyDescent="0.25">
      <c r="A20">
        <v>15</v>
      </c>
      <c r="B20" t="s">
        <v>23</v>
      </c>
      <c r="C20" t="s">
        <v>36</v>
      </c>
      <c r="D20">
        <v>40457</v>
      </c>
      <c r="E20" t="s">
        <v>266</v>
      </c>
      <c r="F20" s="76">
        <v>2670</v>
      </c>
      <c r="G20" s="76">
        <v>2670</v>
      </c>
      <c r="H20" s="76">
        <v>5340</v>
      </c>
      <c r="I20" t="s">
        <v>188</v>
      </c>
      <c r="J20" s="3">
        <f>IF(Table4[[#This Row],[Check Status with ga 55]]="OK",0,1)</f>
        <v>0</v>
      </c>
    </row>
    <row r="21" spans="1:10" s="3" customFormat="1" x14ac:dyDescent="0.25">
      <c r="A21">
        <v>16</v>
      </c>
      <c r="B21" t="s">
        <v>23</v>
      </c>
      <c r="C21" t="s">
        <v>36</v>
      </c>
      <c r="D21">
        <v>41655</v>
      </c>
      <c r="E21" t="s">
        <v>266</v>
      </c>
      <c r="F21" s="76">
        <v>324</v>
      </c>
      <c r="G21" s="76">
        <v>324</v>
      </c>
      <c r="H21" s="76">
        <v>648</v>
      </c>
      <c r="I21" t="s">
        <v>188</v>
      </c>
      <c r="J21" s="3">
        <f>IF(Table4[[#This Row],[Check Status with ga 55]]="OK",0,1)</f>
        <v>0</v>
      </c>
    </row>
    <row r="22" spans="1:10" s="3" customFormat="1" x14ac:dyDescent="0.25">
      <c r="A22">
        <v>17</v>
      </c>
      <c r="B22" t="s">
        <v>23</v>
      </c>
      <c r="C22" t="s">
        <v>37</v>
      </c>
      <c r="D22">
        <v>45844</v>
      </c>
      <c r="E22" t="s">
        <v>266</v>
      </c>
      <c r="F22" s="76">
        <v>2670</v>
      </c>
      <c r="G22" s="76">
        <v>2670</v>
      </c>
      <c r="H22" s="76">
        <v>5340</v>
      </c>
      <c r="I22" t="s">
        <v>188</v>
      </c>
      <c r="J22" s="3">
        <f>IF(Table4[[#This Row],[Check Status with ga 55]]="OK",0,1)</f>
        <v>0</v>
      </c>
    </row>
    <row r="23" spans="1:10" s="3" customFormat="1" x14ac:dyDescent="0.25">
      <c r="A23">
        <v>18</v>
      </c>
      <c r="B23" t="s">
        <v>23</v>
      </c>
      <c r="C23" t="s">
        <v>38</v>
      </c>
      <c r="D23">
        <v>50049</v>
      </c>
      <c r="E23" t="s">
        <v>266</v>
      </c>
      <c r="F23" s="76">
        <v>2670</v>
      </c>
      <c r="G23" s="76">
        <v>2670</v>
      </c>
      <c r="H23" s="76">
        <v>5340</v>
      </c>
      <c r="I23" t="s">
        <v>188</v>
      </c>
      <c r="J23" s="3">
        <f>IF(Table4[[#This Row],[Check Status with ga 55]]="OK",0,1)</f>
        <v>0</v>
      </c>
    </row>
    <row r="24" spans="1:10" s="3" customFormat="1" x14ac:dyDescent="0.25">
      <c r="A24">
        <v>19</v>
      </c>
      <c r="B24" t="s">
        <v>23</v>
      </c>
      <c r="C24" t="s">
        <v>39</v>
      </c>
      <c r="D24">
        <v>55694</v>
      </c>
      <c r="E24" t="s">
        <v>266</v>
      </c>
      <c r="F24" s="76">
        <v>2670</v>
      </c>
      <c r="G24" s="76">
        <v>2670</v>
      </c>
      <c r="H24" s="76">
        <v>5340</v>
      </c>
      <c r="I24" t="s">
        <v>188</v>
      </c>
      <c r="J24" s="3">
        <f>IF(Table4[[#This Row],[Check Status with ga 55]]="OK",0,1)</f>
        <v>0</v>
      </c>
    </row>
    <row r="25" spans="1:10" s="3" customFormat="1" x14ac:dyDescent="0.25">
      <c r="A25">
        <v>20</v>
      </c>
      <c r="B25" t="s">
        <v>24</v>
      </c>
      <c r="C25" t="s">
        <v>40</v>
      </c>
      <c r="D25">
        <v>727</v>
      </c>
      <c r="E25" t="s">
        <v>266</v>
      </c>
      <c r="F25" s="76">
        <v>2670</v>
      </c>
      <c r="G25" s="76">
        <v>2670</v>
      </c>
      <c r="H25" s="76">
        <v>5340</v>
      </c>
      <c r="I25" t="s">
        <v>188</v>
      </c>
      <c r="J25" s="3">
        <f>IF(Table4[[#This Row],[Check Status with ga 55]]="OK",0,1)</f>
        <v>0</v>
      </c>
    </row>
    <row r="26" spans="1:10" s="3" customFormat="1" x14ac:dyDescent="0.25">
      <c r="A26">
        <v>21</v>
      </c>
      <c r="B26" t="s">
        <v>24</v>
      </c>
      <c r="C26" t="s">
        <v>40</v>
      </c>
      <c r="D26">
        <v>3532</v>
      </c>
      <c r="E26" t="s">
        <v>266</v>
      </c>
      <c r="F26" s="76">
        <v>138</v>
      </c>
      <c r="G26" s="76">
        <v>138</v>
      </c>
      <c r="H26" s="76">
        <v>276</v>
      </c>
      <c r="I26" t="s">
        <v>188</v>
      </c>
      <c r="J26" s="3">
        <f>IF(Table4[[#This Row],[Check Status with ga 55]]="OK",0,1)</f>
        <v>0</v>
      </c>
    </row>
    <row r="27" spans="1:10" s="3" customFormat="1" x14ac:dyDescent="0.25">
      <c r="A27">
        <v>22</v>
      </c>
      <c r="B27" t="s">
        <v>24</v>
      </c>
      <c r="C27" t="s">
        <v>42</v>
      </c>
      <c r="D27">
        <v>5192</v>
      </c>
      <c r="E27" t="s">
        <v>266</v>
      </c>
      <c r="F27" s="76">
        <v>2716</v>
      </c>
      <c r="G27" s="76">
        <v>2716</v>
      </c>
      <c r="H27" s="76">
        <v>5432</v>
      </c>
      <c r="I27" t="s">
        <v>188</v>
      </c>
      <c r="J27" s="3">
        <f>IF(Table4[[#This Row],[Check Status with ga 55]]="OK",0,1)</f>
        <v>0</v>
      </c>
    </row>
    <row r="28" spans="1:10" s="3" customFormat="1" x14ac:dyDescent="0.25">
      <c r="A28">
        <v>23</v>
      </c>
      <c r="B28" t="s">
        <v>24</v>
      </c>
      <c r="C28" t="s">
        <v>43</v>
      </c>
      <c r="D28">
        <v>10350</v>
      </c>
      <c r="E28" t="s">
        <v>266</v>
      </c>
      <c r="F28" s="76">
        <v>2716</v>
      </c>
      <c r="G28" s="76">
        <v>2716</v>
      </c>
      <c r="H28" s="76">
        <v>5432</v>
      </c>
      <c r="I28" t="s">
        <v>188</v>
      </c>
      <c r="J28" s="3">
        <f>IF(Table4[[#This Row],[Check Status with ga 55]]="OK",0,1)</f>
        <v>0</v>
      </c>
    </row>
    <row r="29" spans="1:10" s="3" customFormat="1" x14ac:dyDescent="0.25">
      <c r="A29">
        <v>24</v>
      </c>
      <c r="B29" t="s">
        <v>24</v>
      </c>
      <c r="C29" t="s">
        <v>44</v>
      </c>
      <c r="D29">
        <v>15103</v>
      </c>
      <c r="E29" t="s">
        <v>266</v>
      </c>
      <c r="F29" s="76">
        <v>2716</v>
      </c>
      <c r="G29" s="76">
        <v>2716</v>
      </c>
      <c r="H29" s="76">
        <v>5432</v>
      </c>
      <c r="I29" t="s">
        <v>188</v>
      </c>
      <c r="J29" s="3">
        <f>IF(Table4[[#This Row],[Check Status with ga 55]]="OK",0,1)</f>
        <v>0</v>
      </c>
    </row>
    <row r="30" spans="1:10" s="3" customFormat="1" x14ac:dyDescent="0.25">
      <c r="A30">
        <v>25</v>
      </c>
      <c r="B30" t="s">
        <v>24</v>
      </c>
      <c r="C30" t="s">
        <v>45</v>
      </c>
      <c r="D30">
        <v>20970</v>
      </c>
      <c r="E30" t="s">
        <v>266</v>
      </c>
      <c r="F30" s="76">
        <v>2716</v>
      </c>
      <c r="G30" s="76">
        <v>2716</v>
      </c>
      <c r="H30" s="76">
        <v>5432</v>
      </c>
      <c r="I30" t="s">
        <v>188</v>
      </c>
      <c r="J30" s="3">
        <f>IF(Table4[[#This Row],[Check Status with ga 55]]="OK",0,1)</f>
        <v>0</v>
      </c>
    </row>
    <row r="31" spans="1:10" s="3" customFormat="1" x14ac:dyDescent="0.25">
      <c r="A31">
        <v>26</v>
      </c>
      <c r="B31" t="s">
        <v>24</v>
      </c>
      <c r="C31" t="s">
        <v>52</v>
      </c>
      <c r="D31">
        <v>24832</v>
      </c>
      <c r="E31" t="s">
        <v>266</v>
      </c>
      <c r="F31" s="76">
        <v>2716</v>
      </c>
      <c r="G31" s="76">
        <v>2716</v>
      </c>
      <c r="H31" s="76">
        <v>5432</v>
      </c>
      <c r="I31" t="s">
        <v>188</v>
      </c>
      <c r="J31" s="3">
        <f>IF(Table4[[#This Row],[Check Status with ga 55]]="OK",0,1)</f>
        <v>0</v>
      </c>
    </row>
    <row r="32" spans="1:10" s="3" customFormat="1" x14ac:dyDescent="0.25">
      <c r="A32">
        <v>27</v>
      </c>
      <c r="B32" t="s">
        <v>24</v>
      </c>
      <c r="C32" t="s">
        <v>177</v>
      </c>
      <c r="D32">
        <v>29089</v>
      </c>
      <c r="E32" t="s">
        <v>266</v>
      </c>
      <c r="F32" s="76">
        <v>2716</v>
      </c>
      <c r="G32" s="76">
        <v>2716</v>
      </c>
      <c r="H32" s="76">
        <v>5432</v>
      </c>
      <c r="I32" t="s">
        <v>188</v>
      </c>
      <c r="J32" s="3">
        <f>IF(Table4[[#This Row],[Check Status with ga 55]]="OK",0,1)</f>
        <v>0</v>
      </c>
    </row>
    <row r="33" spans="1:10" s="3" customFormat="1" x14ac:dyDescent="0.25">
      <c r="A33">
        <v>28</v>
      </c>
      <c r="B33" t="s">
        <v>24</v>
      </c>
      <c r="C33" t="s">
        <v>177</v>
      </c>
      <c r="D33">
        <v>32614</v>
      </c>
      <c r="E33" t="s">
        <v>266</v>
      </c>
      <c r="F33" s="76">
        <v>105</v>
      </c>
      <c r="G33" s="76">
        <v>105</v>
      </c>
      <c r="H33" s="76">
        <v>210</v>
      </c>
      <c r="I33" t="s">
        <v>188</v>
      </c>
      <c r="J33" s="3">
        <f>IF(Table4[[#This Row],[Check Status with ga 55]]="OK",0,1)</f>
        <v>0</v>
      </c>
    </row>
    <row r="34" spans="1:10" s="3" customFormat="1" x14ac:dyDescent="0.25">
      <c r="A34">
        <v>29</v>
      </c>
      <c r="B34" t="s">
        <v>24</v>
      </c>
      <c r="C34" t="s">
        <v>176</v>
      </c>
      <c r="D34">
        <v>37958</v>
      </c>
      <c r="E34" t="s">
        <v>266</v>
      </c>
      <c r="F34" s="76">
        <v>2751</v>
      </c>
      <c r="G34" s="76">
        <v>2751</v>
      </c>
      <c r="H34" s="76">
        <v>5502</v>
      </c>
      <c r="I34" t="s">
        <v>188</v>
      </c>
      <c r="J34" s="3">
        <f>IF(Table4[[#This Row],[Check Status with ga 55]]="OK",0,1)</f>
        <v>0</v>
      </c>
    </row>
    <row r="35" spans="1:10" s="3" customFormat="1" x14ac:dyDescent="0.25">
      <c r="A35">
        <v>30</v>
      </c>
      <c r="B35" t="s">
        <v>24</v>
      </c>
      <c r="C35" t="s">
        <v>175</v>
      </c>
      <c r="D35">
        <v>41798</v>
      </c>
      <c r="E35" t="s">
        <v>266</v>
      </c>
      <c r="F35" s="76">
        <v>2751</v>
      </c>
      <c r="G35" s="76">
        <v>2751</v>
      </c>
      <c r="H35" s="76">
        <v>5502</v>
      </c>
      <c r="I35" t="s">
        <v>188</v>
      </c>
      <c r="J35" s="3">
        <f>IF(Table4[[#This Row],[Check Status with ga 55]]="OK",0,1)</f>
        <v>0</v>
      </c>
    </row>
    <row r="36" spans="1:10" s="3" customFormat="1" x14ac:dyDescent="0.25">
      <c r="A36">
        <v>31</v>
      </c>
      <c r="B36" t="s">
        <v>24</v>
      </c>
      <c r="C36" t="s">
        <v>174</v>
      </c>
      <c r="D36">
        <v>47622</v>
      </c>
      <c r="E36" t="s">
        <v>266</v>
      </c>
      <c r="F36" s="76">
        <v>2751</v>
      </c>
      <c r="G36" s="76">
        <v>2751</v>
      </c>
      <c r="H36" s="76">
        <v>5502</v>
      </c>
      <c r="I36" t="s">
        <v>188</v>
      </c>
      <c r="J36" s="3">
        <f>IF(Table4[[#This Row],[Check Status with ga 55]]="OK",0,1)</f>
        <v>0</v>
      </c>
    </row>
    <row r="37" spans="1:10" s="3" customFormat="1" x14ac:dyDescent="0.25">
      <c r="A37">
        <v>32</v>
      </c>
      <c r="B37" t="s">
        <v>24</v>
      </c>
      <c r="C37" t="s">
        <v>187</v>
      </c>
      <c r="D37">
        <v>52864</v>
      </c>
      <c r="E37" t="s">
        <v>266</v>
      </c>
      <c r="F37" s="76">
        <v>3014</v>
      </c>
      <c r="G37" s="76">
        <v>3014</v>
      </c>
      <c r="H37" s="76">
        <v>6028</v>
      </c>
      <c r="I37" t="s">
        <v>188</v>
      </c>
      <c r="J37" s="3">
        <f>IF(Table4[[#This Row],[Check Status with ga 55]]="OK",0,1)</f>
        <v>0</v>
      </c>
    </row>
    <row r="38" spans="1:10" s="3" customFormat="1" x14ac:dyDescent="0.25">
      <c r="A38">
        <v>33</v>
      </c>
      <c r="B38" t="s">
        <v>24</v>
      </c>
      <c r="C38" s="53" t="s">
        <v>41</v>
      </c>
      <c r="D38" s="53">
        <v>54288</v>
      </c>
      <c r="E38" s="53"/>
      <c r="F38" s="78">
        <v>789</v>
      </c>
      <c r="G38" s="78">
        <v>789</v>
      </c>
      <c r="H38" s="78">
        <v>1578</v>
      </c>
      <c r="I38" s="53" t="s">
        <v>189</v>
      </c>
      <c r="J38" s="3">
        <f>IF(Table4[[#This Row],[Check Status with ga 55]]="OK",0,1)</f>
        <v>1</v>
      </c>
    </row>
    <row r="39" spans="1:10" s="3" customFormat="1" x14ac:dyDescent="0.25">
      <c r="A39">
        <v>34</v>
      </c>
      <c r="B39" t="s">
        <v>24</v>
      </c>
      <c r="C39" t="s">
        <v>195</v>
      </c>
      <c r="D39">
        <v>59059</v>
      </c>
      <c r="E39" t="s">
        <v>266</v>
      </c>
      <c r="F39" s="76">
        <v>3014</v>
      </c>
      <c r="G39" s="76">
        <v>3014</v>
      </c>
      <c r="H39" s="76">
        <v>6028</v>
      </c>
      <c r="I39" t="s">
        <v>188</v>
      </c>
      <c r="J39" s="3">
        <f>IF(Table4[[#This Row],[Check Status with ga 55]]="OK",0,1)</f>
        <v>0</v>
      </c>
    </row>
    <row r="40" spans="1:10" s="3" customFormat="1" x14ac:dyDescent="0.25">
      <c r="A40">
        <v>35</v>
      </c>
      <c r="B40" t="s">
        <v>192</v>
      </c>
      <c r="C40" t="s">
        <v>194</v>
      </c>
      <c r="D40">
        <v>2261</v>
      </c>
      <c r="E40" t="s">
        <v>266</v>
      </c>
      <c r="F40" s="76">
        <v>3071</v>
      </c>
      <c r="G40" s="76">
        <v>3071</v>
      </c>
      <c r="H40" s="76">
        <v>6142</v>
      </c>
      <c r="I40" t="s">
        <v>188</v>
      </c>
      <c r="J40" s="3">
        <f>IF(Table4[[#This Row],[Check Status with ga 55]]="OK",0,1)</f>
        <v>0</v>
      </c>
    </row>
    <row r="41" spans="1:10" s="3" customFormat="1" x14ac:dyDescent="0.25">
      <c r="A41">
        <v>36</v>
      </c>
      <c r="B41" t="s">
        <v>192</v>
      </c>
      <c r="C41" t="s">
        <v>194</v>
      </c>
      <c r="D41">
        <v>4380</v>
      </c>
      <c r="E41" t="s">
        <v>266</v>
      </c>
      <c r="F41" s="76">
        <v>114</v>
      </c>
      <c r="G41" s="76">
        <v>114</v>
      </c>
      <c r="H41" s="76">
        <v>228</v>
      </c>
      <c r="I41" t="s">
        <v>188</v>
      </c>
      <c r="J41" s="3">
        <f>IF(Table4[[#This Row],[Check Status with ga 55]]="OK",0,1)</f>
        <v>0</v>
      </c>
    </row>
    <row r="42" spans="1:10" s="3" customFormat="1" x14ac:dyDescent="0.25">
      <c r="A42">
        <v>37</v>
      </c>
      <c r="B42" t="s">
        <v>192</v>
      </c>
      <c r="C42" t="s">
        <v>213</v>
      </c>
      <c r="D42">
        <v>10650</v>
      </c>
      <c r="E42" t="s">
        <v>266</v>
      </c>
      <c r="F42" s="76">
        <v>573</v>
      </c>
      <c r="G42" s="76">
        <v>573</v>
      </c>
      <c r="H42" s="76">
        <v>1146</v>
      </c>
      <c r="I42" t="s">
        <v>188</v>
      </c>
      <c r="J42" s="3">
        <f>IF(Table4[[#This Row],[Check Status with ga 55]]="OK",0,1)</f>
        <v>0</v>
      </c>
    </row>
    <row r="43" spans="1:10" s="3" customFormat="1" x14ac:dyDescent="0.25">
      <c r="A43">
        <v>38</v>
      </c>
      <c r="B43" t="s">
        <v>192</v>
      </c>
      <c r="C43" t="s">
        <v>213</v>
      </c>
      <c r="D43">
        <v>12293</v>
      </c>
      <c r="E43" t="s">
        <v>266</v>
      </c>
      <c r="F43" s="76">
        <v>3071</v>
      </c>
      <c r="G43" s="76">
        <v>3071</v>
      </c>
      <c r="H43" s="76">
        <v>6142</v>
      </c>
      <c r="I43" t="s">
        <v>188</v>
      </c>
      <c r="J43" s="3">
        <f>IF(Table4[[#This Row],[Check Status with ga 55]]="OK",0,1)</f>
        <v>0</v>
      </c>
    </row>
    <row r="44" spans="1:10" s="3" customFormat="1" x14ac:dyDescent="0.25">
      <c r="A44">
        <v>39</v>
      </c>
      <c r="B44" t="s">
        <v>192</v>
      </c>
      <c r="C44" t="s">
        <v>212</v>
      </c>
      <c r="D44">
        <v>14665</v>
      </c>
      <c r="E44" t="s">
        <v>266</v>
      </c>
      <c r="F44" s="76">
        <v>3071</v>
      </c>
      <c r="G44" s="76">
        <v>3071</v>
      </c>
      <c r="H44" s="76">
        <v>6142</v>
      </c>
      <c r="I44" t="s">
        <v>188</v>
      </c>
      <c r="J44" s="3">
        <f>IF(Table4[[#This Row],[Check Status with ga 55]]="OK",0,1)</f>
        <v>0</v>
      </c>
    </row>
    <row r="45" spans="1:10" s="3" customFormat="1" x14ac:dyDescent="0.25">
      <c r="A45">
        <v>40</v>
      </c>
      <c r="B45" t="s">
        <v>192</v>
      </c>
      <c r="C45" t="s">
        <v>211</v>
      </c>
      <c r="D45">
        <v>20799</v>
      </c>
      <c r="E45" t="s">
        <v>266</v>
      </c>
      <c r="F45" s="76">
        <v>3071</v>
      </c>
      <c r="G45" s="76">
        <v>3071</v>
      </c>
      <c r="H45" s="76">
        <v>6142</v>
      </c>
      <c r="I45" t="s">
        <v>188</v>
      </c>
      <c r="J45" s="3">
        <f>IF(Table4[[#This Row],[Check Status with ga 55]]="OK",0,1)</f>
        <v>0</v>
      </c>
    </row>
    <row r="46" spans="1:10" s="3" customFormat="1" x14ac:dyDescent="0.25">
      <c r="A46">
        <v>41</v>
      </c>
      <c r="B46" t="s">
        <v>192</v>
      </c>
      <c r="C46" t="s">
        <v>211</v>
      </c>
      <c r="D46">
        <v>27703</v>
      </c>
      <c r="E46" t="s">
        <v>266</v>
      </c>
      <c r="F46" s="76">
        <v>573</v>
      </c>
      <c r="G46" s="76">
        <v>573</v>
      </c>
      <c r="H46" s="76">
        <v>1146</v>
      </c>
      <c r="I46" t="s">
        <v>188</v>
      </c>
      <c r="J46" s="3">
        <f>IF(Table4[[#This Row],[Check Status with ga 55]]="OK",0,1)</f>
        <v>0</v>
      </c>
    </row>
    <row r="47" spans="1:10" s="3" customFormat="1" x14ac:dyDescent="0.25">
      <c r="A47">
        <v>42</v>
      </c>
      <c r="B47" t="s">
        <v>192</v>
      </c>
      <c r="C47" t="s">
        <v>210</v>
      </c>
      <c r="D47">
        <v>28948</v>
      </c>
      <c r="E47" t="s">
        <v>266</v>
      </c>
      <c r="F47" s="76">
        <v>3167</v>
      </c>
      <c r="G47" s="76">
        <v>3167</v>
      </c>
      <c r="H47" s="76">
        <v>6334</v>
      </c>
      <c r="I47" t="s">
        <v>188</v>
      </c>
      <c r="J47" s="3">
        <f>IF(Table4[[#This Row],[Check Status with ga 55]]="OK",0,1)</f>
        <v>0</v>
      </c>
    </row>
    <row r="48" spans="1:10" s="3" customFormat="1" x14ac:dyDescent="0.25">
      <c r="A48">
        <v>43</v>
      </c>
      <c r="B48" t="s">
        <v>192</v>
      </c>
      <c r="C48" t="s">
        <v>209</v>
      </c>
      <c r="D48">
        <v>38148</v>
      </c>
      <c r="E48" t="s">
        <v>266</v>
      </c>
      <c r="F48" s="76">
        <v>3167</v>
      </c>
      <c r="G48" s="76">
        <v>3167</v>
      </c>
      <c r="H48" s="76">
        <v>6334</v>
      </c>
      <c r="I48" t="s">
        <v>188</v>
      </c>
      <c r="J48" s="3">
        <f>IF(Table4[[#This Row],[Check Status with ga 55]]="OK",0,1)</f>
        <v>0</v>
      </c>
    </row>
    <row r="49" spans="1:10" s="3" customFormat="1" x14ac:dyDescent="0.25">
      <c r="A49">
        <v>44</v>
      </c>
      <c r="B49" t="s">
        <v>192</v>
      </c>
      <c r="C49" t="s">
        <v>240</v>
      </c>
      <c r="D49">
        <v>45759</v>
      </c>
      <c r="E49" t="s">
        <v>266</v>
      </c>
      <c r="F49" s="76">
        <v>3167</v>
      </c>
      <c r="G49" s="76">
        <v>3167</v>
      </c>
      <c r="H49" s="76">
        <v>6334</v>
      </c>
      <c r="I49" t="s">
        <v>188</v>
      </c>
      <c r="J49" s="3">
        <f>IF(Table4[[#This Row],[Check Status with ga 55]]="OK",0,1)</f>
        <v>0</v>
      </c>
    </row>
    <row r="50" spans="1:10" s="3" customFormat="1" x14ac:dyDescent="0.25">
      <c r="A50">
        <v>45</v>
      </c>
      <c r="B50" t="s">
        <v>192</v>
      </c>
      <c r="C50" t="s">
        <v>240</v>
      </c>
      <c r="D50">
        <v>51682</v>
      </c>
      <c r="E50" t="s">
        <v>266</v>
      </c>
      <c r="F50" s="76">
        <v>177</v>
      </c>
      <c r="G50" s="76">
        <v>177</v>
      </c>
      <c r="H50" s="76">
        <v>354</v>
      </c>
      <c r="I50" t="s">
        <v>188</v>
      </c>
      <c r="J50" s="3">
        <f>IF(Table4[[#This Row],[Check Status with ga 55]]="OK",0,1)</f>
        <v>0</v>
      </c>
    </row>
    <row r="51" spans="1:10" s="3" customFormat="1" x14ac:dyDescent="0.25">
      <c r="A51">
        <v>46</v>
      </c>
      <c r="B51" t="s">
        <v>192</v>
      </c>
      <c r="C51" s="53" t="s">
        <v>225</v>
      </c>
      <c r="D51" s="53">
        <v>61581</v>
      </c>
      <c r="E51" s="53"/>
      <c r="F51" s="78">
        <v>759</v>
      </c>
      <c r="G51" s="78">
        <v>759</v>
      </c>
      <c r="H51" s="78">
        <v>1518</v>
      </c>
      <c r="I51" s="53" t="s">
        <v>189</v>
      </c>
      <c r="J51" s="3">
        <f>IF(Table4[[#This Row],[Check Status with ga 55]]="OK",0,1)</f>
        <v>1</v>
      </c>
    </row>
    <row r="52" spans="1:10" s="3" customFormat="1" x14ac:dyDescent="0.25">
      <c r="A52">
        <v>47</v>
      </c>
      <c r="B52" t="s">
        <v>192</v>
      </c>
      <c r="C52" t="s">
        <v>241</v>
      </c>
      <c r="D52">
        <v>64791</v>
      </c>
      <c r="E52" t="s">
        <v>266</v>
      </c>
      <c r="F52" s="76">
        <v>3226</v>
      </c>
      <c r="G52" s="76">
        <v>3226</v>
      </c>
      <c r="H52" s="76">
        <v>6452</v>
      </c>
      <c r="I52" t="s">
        <v>188</v>
      </c>
      <c r="J52" s="3">
        <f>IF(Table4[[#This Row],[Check Status with ga 55]]="OK",0,1)</f>
        <v>0</v>
      </c>
    </row>
    <row r="53" spans="1:10" s="3" customFormat="1" x14ac:dyDescent="0.25">
      <c r="A53">
        <v>48</v>
      </c>
      <c r="B53" t="s">
        <v>192</v>
      </c>
      <c r="C53" t="s">
        <v>267</v>
      </c>
      <c r="D53">
        <v>78389</v>
      </c>
      <c r="E53" t="s">
        <v>266</v>
      </c>
      <c r="F53" s="76">
        <v>3226</v>
      </c>
      <c r="G53" s="76">
        <v>3226</v>
      </c>
      <c r="H53" s="76">
        <v>6452</v>
      </c>
      <c r="I53" t="s">
        <v>188</v>
      </c>
      <c r="J53" s="3">
        <f>IF(Table4[[#This Row],[Check Status with ga 55]]="OK",0,1)</f>
        <v>0</v>
      </c>
    </row>
    <row r="54" spans="1:10" s="3" customFormat="1" x14ac:dyDescent="0.25">
      <c r="A54">
        <v>49</v>
      </c>
      <c r="B54" t="s">
        <v>192</v>
      </c>
      <c r="C54" t="s">
        <v>268</v>
      </c>
      <c r="D54">
        <v>84675</v>
      </c>
      <c r="E54" t="s">
        <v>266</v>
      </c>
      <c r="F54" s="76">
        <v>3226</v>
      </c>
      <c r="G54" s="76">
        <v>3226</v>
      </c>
      <c r="H54" s="76">
        <v>6452</v>
      </c>
      <c r="I54" t="s">
        <v>188</v>
      </c>
      <c r="J54" s="3">
        <f>IF(Table4[[#This Row],[Check Status with ga 55]]="OK",0,1)</f>
        <v>0</v>
      </c>
    </row>
    <row r="55" spans="1:10" s="3" customFormat="1" x14ac:dyDescent="0.25">
      <c r="A55">
        <v>50</v>
      </c>
      <c r="B55" t="s">
        <v>192</v>
      </c>
      <c r="C55" t="s">
        <v>268</v>
      </c>
      <c r="D55">
        <v>84676</v>
      </c>
      <c r="E55" t="s">
        <v>266</v>
      </c>
      <c r="F55" s="76">
        <v>3226</v>
      </c>
      <c r="G55" s="76">
        <v>3226</v>
      </c>
      <c r="H55" s="76">
        <v>6452</v>
      </c>
      <c r="I55" t="s">
        <v>188</v>
      </c>
      <c r="J55" s="3">
        <f>IF(Table4[[#This Row],[Check Status with ga 55]]="OK",0,1)</f>
        <v>0</v>
      </c>
    </row>
    <row r="56" spans="1:10" x14ac:dyDescent="0.25">
      <c r="A56">
        <v>51</v>
      </c>
      <c r="B56" t="s">
        <v>192</v>
      </c>
      <c r="C56" t="s">
        <v>269</v>
      </c>
      <c r="D56">
        <v>89654</v>
      </c>
      <c r="E56" t="s">
        <v>266</v>
      </c>
      <c r="F56" s="76">
        <v>3226</v>
      </c>
      <c r="G56" s="76">
        <v>3226</v>
      </c>
      <c r="H56" s="76">
        <v>6452</v>
      </c>
      <c r="I56" t="s">
        <v>188</v>
      </c>
      <c r="J56">
        <f>IF(Table4[[#This Row],[Check Status with ga 55]]="OK",0,1)</f>
        <v>0</v>
      </c>
    </row>
    <row r="57" spans="1:10" s="52" customFormat="1" x14ac:dyDescent="0.25">
      <c r="A57">
        <v>52</v>
      </c>
      <c r="B57" t="s">
        <v>246</v>
      </c>
      <c r="C57" t="s">
        <v>270</v>
      </c>
      <c r="D57">
        <v>2067</v>
      </c>
      <c r="E57" t="s">
        <v>266</v>
      </c>
      <c r="F57" s="76">
        <v>3315</v>
      </c>
      <c r="G57" s="76">
        <v>3315</v>
      </c>
      <c r="H57" s="76">
        <v>6630</v>
      </c>
      <c r="I57" t="s">
        <v>188</v>
      </c>
      <c r="J57" s="52">
        <f>IF(Table4[[#This Row],[Check Status with ga 55]]="OK",0,1)</f>
        <v>0</v>
      </c>
    </row>
    <row r="58" spans="1:10" x14ac:dyDescent="0.25">
      <c r="A58">
        <v>53</v>
      </c>
      <c r="B58" t="s">
        <v>246</v>
      </c>
      <c r="C58" t="s">
        <v>271</v>
      </c>
      <c r="D58">
        <v>7783</v>
      </c>
      <c r="E58" t="s">
        <v>266</v>
      </c>
      <c r="F58" s="76">
        <v>3315</v>
      </c>
      <c r="G58" s="76">
        <v>3315</v>
      </c>
      <c r="H58" s="76">
        <v>6630</v>
      </c>
      <c r="I58" t="s">
        <v>188</v>
      </c>
      <c r="J58">
        <f>IF(Table4[[#This Row],[Check Status with ga 55]]="OK",0,1)</f>
        <v>0</v>
      </c>
    </row>
    <row r="59" spans="1:10" x14ac:dyDescent="0.25">
      <c r="A59">
        <v>54</v>
      </c>
      <c r="B59" t="s">
        <v>246</v>
      </c>
      <c r="C59" s="53" t="s">
        <v>273</v>
      </c>
      <c r="D59" s="53">
        <v>8498</v>
      </c>
      <c r="E59" s="53"/>
      <c r="F59" s="78">
        <v>178</v>
      </c>
      <c r="G59" s="78">
        <v>178</v>
      </c>
      <c r="H59" s="78">
        <v>356</v>
      </c>
      <c r="I59" s="53" t="s">
        <v>189</v>
      </c>
      <c r="J59">
        <f>IF(Table4[[#This Row],[Check Status with ga 55]]="OK",0,1)</f>
        <v>1</v>
      </c>
    </row>
    <row r="60" spans="1:10" x14ac:dyDescent="0.25">
      <c r="A60">
        <v>55</v>
      </c>
      <c r="B60" t="s">
        <v>246</v>
      </c>
      <c r="C60" t="s">
        <v>272</v>
      </c>
      <c r="D60">
        <v>13083</v>
      </c>
      <c r="E60" t="s">
        <v>266</v>
      </c>
      <c r="F60" s="76">
        <v>3315</v>
      </c>
      <c r="G60" s="76">
        <v>3315</v>
      </c>
      <c r="H60" s="76">
        <v>6630</v>
      </c>
      <c r="I60" t="s">
        <v>188</v>
      </c>
      <c r="J60">
        <f>IF(Table4[[#This Row],[Check Status with ga 55]]="OK",0,1)</f>
        <v>0</v>
      </c>
    </row>
    <row r="61" spans="1:10" x14ac:dyDescent="0.25">
      <c r="A61">
        <v>56</v>
      </c>
      <c r="B61" t="s">
        <v>246</v>
      </c>
      <c r="C61" t="s">
        <v>292</v>
      </c>
      <c r="D61">
        <v>17962</v>
      </c>
      <c r="E61" t="s">
        <v>266</v>
      </c>
      <c r="F61" s="76">
        <v>3315</v>
      </c>
      <c r="G61" s="76">
        <v>3315</v>
      </c>
      <c r="H61" s="76">
        <v>6630</v>
      </c>
      <c r="I61" t="s">
        <v>188</v>
      </c>
      <c r="J61">
        <f>IF(Table4[[#This Row],[Check Status with ga 55]]="OK",0,1)</f>
        <v>0</v>
      </c>
    </row>
    <row r="62" spans="1:10" x14ac:dyDescent="0.25">
      <c r="A62">
        <v>57</v>
      </c>
      <c r="B62" t="s">
        <v>246</v>
      </c>
      <c r="C62" t="s">
        <v>293</v>
      </c>
      <c r="D62">
        <v>22832</v>
      </c>
      <c r="E62" t="s">
        <v>266</v>
      </c>
      <c r="F62" s="76">
        <v>3416</v>
      </c>
      <c r="G62" s="76">
        <v>3416</v>
      </c>
      <c r="H62" s="76">
        <v>6832</v>
      </c>
      <c r="I62" t="s">
        <v>188</v>
      </c>
      <c r="J62">
        <f>IF(Table4[[#This Row],[Check Status with ga 55]]="OK",0,1)</f>
        <v>0</v>
      </c>
    </row>
    <row r="63" spans="1:10" x14ac:dyDescent="0.25">
      <c r="A63">
        <v>58</v>
      </c>
      <c r="B63" t="s">
        <v>246</v>
      </c>
      <c r="C63" t="s">
        <v>294</v>
      </c>
      <c r="D63">
        <v>28118</v>
      </c>
      <c r="E63" t="s">
        <v>266</v>
      </c>
      <c r="F63" s="76">
        <v>3416</v>
      </c>
      <c r="G63" s="76">
        <v>3416</v>
      </c>
      <c r="H63" s="76">
        <v>6832</v>
      </c>
      <c r="I63" t="s">
        <v>188</v>
      </c>
      <c r="J63">
        <f>IF(Table4[[#This Row],[Check Status with ga 55]]="OK",0,1)</f>
        <v>0</v>
      </c>
    </row>
    <row r="64" spans="1:10" x14ac:dyDescent="0.25">
      <c r="A64">
        <v>59</v>
      </c>
      <c r="B64" t="s">
        <v>246</v>
      </c>
      <c r="C64" t="s">
        <v>295</v>
      </c>
      <c r="D64">
        <v>35390</v>
      </c>
      <c r="E64" t="s">
        <v>266</v>
      </c>
      <c r="F64" s="76">
        <v>3416</v>
      </c>
      <c r="G64" s="76">
        <v>3416</v>
      </c>
      <c r="H64" s="76">
        <v>6832</v>
      </c>
      <c r="I64" t="s">
        <v>188</v>
      </c>
      <c r="J64">
        <f>IF(Table4[[#This Row],[Check Status with ga 55]]="OK",0,1)</f>
        <v>0</v>
      </c>
    </row>
    <row r="65" spans="1:10" x14ac:dyDescent="0.25">
      <c r="A65">
        <v>60</v>
      </c>
      <c r="B65" t="s">
        <v>246</v>
      </c>
      <c r="C65" t="s">
        <v>346</v>
      </c>
      <c r="D65">
        <v>41375</v>
      </c>
      <c r="E65" t="s">
        <v>266</v>
      </c>
      <c r="F65" s="76">
        <v>3416</v>
      </c>
      <c r="G65" s="76">
        <v>3416</v>
      </c>
      <c r="H65" s="76">
        <v>6832</v>
      </c>
      <c r="I65" t="s">
        <v>188</v>
      </c>
      <c r="J65">
        <f>IF(Table4[[#This Row],[Check Status with ga 55]]="OK",0,1)</f>
        <v>0</v>
      </c>
    </row>
    <row r="66" spans="1:10" x14ac:dyDescent="0.25">
      <c r="A66">
        <v>61</v>
      </c>
      <c r="B66" t="s">
        <v>246</v>
      </c>
      <c r="C66" t="s">
        <v>345</v>
      </c>
      <c r="D66">
        <v>48035</v>
      </c>
      <c r="E66" t="s">
        <v>266</v>
      </c>
      <c r="F66" s="76">
        <v>3416</v>
      </c>
      <c r="G66" s="76">
        <v>3416</v>
      </c>
      <c r="H66" s="76">
        <v>6832</v>
      </c>
      <c r="I66" t="s">
        <v>188</v>
      </c>
      <c r="J66">
        <f>IF(Table4[[#This Row],[Check Status with ga 55]]="OK",0,1)</f>
        <v>0</v>
      </c>
    </row>
    <row r="67" spans="1:10" x14ac:dyDescent="0.25">
      <c r="A67">
        <v>62</v>
      </c>
      <c r="B67" t="s">
        <v>246</v>
      </c>
      <c r="C67" t="s">
        <v>344</v>
      </c>
      <c r="D67">
        <v>53590</v>
      </c>
      <c r="E67" t="s">
        <v>266</v>
      </c>
      <c r="F67" s="76">
        <v>3416</v>
      </c>
      <c r="G67" s="76">
        <v>3416</v>
      </c>
      <c r="H67" s="76">
        <v>6832</v>
      </c>
      <c r="I67" t="s">
        <v>188</v>
      </c>
      <c r="J67">
        <f>IF(Table4[[#This Row],[Check Status with ga 55]]="OK",0,1)</f>
        <v>0</v>
      </c>
    </row>
    <row r="68" spans="1:10" x14ac:dyDescent="0.25">
      <c r="A68">
        <v>63</v>
      </c>
      <c r="B68" t="s">
        <v>246</v>
      </c>
      <c r="C68" t="s">
        <v>343</v>
      </c>
      <c r="D68">
        <v>58674</v>
      </c>
      <c r="E68" t="s">
        <v>266</v>
      </c>
      <c r="F68" s="76">
        <v>3416</v>
      </c>
      <c r="G68" s="76">
        <v>3416</v>
      </c>
      <c r="H68" s="76">
        <v>6832</v>
      </c>
      <c r="I68" t="s">
        <v>188</v>
      </c>
      <c r="J68">
        <f>IF(Table4[[#This Row],[Check Status with ga 55]]="OK",0,1)</f>
        <v>0</v>
      </c>
    </row>
    <row r="69" spans="1:10" x14ac:dyDescent="0.25">
      <c r="A69">
        <v>64</v>
      </c>
      <c r="B69" t="s">
        <v>246</v>
      </c>
      <c r="C69" t="s">
        <v>347</v>
      </c>
      <c r="D69">
        <v>65112</v>
      </c>
      <c r="E69" t="s">
        <v>266</v>
      </c>
      <c r="F69" s="76">
        <v>3416</v>
      </c>
      <c r="G69" s="76">
        <v>3416</v>
      </c>
      <c r="H69" s="76">
        <v>6832</v>
      </c>
      <c r="I69" t="s">
        <v>188</v>
      </c>
      <c r="J69">
        <f>IF(Table4[[#This Row],[Check Status with ga 55]]="OK",0,1)</f>
        <v>0</v>
      </c>
    </row>
    <row r="70" spans="1:10" x14ac:dyDescent="0.25">
      <c r="A70">
        <v>65</v>
      </c>
      <c r="B70" t="s">
        <v>342</v>
      </c>
      <c r="C70" t="s">
        <v>348</v>
      </c>
      <c r="D70">
        <v>291</v>
      </c>
      <c r="E70" t="s">
        <v>266</v>
      </c>
      <c r="F70" s="76">
        <v>2532</v>
      </c>
      <c r="G70" s="76">
        <v>2532</v>
      </c>
      <c r="H70" s="76">
        <v>5064</v>
      </c>
      <c r="I70" t="s">
        <v>188</v>
      </c>
      <c r="J70">
        <f>IF(Table4[[#This Row],[Check Status with ga 55]]="OK",0,1)</f>
        <v>0</v>
      </c>
    </row>
    <row r="71" spans="1:10" x14ac:dyDescent="0.25">
      <c r="A71">
        <v>66</v>
      </c>
      <c r="B71" t="s">
        <v>342</v>
      </c>
      <c r="C71" t="s">
        <v>369</v>
      </c>
      <c r="D71">
        <v>4971</v>
      </c>
      <c r="E71" t="s">
        <v>266</v>
      </c>
      <c r="F71" s="76">
        <v>3569</v>
      </c>
      <c r="G71" s="76">
        <v>3569</v>
      </c>
      <c r="H71" s="76">
        <v>7138</v>
      </c>
      <c r="I71" t="s">
        <v>188</v>
      </c>
      <c r="J71">
        <f>IF(Table4[[#This Row],[Check Status with ga 55]]="OK",0,1)</f>
        <v>0</v>
      </c>
    </row>
    <row r="72" spans="1:10" x14ac:dyDescent="0.25">
      <c r="A72">
        <v>67</v>
      </c>
      <c r="B72" t="s">
        <v>342</v>
      </c>
      <c r="C72" t="s">
        <v>369</v>
      </c>
      <c r="D72">
        <v>4819</v>
      </c>
      <c r="E72" t="s">
        <v>266</v>
      </c>
      <c r="F72" s="76">
        <v>918</v>
      </c>
      <c r="G72" s="76">
        <v>918</v>
      </c>
      <c r="H72" s="76">
        <v>1836</v>
      </c>
      <c r="I72" t="s">
        <v>188</v>
      </c>
      <c r="J72">
        <f>IF(Table4[[#This Row],[Check Status with ga 55]]="OK",0,1)</f>
        <v>0</v>
      </c>
    </row>
    <row r="73" spans="1:10" x14ac:dyDescent="0.25">
      <c r="A73">
        <v>68</v>
      </c>
      <c r="B73" t="s">
        <v>342</v>
      </c>
      <c r="C73" t="s">
        <v>369</v>
      </c>
      <c r="D73">
        <v>4811</v>
      </c>
      <c r="E73" t="s">
        <v>266</v>
      </c>
      <c r="F73" s="76">
        <v>306</v>
      </c>
      <c r="G73" s="76">
        <v>306</v>
      </c>
      <c r="H73" s="76">
        <v>612</v>
      </c>
      <c r="I73" t="s">
        <v>188</v>
      </c>
      <c r="J73">
        <f>IF(Table4[[#This Row],[Check Status with ga 55]]="OK",0,1)</f>
        <v>0</v>
      </c>
    </row>
    <row r="74" spans="1:10" x14ac:dyDescent="0.25">
      <c r="A74">
        <v>69</v>
      </c>
      <c r="B74" t="s">
        <v>342</v>
      </c>
      <c r="C74" t="s">
        <v>370</v>
      </c>
      <c r="D74">
        <v>10260</v>
      </c>
      <c r="E74" t="s">
        <v>266</v>
      </c>
      <c r="F74" s="76">
        <v>3569</v>
      </c>
      <c r="G74" s="76">
        <v>3569</v>
      </c>
      <c r="H74" s="76">
        <v>7138</v>
      </c>
      <c r="I74" t="s">
        <v>188</v>
      </c>
      <c r="J74">
        <f>IF(Table4[[#This Row],[Check Status with ga 55]]="OK",0,1)</f>
        <v>0</v>
      </c>
    </row>
    <row r="75" spans="1:10" x14ac:dyDescent="0.25">
      <c r="A75">
        <v>70</v>
      </c>
      <c r="B75" t="s">
        <v>342</v>
      </c>
      <c r="C75" t="s">
        <v>371</v>
      </c>
      <c r="D75">
        <v>17622</v>
      </c>
      <c r="E75" t="s">
        <v>266</v>
      </c>
      <c r="F75" s="76">
        <v>3569</v>
      </c>
      <c r="G75" s="76">
        <v>3569</v>
      </c>
      <c r="H75" s="76">
        <v>7138</v>
      </c>
      <c r="I75" t="s">
        <v>188</v>
      </c>
      <c r="J75">
        <f>IF(Table4[[#This Row],[Check Status with ga 55]]="OK",0,1)</f>
        <v>0</v>
      </c>
    </row>
    <row r="76" spans="1:10" x14ac:dyDescent="0.25">
      <c r="A76">
        <v>71</v>
      </c>
      <c r="B76" t="s">
        <v>342</v>
      </c>
      <c r="C76" t="s">
        <v>372</v>
      </c>
      <c r="D76">
        <v>23350</v>
      </c>
      <c r="E76" t="s">
        <v>266</v>
      </c>
      <c r="F76" s="76">
        <v>3674</v>
      </c>
      <c r="G76" s="76">
        <v>3674</v>
      </c>
      <c r="H76" s="76">
        <v>7348</v>
      </c>
      <c r="I76" t="s">
        <v>188</v>
      </c>
      <c r="J76">
        <f>IF(Table4[[#This Row],[Check Status with ga 55]]="OK",0,1)</f>
        <v>0</v>
      </c>
    </row>
    <row r="77" spans="1:10" x14ac:dyDescent="0.25">
      <c r="A77">
        <v>72</v>
      </c>
      <c r="B77" t="s">
        <v>342</v>
      </c>
      <c r="C77" t="s">
        <v>373</v>
      </c>
      <c r="D77">
        <v>28462</v>
      </c>
      <c r="E77" t="s">
        <v>266</v>
      </c>
      <c r="F77" s="76">
        <v>3674</v>
      </c>
      <c r="G77" s="76">
        <v>3674</v>
      </c>
      <c r="H77" s="76">
        <v>7348</v>
      </c>
      <c r="I77" t="s">
        <v>188</v>
      </c>
      <c r="J77">
        <f>IF(Table4[[#This Row],[Check Status with ga 55]]="OK",0,1)</f>
        <v>0</v>
      </c>
    </row>
    <row r="78" spans="1:10" x14ac:dyDescent="0.25">
      <c r="A78">
        <v>73</v>
      </c>
      <c r="B78" t="s">
        <v>342</v>
      </c>
      <c r="C78" t="s">
        <v>395</v>
      </c>
      <c r="D78">
        <v>33490</v>
      </c>
      <c r="E78" t="s">
        <v>266</v>
      </c>
      <c r="F78" s="76">
        <v>3674</v>
      </c>
      <c r="G78" s="76">
        <v>3674</v>
      </c>
      <c r="H78" s="76">
        <v>7348</v>
      </c>
      <c r="I78" t="s">
        <v>188</v>
      </c>
      <c r="J78">
        <f>IF(Table4[[#This Row],[Check Status with ga 55]]="OK",0,1)</f>
        <v>0</v>
      </c>
    </row>
    <row r="79" spans="1:10" x14ac:dyDescent="0.25">
      <c r="A79">
        <v>74</v>
      </c>
      <c r="B79" t="s">
        <v>342</v>
      </c>
      <c r="C79" t="s">
        <v>394</v>
      </c>
      <c r="D79">
        <v>38388</v>
      </c>
      <c r="E79" t="s">
        <v>266</v>
      </c>
      <c r="F79" s="76">
        <v>3674</v>
      </c>
      <c r="G79" s="76">
        <v>3674</v>
      </c>
      <c r="H79" s="76">
        <v>7348</v>
      </c>
      <c r="I79" t="s">
        <v>188</v>
      </c>
      <c r="J79">
        <f>IF(Table4[[#This Row],[Check Status with ga 55]]="OK",0,1)</f>
        <v>0</v>
      </c>
    </row>
    <row r="80" spans="1:10" x14ac:dyDescent="0.25">
      <c r="A80">
        <v>75</v>
      </c>
      <c r="B80" t="s">
        <v>342</v>
      </c>
      <c r="C80" t="s">
        <v>393</v>
      </c>
      <c r="D80">
        <v>45971</v>
      </c>
      <c r="E80" t="s">
        <v>266</v>
      </c>
      <c r="F80" s="76">
        <v>3674</v>
      </c>
      <c r="G80" s="76">
        <v>3674</v>
      </c>
      <c r="H80" s="76">
        <v>7348</v>
      </c>
      <c r="I80" t="s">
        <v>188</v>
      </c>
      <c r="J80">
        <f>IF(Table4[[#This Row],[Check Status with ga 55]]="OK",0,1)</f>
        <v>0</v>
      </c>
    </row>
    <row r="81" spans="1:10" x14ac:dyDescent="0.25">
      <c r="A81">
        <v>76</v>
      </c>
      <c r="B81" t="s">
        <v>342</v>
      </c>
      <c r="C81" t="s">
        <v>396</v>
      </c>
      <c r="D81">
        <v>52244</v>
      </c>
      <c r="E81" t="s">
        <v>266</v>
      </c>
      <c r="F81" s="76">
        <v>3674</v>
      </c>
      <c r="G81" s="76">
        <v>3674</v>
      </c>
      <c r="H81" s="76">
        <v>7348</v>
      </c>
      <c r="I81" t="s">
        <v>188</v>
      </c>
      <c r="J81">
        <f>IF(Table4[[#This Row],[Check Status with ga 55]]="OK",0,1)</f>
        <v>0</v>
      </c>
    </row>
    <row r="82" spans="1:10" x14ac:dyDescent="0.25">
      <c r="A82">
        <v>77</v>
      </c>
      <c r="B82" t="s">
        <v>342</v>
      </c>
      <c r="C82" t="s">
        <v>414</v>
      </c>
      <c r="D82">
        <v>58485</v>
      </c>
      <c r="E82" t="s">
        <v>266</v>
      </c>
      <c r="F82" s="76">
        <v>3674</v>
      </c>
      <c r="G82" s="76">
        <v>3674</v>
      </c>
      <c r="H82" s="76">
        <v>7348</v>
      </c>
      <c r="I82" t="s">
        <v>188</v>
      </c>
      <c r="J82">
        <f>IF(Table4[[#This Row],[Check Status with ga 55]]="OK",0,1)</f>
        <v>0</v>
      </c>
    </row>
    <row r="83" spans="1:10" x14ac:dyDescent="0.25">
      <c r="A83">
        <v>78</v>
      </c>
      <c r="B83" t="s">
        <v>342</v>
      </c>
      <c r="C83" t="s">
        <v>415</v>
      </c>
      <c r="D83">
        <v>63803</v>
      </c>
      <c r="E83" t="s">
        <v>266</v>
      </c>
      <c r="F83" s="76">
        <v>3674</v>
      </c>
      <c r="G83" s="76">
        <v>3674</v>
      </c>
      <c r="H83" s="76">
        <v>7348</v>
      </c>
      <c r="I83" t="s">
        <v>188</v>
      </c>
      <c r="J83">
        <f>IF(Table4[[#This Row],[Check Status with ga 55]]="OK",0,1)</f>
        <v>0</v>
      </c>
    </row>
    <row r="84" spans="1:10" s="53" customFormat="1" x14ac:dyDescent="0.25">
      <c r="A84" s="53">
        <v>79</v>
      </c>
      <c r="B84" s="53" t="s">
        <v>342</v>
      </c>
      <c r="C84" s="53" t="s">
        <v>415</v>
      </c>
      <c r="D84" s="53">
        <v>66693</v>
      </c>
      <c r="E84" s="53" t="s">
        <v>266</v>
      </c>
      <c r="F84" s="78">
        <v>1036</v>
      </c>
      <c r="G84" s="78">
        <v>1036</v>
      </c>
      <c r="H84" s="78">
        <v>2072</v>
      </c>
      <c r="I84" s="53" t="s">
        <v>421</v>
      </c>
      <c r="J84" s="53">
        <f>IF(Table4[[#This Row],[Check Status with ga 55]]="OK",0,1)</f>
        <v>1</v>
      </c>
    </row>
    <row r="85" spans="1:10" x14ac:dyDescent="0.25">
      <c r="A85">
        <v>80</v>
      </c>
      <c r="B85" t="s">
        <v>416</v>
      </c>
      <c r="C85" t="s">
        <v>419</v>
      </c>
      <c r="D85">
        <v>1971</v>
      </c>
      <c r="E85" t="s">
        <v>266</v>
      </c>
      <c r="F85">
        <v>3674</v>
      </c>
      <c r="G85">
        <v>3674</v>
      </c>
      <c r="H85">
        <v>7348</v>
      </c>
      <c r="I85" t="s">
        <v>188</v>
      </c>
      <c r="J85">
        <f>IF(Table4[[#This Row],[Check Status with ga 55]]="OK",0,1)</f>
        <v>0</v>
      </c>
    </row>
    <row r="86" spans="1:10" x14ac:dyDescent="0.25">
      <c r="A86">
        <v>81</v>
      </c>
      <c r="B86" t="s">
        <v>416</v>
      </c>
      <c r="C86" t="s">
        <v>420</v>
      </c>
      <c r="D86">
        <v>6836</v>
      </c>
      <c r="E86" t="s">
        <v>266</v>
      </c>
      <c r="F86">
        <v>3674</v>
      </c>
      <c r="G86">
        <v>3674</v>
      </c>
      <c r="H86">
        <v>7348</v>
      </c>
      <c r="I86" t="s">
        <v>188</v>
      </c>
      <c r="J86">
        <f>IF(Table4[[#This Row],[Check Status with ga 55]]="OK",0,1)</f>
        <v>0</v>
      </c>
    </row>
    <row r="87" spans="1:10" x14ac:dyDescent="0.25">
      <c r="A87">
        <v>82</v>
      </c>
      <c r="B87" t="s">
        <v>416</v>
      </c>
      <c r="C87" t="s">
        <v>474</v>
      </c>
      <c r="D87">
        <v>12477</v>
      </c>
      <c r="E87" t="s">
        <v>266</v>
      </c>
      <c r="F87">
        <v>3674</v>
      </c>
      <c r="G87">
        <v>3674</v>
      </c>
      <c r="H87">
        <v>7348</v>
      </c>
      <c r="I87" t="s">
        <v>188</v>
      </c>
      <c r="J87">
        <f>IF(Table4[[#This Row],[Check Status with ga 55]]="OK",0,1)</f>
        <v>0</v>
      </c>
    </row>
    <row r="88" spans="1:10" x14ac:dyDescent="0.25">
      <c r="A88">
        <v>83</v>
      </c>
      <c r="B88" t="s">
        <v>416</v>
      </c>
      <c r="C88" t="s">
        <v>473</v>
      </c>
      <c r="D88">
        <v>17505</v>
      </c>
      <c r="E88" t="s">
        <v>266</v>
      </c>
      <c r="F88">
        <v>3674</v>
      </c>
      <c r="G88">
        <v>3674</v>
      </c>
      <c r="H88">
        <v>7348</v>
      </c>
      <c r="I88" t="s">
        <v>188</v>
      </c>
      <c r="J88">
        <f>IF(Table4[[#This Row],[Check Status with ga 55]]="OK",0,1)</f>
        <v>0</v>
      </c>
    </row>
    <row r="89" spans="1:10" x14ac:dyDescent="0.25">
      <c r="A89">
        <v>84</v>
      </c>
      <c r="B89" t="s">
        <v>416</v>
      </c>
      <c r="C89" t="s">
        <v>475</v>
      </c>
      <c r="D89">
        <v>22702</v>
      </c>
      <c r="E89" t="s">
        <v>266</v>
      </c>
      <c r="F89">
        <v>4134</v>
      </c>
      <c r="G89">
        <v>4134</v>
      </c>
      <c r="H89">
        <v>8268</v>
      </c>
      <c r="I89" t="s">
        <v>188</v>
      </c>
      <c r="J89">
        <f>IF(Table4[[#This Row],[Check Status with ga 55]]="OK",0,1)</f>
        <v>0</v>
      </c>
    </row>
    <row r="90" spans="1:10" x14ac:dyDescent="0.25">
      <c r="A90">
        <v>85</v>
      </c>
      <c r="B90" t="s">
        <v>416</v>
      </c>
      <c r="C90" t="s">
        <v>502</v>
      </c>
      <c r="D90">
        <v>28815</v>
      </c>
      <c r="E90" t="s">
        <v>266</v>
      </c>
      <c r="F90">
        <v>4134</v>
      </c>
      <c r="G90">
        <v>4134</v>
      </c>
      <c r="H90">
        <v>8268</v>
      </c>
      <c r="I90" t="s">
        <v>188</v>
      </c>
      <c r="J90">
        <f>IF(Table4[[#This Row],[Check Status with ga 55]]="OK",0,1)</f>
        <v>0</v>
      </c>
    </row>
    <row r="91" spans="1:10" s="53" customFormat="1" x14ac:dyDescent="0.25">
      <c r="A91" s="53">
        <v>87</v>
      </c>
      <c r="B91" s="53" t="s">
        <v>416</v>
      </c>
      <c r="D91" s="55">
        <v>36889</v>
      </c>
      <c r="F91" s="78">
        <v>4134</v>
      </c>
      <c r="G91" s="78">
        <v>4134</v>
      </c>
      <c r="H91" s="78">
        <v>8268</v>
      </c>
      <c r="I91" s="53" t="s">
        <v>189</v>
      </c>
      <c r="J91" s="53">
        <f>IF(Table4[[#This Row],[Check Status with ga 55]]="OK",0,1)</f>
        <v>1</v>
      </c>
    </row>
    <row r="92" spans="1:10" s="53" customFormat="1" x14ac:dyDescent="0.25">
      <c r="A92" s="53">
        <v>88</v>
      </c>
      <c r="B92" s="53" t="s">
        <v>416</v>
      </c>
      <c r="D92" s="124">
        <v>40146</v>
      </c>
      <c r="F92" s="78">
        <v>4231</v>
      </c>
      <c r="G92" s="78">
        <v>4231</v>
      </c>
      <c r="H92" s="78">
        <v>8462</v>
      </c>
      <c r="I92" s="53" t="s">
        <v>189</v>
      </c>
      <c r="J92" s="53">
        <f>IF(Table4[[#This Row],[Check Status with ga 55]]="OK",0,1)</f>
        <v>1</v>
      </c>
    </row>
    <row r="93" spans="1:10" s="53" customFormat="1" x14ac:dyDescent="0.25">
      <c r="A93" s="53">
        <v>88</v>
      </c>
      <c r="B93" s="53" t="s">
        <v>416</v>
      </c>
      <c r="D93" s="123">
        <v>48467</v>
      </c>
      <c r="F93" s="78">
        <v>4231</v>
      </c>
      <c r="G93" s="78">
        <v>4231</v>
      </c>
      <c r="H93" s="78">
        <v>8462</v>
      </c>
      <c r="I93" s="53" t="s">
        <v>189</v>
      </c>
      <c r="J93" s="53">
        <f>IF(Table4[[#This Row],[Check Status with ga 55]]="OK",0,1)</f>
        <v>1</v>
      </c>
    </row>
    <row r="94" spans="1:10" s="53" customFormat="1" x14ac:dyDescent="0.25">
      <c r="A94" s="53">
        <v>88</v>
      </c>
      <c r="B94" s="53" t="s">
        <v>416</v>
      </c>
      <c r="D94" s="123">
        <v>55697</v>
      </c>
      <c r="F94" s="78">
        <v>4231</v>
      </c>
      <c r="G94" s="78">
        <v>4231</v>
      </c>
      <c r="H94" s="78">
        <v>8462</v>
      </c>
      <c r="I94" s="53" t="s">
        <v>189</v>
      </c>
      <c r="J94" s="53">
        <f>IF(Table4[[#This Row],[Check Status with ga 55]]="OK",0,1)</f>
        <v>1</v>
      </c>
    </row>
    <row r="95" spans="1:10" s="53" customFormat="1" x14ac:dyDescent="0.25">
      <c r="A95" s="53">
        <v>88</v>
      </c>
      <c r="B95" s="53" t="s">
        <v>416</v>
      </c>
      <c r="D95" s="123">
        <v>63392</v>
      </c>
      <c r="F95" s="78">
        <v>4231</v>
      </c>
      <c r="G95" s="78">
        <v>4231</v>
      </c>
      <c r="H95" s="78">
        <v>8462</v>
      </c>
      <c r="I95" s="53" t="s">
        <v>189</v>
      </c>
      <c r="J95" s="53">
        <f>IF(Table4[[#This Row],[Check Status with ga 55]]="OK",0,1)</f>
        <v>1</v>
      </c>
    </row>
    <row r="96" spans="1:10" s="53" customFormat="1" x14ac:dyDescent="0.25">
      <c r="A96" s="53">
        <v>88</v>
      </c>
      <c r="B96" s="53" t="s">
        <v>416</v>
      </c>
      <c r="D96" s="53">
        <v>52725</v>
      </c>
      <c r="F96" s="53">
        <v>291</v>
      </c>
      <c r="G96" s="78">
        <v>291</v>
      </c>
      <c r="H96" s="78">
        <v>582</v>
      </c>
      <c r="I96" s="53" t="s">
        <v>189</v>
      </c>
      <c r="J96" s="53">
        <f>IF(Table4[[#This Row],[Check Status with ga 55]]="OK",0,1)</f>
        <v>1</v>
      </c>
    </row>
    <row r="97" spans="2:12" x14ac:dyDescent="0.25">
      <c r="B97" t="s">
        <v>516</v>
      </c>
      <c r="I97" t="s">
        <v>188</v>
      </c>
      <c r="J97" s="53">
        <f>IF(Table4[[#This Row],[Check Status with ga 55]]="OK",0,1)</f>
        <v>0</v>
      </c>
      <c r="L97" t="s">
        <v>699</v>
      </c>
    </row>
    <row r="115" spans="4:4" x14ac:dyDescent="0.25">
      <c r="D115" s="121"/>
    </row>
    <row r="116" spans="4:4" x14ac:dyDescent="0.25">
      <c r="D116" s="86"/>
    </row>
    <row r="117" spans="4:4" x14ac:dyDescent="0.25">
      <c r="D117" s="121"/>
    </row>
    <row r="118" spans="4:4" x14ac:dyDescent="0.25">
      <c r="D118" s="86"/>
    </row>
    <row r="119" spans="4:4" x14ac:dyDescent="0.25">
      <c r="D119" s="121"/>
    </row>
    <row r="120" spans="4:4" x14ac:dyDescent="0.25">
      <c r="D120" s="86"/>
    </row>
    <row r="121" spans="4:4" x14ac:dyDescent="0.25">
      <c r="D121" s="121"/>
    </row>
    <row r="122" spans="4:4" x14ac:dyDescent="0.25">
      <c r="D122" s="86"/>
    </row>
    <row r="123" spans="4:4" x14ac:dyDescent="0.25">
      <c r="D123" s="121"/>
    </row>
    <row r="124" spans="4:4" x14ac:dyDescent="0.25">
      <c r="D124" s="86"/>
    </row>
    <row r="125" spans="4:4" x14ac:dyDescent="0.25">
      <c r="D125" s="121"/>
    </row>
    <row r="126" spans="4:4" x14ac:dyDescent="0.25">
      <c r="D126" s="86"/>
    </row>
    <row r="127" spans="4:4" x14ac:dyDescent="0.25">
      <c r="D127" s="121"/>
    </row>
    <row r="128" spans="4:4" x14ac:dyDescent="0.25">
      <c r="D128" s="86"/>
    </row>
    <row r="129" spans="4:4" x14ac:dyDescent="0.25">
      <c r="D129" s="121"/>
    </row>
    <row r="130" spans="4:4" x14ac:dyDescent="0.25">
      <c r="D130" s="86"/>
    </row>
    <row r="131" spans="4:4" x14ac:dyDescent="0.25">
      <c r="D131" s="121"/>
    </row>
    <row r="132" spans="4:4" x14ac:dyDescent="0.25">
      <c r="D132" s="86"/>
    </row>
    <row r="133" spans="4:4" x14ac:dyDescent="0.25">
      <c r="D133" s="121"/>
    </row>
    <row r="134" spans="4:4" x14ac:dyDescent="0.25">
      <c r="D134" s="86"/>
    </row>
    <row r="135" spans="4:4" x14ac:dyDescent="0.25">
      <c r="D135" s="121"/>
    </row>
    <row r="136" spans="4:4" x14ac:dyDescent="0.25">
      <c r="D136" s="86"/>
    </row>
    <row r="137" spans="4:4" x14ac:dyDescent="0.25">
      <c r="D137" s="121"/>
    </row>
    <row r="138" spans="4:4" x14ac:dyDescent="0.25">
      <c r="D138" s="86"/>
    </row>
    <row r="139" spans="4:4" x14ac:dyDescent="0.25">
      <c r="D139" s="121"/>
    </row>
    <row r="140" spans="4:4" x14ac:dyDescent="0.25">
      <c r="D140" s="86"/>
    </row>
    <row r="141" spans="4:4" x14ac:dyDescent="0.25">
      <c r="D141" s="121"/>
    </row>
    <row r="142" spans="4:4" x14ac:dyDescent="0.25">
      <c r="D142" s="86"/>
    </row>
    <row r="143" spans="4:4" x14ac:dyDescent="0.25">
      <c r="D143" s="121"/>
    </row>
    <row r="144" spans="4:4" x14ac:dyDescent="0.25">
      <c r="D144" s="86"/>
    </row>
    <row r="145" spans="4:4" x14ac:dyDescent="0.25">
      <c r="D145" s="121"/>
    </row>
    <row r="146" spans="4:4" x14ac:dyDescent="0.25">
      <c r="D146" s="120"/>
    </row>
    <row r="147" spans="4:4" x14ac:dyDescent="0.25">
      <c r="D147" s="121"/>
    </row>
    <row r="148" spans="4:4" x14ac:dyDescent="0.25">
      <c r="D148" s="86"/>
    </row>
    <row r="149" spans="4:4" x14ac:dyDescent="0.25">
      <c r="D149" s="121"/>
    </row>
    <row r="150" spans="4:4" x14ac:dyDescent="0.25">
      <c r="D150" s="86"/>
    </row>
    <row r="151" spans="4:4" x14ac:dyDescent="0.25">
      <c r="D151" s="121"/>
    </row>
    <row r="152" spans="4:4" x14ac:dyDescent="0.25">
      <c r="D152" s="86"/>
    </row>
    <row r="153" spans="4:4" x14ac:dyDescent="0.25">
      <c r="D153" s="121"/>
    </row>
    <row r="154" spans="4:4" x14ac:dyDescent="0.25">
      <c r="D154" s="86"/>
    </row>
    <row r="155" spans="4:4" x14ac:dyDescent="0.25">
      <c r="D155" s="121"/>
    </row>
    <row r="156" spans="4:4" x14ac:dyDescent="0.25">
      <c r="D156" s="86"/>
    </row>
    <row r="157" spans="4:4" x14ac:dyDescent="0.25">
      <c r="D157" s="121"/>
    </row>
    <row r="158" spans="4:4" x14ac:dyDescent="0.25">
      <c r="D158" s="86"/>
    </row>
    <row r="159" spans="4:4" x14ac:dyDescent="0.25">
      <c r="D159" s="121"/>
    </row>
    <row r="160" spans="4:4" x14ac:dyDescent="0.25">
      <c r="D160" s="86"/>
    </row>
    <row r="161" spans="4:4" x14ac:dyDescent="0.25">
      <c r="D161" s="120"/>
    </row>
    <row r="162" spans="4:4" x14ac:dyDescent="0.25">
      <c r="D162" s="86"/>
    </row>
    <row r="163" spans="4:4" x14ac:dyDescent="0.25">
      <c r="D163" s="121"/>
    </row>
    <row r="164" spans="4:4" x14ac:dyDescent="0.25">
      <c r="D164" s="86"/>
    </row>
    <row r="165" spans="4:4" x14ac:dyDescent="0.25">
      <c r="D165" s="121"/>
    </row>
    <row r="166" spans="4:4" x14ac:dyDescent="0.25">
      <c r="D166" s="86"/>
    </row>
    <row r="167" spans="4:4" x14ac:dyDescent="0.25">
      <c r="D167" s="86"/>
    </row>
    <row r="168" spans="4:4" x14ac:dyDescent="0.25">
      <c r="D168" s="122"/>
    </row>
    <row r="169" spans="4:4" x14ac:dyDescent="0.25">
      <c r="D169" s="86"/>
    </row>
    <row r="170" spans="4:4" x14ac:dyDescent="0.25">
      <c r="D170" s="86"/>
    </row>
    <row r="171" spans="4:4" x14ac:dyDescent="0.25">
      <c r="D171" s="121"/>
    </row>
    <row r="172" spans="4:4" x14ac:dyDescent="0.25">
      <c r="D172" s="86"/>
    </row>
    <row r="173" spans="4:4" x14ac:dyDescent="0.25">
      <c r="D173" s="121"/>
    </row>
    <row r="174" spans="4:4" x14ac:dyDescent="0.25">
      <c r="D174" s="86"/>
    </row>
    <row r="175" spans="4:4" x14ac:dyDescent="0.25">
      <c r="D175" s="121"/>
    </row>
    <row r="176" spans="4:4" x14ac:dyDescent="0.25">
      <c r="D176" s="86"/>
    </row>
    <row r="177" spans="4:4" x14ac:dyDescent="0.25">
      <c r="D177" s="121"/>
    </row>
    <row r="178" spans="4:4" x14ac:dyDescent="0.25">
      <c r="D178" s="86"/>
    </row>
    <row r="179" spans="4:4" x14ac:dyDescent="0.25">
      <c r="D179" s="121"/>
    </row>
    <row r="180" spans="4:4" x14ac:dyDescent="0.25">
      <c r="D180" s="86"/>
    </row>
    <row r="181" spans="4:4" x14ac:dyDescent="0.25">
      <c r="D181" s="121"/>
    </row>
    <row r="182" spans="4:4" x14ac:dyDescent="0.25">
      <c r="D182" s="86"/>
    </row>
    <row r="183" spans="4:4" x14ac:dyDescent="0.25">
      <c r="D183" s="121"/>
    </row>
    <row r="184" spans="4:4" x14ac:dyDescent="0.25">
      <c r="D184" s="86"/>
    </row>
    <row r="185" spans="4:4" x14ac:dyDescent="0.25">
      <c r="D185" s="121"/>
    </row>
    <row r="186" spans="4:4" x14ac:dyDescent="0.25">
      <c r="D186" s="86"/>
    </row>
    <row r="187" spans="4:4" x14ac:dyDescent="0.25">
      <c r="D187" s="121"/>
    </row>
    <row r="188" spans="4:4" x14ac:dyDescent="0.25">
      <c r="D188" s="86"/>
    </row>
    <row r="189" spans="4:4" x14ac:dyDescent="0.25">
      <c r="D189" s="121"/>
    </row>
    <row r="190" spans="4:4" x14ac:dyDescent="0.25">
      <c r="D190" s="86"/>
    </row>
    <row r="191" spans="4:4" x14ac:dyDescent="0.25">
      <c r="D191" s="121"/>
    </row>
    <row r="192" spans="4:4" x14ac:dyDescent="0.25">
      <c r="D192" s="86"/>
    </row>
    <row r="193" spans="4:4" x14ac:dyDescent="0.25">
      <c r="D193" s="121"/>
    </row>
    <row r="194" spans="4:4" x14ac:dyDescent="0.25">
      <c r="D194" s="86"/>
    </row>
    <row r="195" spans="4:4" x14ac:dyDescent="0.25">
      <c r="D195" s="121"/>
    </row>
    <row r="196" spans="4:4" x14ac:dyDescent="0.25">
      <c r="D196" s="86"/>
    </row>
    <row r="197" spans="4:4" x14ac:dyDescent="0.25">
      <c r="D197" s="121"/>
    </row>
    <row r="198" spans="4:4" x14ac:dyDescent="0.25">
      <c r="D198" s="86"/>
    </row>
    <row r="199" spans="4:4" x14ac:dyDescent="0.25">
      <c r="D199" s="121"/>
    </row>
  </sheetData>
  <sortState xmlns:xlrd2="http://schemas.microsoft.com/office/spreadsheetml/2017/richdata2" ref="A6:H9">
    <sortCondition ref="D6"/>
  </sortState>
  <mergeCells count="1">
    <mergeCell ref="A1:H2"/>
  </mergeCells>
  <phoneticPr fontId="31" type="noConversion"/>
  <conditionalFormatting sqref="C88">
    <cfRule type="duplicateValues" dxfId="17" priority="11"/>
  </conditionalFormatting>
  <conditionalFormatting sqref="C90">
    <cfRule type="duplicateValues" dxfId="16" priority="9"/>
  </conditionalFormatting>
  <conditionalFormatting sqref="D1:D5 D96:D114 D203:D1048576">
    <cfRule type="duplicateValues" dxfId="15" priority="24"/>
  </conditionalFormatting>
  <conditionalFormatting sqref="D1:D5 D96:D199 D203:D1048576">
    <cfRule type="duplicateValues" dxfId="14" priority="6"/>
  </conditionalFormatting>
  <conditionalFormatting sqref="D1:D5 D97 D106 D108:D114 D203:D1048576">
    <cfRule type="duplicateValues" dxfId="13" priority="93"/>
  </conditionalFormatting>
  <conditionalFormatting sqref="D1:D5 D97:D114 D203:D1048576">
    <cfRule type="duplicateValues" dxfId="12" priority="122"/>
  </conditionalFormatting>
  <conditionalFormatting sqref="D6:D97">
    <cfRule type="duplicateValues" dxfId="11" priority="185"/>
  </conditionalFormatting>
  <conditionalFormatting sqref="D94:D95">
    <cfRule type="duplicateValues" dxfId="10" priority="187"/>
  </conditionalFormatting>
  <conditionalFormatting sqref="D96:D114">
    <cfRule type="duplicateValues" dxfId="9" priority="19"/>
  </conditionalFormatting>
  <conditionalFormatting sqref="D108:D114">
    <cfRule type="duplicateValues" dxfId="8" priority="109"/>
  </conditionalFormatting>
  <conditionalFormatting sqref="D115:D199">
    <cfRule type="duplicateValues" dxfId="7" priority="157"/>
  </conditionalFormatting>
  <pageMargins left="0.7" right="0.7" top="0.75" bottom="0.75" header="0.3" footer="0.3"/>
  <pageSetup orientation="portrait" horizontalDpi="100" verticalDpi="10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L305"/>
  <sheetViews>
    <sheetView zoomScaleNormal="100" workbookViewId="0">
      <selection activeCell="G1" sqref="G1"/>
    </sheetView>
  </sheetViews>
  <sheetFormatPr defaultRowHeight="15" x14ac:dyDescent="0.25"/>
  <cols>
    <col min="1" max="1" width="33.7109375" style="47" bestFit="1" customWidth="1"/>
    <col min="2" max="2" width="7.28515625" style="47" bestFit="1" customWidth="1"/>
    <col min="3" max="3" width="11.5703125" style="47" bestFit="1" customWidth="1"/>
    <col min="4" max="4" width="9.140625" style="47"/>
    <col min="5" max="5" width="3.5703125" style="36" customWidth="1"/>
    <col min="6" max="6" width="10.140625" style="47" bestFit="1" customWidth="1"/>
    <col min="7" max="7" width="19.42578125" style="47" customWidth="1"/>
    <col min="8" max="8" width="9.5703125" style="1" customWidth="1"/>
    <col min="9" max="9" width="11.5703125" style="47" bestFit="1" customWidth="1"/>
    <col min="10" max="10" width="12.140625" style="47" bestFit="1" customWidth="1"/>
    <col min="11" max="11" width="12.28515625" style="47" bestFit="1" customWidth="1"/>
    <col min="12" max="12" width="17" style="36" customWidth="1"/>
    <col min="13" max="13" width="20.7109375" style="58" bestFit="1" customWidth="1"/>
    <col min="14" max="14" width="36.7109375" style="58" bestFit="1" customWidth="1"/>
    <col min="15" max="15" width="16" style="58" bestFit="1" customWidth="1"/>
    <col min="16" max="16" width="19.5703125" style="58" bestFit="1" customWidth="1"/>
    <col min="17" max="17" width="16.85546875" style="58" bestFit="1" customWidth="1"/>
    <col min="18" max="18" width="16" style="58" bestFit="1" customWidth="1"/>
    <col min="19" max="19" width="8.42578125" style="58" bestFit="1" customWidth="1"/>
    <col min="20" max="20" width="16.85546875" style="58" bestFit="1" customWidth="1"/>
    <col min="21" max="21" width="16" style="58" bestFit="1" customWidth="1"/>
    <col min="22" max="22" width="8.42578125" style="58" bestFit="1" customWidth="1"/>
    <col min="23" max="23" width="16.85546875" style="58" bestFit="1" customWidth="1"/>
    <col min="24" max="24" width="4.5703125" style="36" customWidth="1"/>
    <col min="25" max="25" width="9.140625" style="63"/>
    <col min="26" max="26" width="22.42578125" style="63" bestFit="1" customWidth="1"/>
    <col min="27" max="27" width="22.42578125" style="63" customWidth="1"/>
    <col min="28" max="28" width="12.28515625" style="63" bestFit="1" customWidth="1"/>
    <col min="29" max="29" width="9.140625" style="63"/>
    <col min="30" max="30" width="11.85546875" style="63" bestFit="1" customWidth="1"/>
    <col min="31" max="31" width="18" style="63" bestFit="1" customWidth="1"/>
    <col min="32" max="32" width="9.140625" style="63"/>
    <col min="33" max="33" width="11.85546875" style="63" bestFit="1" customWidth="1"/>
    <col min="34" max="34" width="12.28515625" style="63" bestFit="1" customWidth="1"/>
    <col min="35" max="35" width="9.140625" style="63"/>
    <col min="36" max="36" width="11.85546875" style="63" bestFit="1" customWidth="1"/>
    <col min="37" max="37" width="9.140625" style="47"/>
    <col min="38" max="38" width="20.7109375" style="47" bestFit="1" customWidth="1"/>
    <col min="39" max="16384" width="9.140625" style="47"/>
  </cols>
  <sheetData>
    <row r="1" spans="1:38" ht="38.25" x14ac:dyDescent="0.2">
      <c r="A1" s="369" t="s">
        <v>58</v>
      </c>
      <c r="B1" s="369"/>
      <c r="C1" s="369"/>
      <c r="F1" s="135" t="s">
        <v>628</v>
      </c>
      <c r="G1" s="134">
        <v>46110</v>
      </c>
      <c r="M1" s="370" t="s">
        <v>92</v>
      </c>
      <c r="N1" s="370"/>
      <c r="O1" s="370"/>
      <c r="P1" s="370"/>
      <c r="Q1" s="370"/>
      <c r="R1" s="370"/>
      <c r="S1" s="370"/>
      <c r="T1" s="370"/>
      <c r="U1" s="370"/>
      <c r="V1" s="370"/>
      <c r="W1" s="370"/>
      <c r="X1" s="69"/>
      <c r="Y1" s="361" t="s">
        <v>92</v>
      </c>
      <c r="Z1" s="361"/>
      <c r="AA1" s="361"/>
      <c r="AB1" s="361"/>
      <c r="AC1" s="361"/>
      <c r="AD1" s="361"/>
      <c r="AE1" s="361"/>
      <c r="AF1" s="361"/>
      <c r="AG1" s="361"/>
      <c r="AH1" s="361"/>
      <c r="AI1" s="361"/>
      <c r="AJ1" s="361"/>
    </row>
    <row r="2" spans="1:38" ht="23.25" x14ac:dyDescent="0.25">
      <c r="A2" s="369"/>
      <c r="B2" s="369"/>
      <c r="C2" s="369"/>
      <c r="M2" s="56"/>
      <c r="N2" s="56"/>
      <c r="O2" s="371" t="s">
        <v>93</v>
      </c>
      <c r="P2" s="371"/>
      <c r="Q2" s="371"/>
      <c r="R2" s="371" t="s">
        <v>94</v>
      </c>
      <c r="S2" s="371"/>
      <c r="T2" s="371"/>
      <c r="U2" s="371" t="s">
        <v>95</v>
      </c>
      <c r="V2" s="371"/>
      <c r="W2" s="371"/>
      <c r="X2" s="70"/>
      <c r="Y2" s="61"/>
      <c r="Z2" s="61"/>
      <c r="AA2" s="61"/>
      <c r="AB2" s="362" t="s">
        <v>93</v>
      </c>
      <c r="AC2" s="362"/>
      <c r="AD2" s="362"/>
      <c r="AE2" s="362" t="s">
        <v>94</v>
      </c>
      <c r="AF2" s="362"/>
      <c r="AG2" s="362"/>
      <c r="AH2" s="362" t="s">
        <v>95</v>
      </c>
      <c r="AI2" s="362"/>
      <c r="AJ2" s="362"/>
    </row>
    <row r="3" spans="1:38" ht="26.25" customHeight="1" x14ac:dyDescent="0.25">
      <c r="A3" s="373" t="s">
        <v>156</v>
      </c>
      <c r="B3" s="373"/>
      <c r="C3" s="373"/>
      <c r="F3" s="369" t="s">
        <v>62</v>
      </c>
      <c r="G3" s="369"/>
      <c r="H3" s="369"/>
      <c r="I3" s="369"/>
      <c r="J3" s="369"/>
      <c r="K3" s="369"/>
      <c r="M3" s="56"/>
      <c r="N3" s="56"/>
      <c r="O3" s="56" t="s">
        <v>96</v>
      </c>
      <c r="P3" s="56" t="s">
        <v>97</v>
      </c>
      <c r="Q3" s="56" t="s">
        <v>98</v>
      </c>
      <c r="R3" s="56" t="s">
        <v>96</v>
      </c>
      <c r="S3" s="56" t="s">
        <v>97</v>
      </c>
      <c r="T3" s="56" t="s">
        <v>98</v>
      </c>
      <c r="U3" s="56" t="s">
        <v>96</v>
      </c>
      <c r="V3" s="56" t="s">
        <v>97</v>
      </c>
      <c r="W3" s="56" t="s">
        <v>98</v>
      </c>
      <c r="X3" s="70"/>
      <c r="Y3" s="61"/>
      <c r="Z3" s="61"/>
      <c r="AA3" s="61" t="s">
        <v>2</v>
      </c>
      <c r="AB3" s="61" t="s">
        <v>96</v>
      </c>
      <c r="AC3" s="61" t="s">
        <v>97</v>
      </c>
      <c r="AD3" s="61" t="s">
        <v>98</v>
      </c>
      <c r="AE3" s="61" t="s">
        <v>96</v>
      </c>
      <c r="AF3" s="61" t="s">
        <v>97</v>
      </c>
      <c r="AG3" s="61" t="s">
        <v>98</v>
      </c>
      <c r="AH3" s="61" t="s">
        <v>96</v>
      </c>
      <c r="AI3" s="61" t="s">
        <v>97</v>
      </c>
      <c r="AJ3" s="61" t="s">
        <v>98</v>
      </c>
    </row>
    <row r="4" spans="1:38" ht="26.25" customHeight="1" x14ac:dyDescent="0.25">
      <c r="A4" s="373"/>
      <c r="B4" s="373"/>
      <c r="C4" s="373"/>
      <c r="F4" s="7"/>
      <c r="G4" s="7"/>
      <c r="H4" s="4" t="s">
        <v>2</v>
      </c>
      <c r="I4" s="7">
        <f>SUM(I7:I1060)</f>
        <v>239958</v>
      </c>
      <c r="J4" s="7">
        <f>SUM(J7:J1060)</f>
        <v>239958</v>
      </c>
      <c r="K4" s="7">
        <f>SUM(K7:K1060)</f>
        <v>530916</v>
      </c>
      <c r="M4" s="56"/>
      <c r="N4" s="56" t="s">
        <v>2</v>
      </c>
      <c r="O4" s="56">
        <f>SUM(O7:O1060)</f>
        <v>185707.54</v>
      </c>
      <c r="P4" s="56"/>
      <c r="Q4" s="56">
        <f>SUM(Q7:Q1060)</f>
        <v>7273.5410000000002</v>
      </c>
      <c r="R4" s="56">
        <f>SUM(R7:R1060)</f>
        <v>171326.70999999988</v>
      </c>
      <c r="S4" s="56"/>
      <c r="T4" s="56">
        <f>SUM(T7:T1060)</f>
        <v>6754.8803999999991</v>
      </c>
      <c r="U4" s="56">
        <f>SUM(U7:U1060)</f>
        <v>173881.75000000012</v>
      </c>
      <c r="V4" s="56"/>
      <c r="W4" s="56">
        <f>SUM(W7:W1060)</f>
        <v>6769.0067000000017</v>
      </c>
      <c r="X4" s="70"/>
      <c r="Y4" s="61"/>
      <c r="Z4" s="61" t="s">
        <v>2</v>
      </c>
      <c r="AA4" s="61">
        <f>AB4+AE4+AH4</f>
        <v>-25.2</v>
      </c>
      <c r="AB4" s="61">
        <f>SUM(AB7:AB1060)</f>
        <v>-11.22</v>
      </c>
      <c r="AC4" s="61"/>
      <c r="AD4" s="116">
        <f>SUM(AD7:AD1060)</f>
        <v>-0.3448</v>
      </c>
      <c r="AE4" s="61">
        <f>SUM(AE7:AE1060)</f>
        <v>-10.62</v>
      </c>
      <c r="AF4" s="61"/>
      <c r="AG4" s="116">
        <f>SUM(AG7:AG1060)</f>
        <v>-0.32679999999999998</v>
      </c>
      <c r="AH4" s="61">
        <f t="shared" ref="AH4" si="0">SUM(AH7:AH106)</f>
        <v>-3.36</v>
      </c>
      <c r="AI4" s="61"/>
      <c r="AJ4" s="116">
        <f>SUM(AJ7:AJ1060)</f>
        <v>-0.32350000000000001</v>
      </c>
    </row>
    <row r="5" spans="1:38" s="7" customFormat="1" ht="90.75" customHeight="1" thickBot="1" x14ac:dyDescent="0.3">
      <c r="A5" s="373"/>
      <c r="B5" s="373"/>
      <c r="C5" s="373"/>
      <c r="E5" s="10"/>
      <c r="F5" s="9" t="s">
        <v>63</v>
      </c>
      <c r="G5" s="9" t="s">
        <v>60</v>
      </c>
      <c r="H5" s="2" t="s">
        <v>63</v>
      </c>
      <c r="I5" s="9" t="s">
        <v>60</v>
      </c>
      <c r="J5" s="9" t="s">
        <v>61</v>
      </c>
      <c r="K5" s="9" t="s">
        <v>49</v>
      </c>
      <c r="L5" s="10"/>
      <c r="M5" s="57" t="s">
        <v>63</v>
      </c>
      <c r="N5" s="57" t="s">
        <v>60</v>
      </c>
      <c r="O5" s="57" t="s">
        <v>99</v>
      </c>
      <c r="P5" s="57" t="s">
        <v>100</v>
      </c>
      <c r="Q5" s="57" t="s">
        <v>101</v>
      </c>
      <c r="R5" s="57" t="s">
        <v>102</v>
      </c>
      <c r="S5" s="57" t="s">
        <v>103</v>
      </c>
      <c r="T5" s="57" t="s">
        <v>104</v>
      </c>
      <c r="U5" s="57" t="s">
        <v>105</v>
      </c>
      <c r="V5" s="57" t="s">
        <v>106</v>
      </c>
      <c r="W5" s="57" t="s">
        <v>107</v>
      </c>
      <c r="X5" s="71"/>
      <c r="Y5" s="62" t="s">
        <v>63</v>
      </c>
      <c r="Z5" s="62" t="s">
        <v>60</v>
      </c>
      <c r="AA5" s="62" t="s">
        <v>337</v>
      </c>
      <c r="AB5" s="62" t="s">
        <v>99</v>
      </c>
      <c r="AC5" s="62" t="s">
        <v>100</v>
      </c>
      <c r="AD5" s="62" t="s">
        <v>101</v>
      </c>
      <c r="AE5" s="62" t="s">
        <v>102</v>
      </c>
      <c r="AF5" s="62" t="s">
        <v>103</v>
      </c>
      <c r="AG5" s="62" t="s">
        <v>104</v>
      </c>
      <c r="AH5" s="62" t="s">
        <v>105</v>
      </c>
      <c r="AI5" s="62" t="s">
        <v>106</v>
      </c>
      <c r="AJ5" s="62" t="s">
        <v>107</v>
      </c>
      <c r="AL5" s="125">
        <f>SUM(AL6:AL305)</f>
        <v>-51000</v>
      </c>
    </row>
    <row r="6" spans="1:38" x14ac:dyDescent="0.25">
      <c r="A6" s="377" t="s">
        <v>157</v>
      </c>
      <c r="B6" s="378"/>
      <c r="C6" s="379"/>
      <c r="F6" s="8">
        <v>42095</v>
      </c>
      <c r="G6" s="89" t="s">
        <v>64</v>
      </c>
      <c r="H6" s="1" t="s">
        <v>65</v>
      </c>
      <c r="I6" s="47" t="s">
        <v>65</v>
      </c>
      <c r="J6" s="47" t="s">
        <v>65</v>
      </c>
      <c r="K6" s="47">
        <v>0</v>
      </c>
      <c r="M6" s="58" t="s">
        <v>108</v>
      </c>
      <c r="N6" s="58" t="s">
        <v>109</v>
      </c>
      <c r="O6" s="58" t="s">
        <v>65</v>
      </c>
      <c r="Q6" s="58">
        <v>0</v>
      </c>
      <c r="R6" s="58" t="s">
        <v>65</v>
      </c>
      <c r="T6" s="58">
        <v>0</v>
      </c>
      <c r="U6" s="58" t="s">
        <v>65</v>
      </c>
      <c r="W6" s="58">
        <v>0</v>
      </c>
    </row>
    <row r="7" spans="1:38" x14ac:dyDescent="0.25">
      <c r="A7" s="380"/>
      <c r="B7" s="373"/>
      <c r="C7" s="381"/>
      <c r="F7" s="8">
        <v>42451</v>
      </c>
      <c r="G7" s="89" t="s">
        <v>66</v>
      </c>
      <c r="H7" s="90" t="s">
        <v>67</v>
      </c>
      <c r="I7" s="47">
        <v>2446</v>
      </c>
      <c r="J7" s="47">
        <v>2446</v>
      </c>
      <c r="K7" s="47">
        <v>4892</v>
      </c>
      <c r="M7" s="58" t="s">
        <v>110</v>
      </c>
      <c r="N7" s="58" t="s">
        <v>111</v>
      </c>
      <c r="O7" s="58">
        <v>1663.28</v>
      </c>
      <c r="P7" s="58">
        <v>18.626899999999999</v>
      </c>
      <c r="Q7" s="58">
        <v>89.294499999999999</v>
      </c>
      <c r="R7" s="58">
        <v>1565.44</v>
      </c>
      <c r="S7" s="58">
        <v>18.659600000000001</v>
      </c>
      <c r="T7" s="58">
        <v>83.894599999999997</v>
      </c>
      <c r="U7" s="58">
        <v>1663.28</v>
      </c>
      <c r="V7" s="58">
        <v>18.846399999999999</v>
      </c>
      <c r="W7" s="58">
        <v>88.254499999999993</v>
      </c>
      <c r="AL7" s="47">
        <f>I7+J7-O7-R7-U7</f>
        <v>0</v>
      </c>
    </row>
    <row r="8" spans="1:38" x14ac:dyDescent="0.25">
      <c r="A8" s="46" t="s">
        <v>90</v>
      </c>
      <c r="B8" s="45">
        <f>COUNTA(F7:F1000)</f>
        <v>109</v>
      </c>
      <c r="C8" s="51"/>
      <c r="F8" s="8">
        <v>42459</v>
      </c>
      <c r="G8" s="89" t="s">
        <v>68</v>
      </c>
      <c r="H8" s="90" t="s">
        <v>67</v>
      </c>
      <c r="I8" s="47">
        <v>2446</v>
      </c>
      <c r="J8" s="47">
        <v>2446</v>
      </c>
      <c r="K8" s="47">
        <v>4892</v>
      </c>
      <c r="M8" s="58" t="s">
        <v>112</v>
      </c>
      <c r="N8" s="58" t="s">
        <v>113</v>
      </c>
      <c r="O8" s="58">
        <v>1663.28</v>
      </c>
      <c r="P8" s="58">
        <v>18.654900000000001</v>
      </c>
      <c r="Q8" s="58">
        <v>89.160399999999996</v>
      </c>
      <c r="R8" s="58">
        <v>1565.44</v>
      </c>
      <c r="S8" s="58">
        <v>18.6938</v>
      </c>
      <c r="T8" s="58">
        <v>83.741100000000003</v>
      </c>
      <c r="U8" s="58">
        <v>1663.28</v>
      </c>
      <c r="V8" s="58">
        <v>18.869599999999998</v>
      </c>
      <c r="W8" s="58">
        <v>88.146000000000001</v>
      </c>
      <c r="AL8" s="47">
        <f t="shared" ref="AL8:AL71" si="1">I8+J8-O8-R8-U8</f>
        <v>0</v>
      </c>
    </row>
    <row r="9" spans="1:38" x14ac:dyDescent="0.25">
      <c r="A9" s="46" t="s">
        <v>159</v>
      </c>
      <c r="B9" s="45">
        <f>I4</f>
        <v>239958</v>
      </c>
      <c r="C9" s="13"/>
      <c r="F9" s="8">
        <v>42459</v>
      </c>
      <c r="G9" s="89" t="s">
        <v>69</v>
      </c>
      <c r="H9" s="90" t="s">
        <v>67</v>
      </c>
      <c r="I9" s="47">
        <v>2446</v>
      </c>
      <c r="J9" s="47">
        <v>2446</v>
      </c>
      <c r="K9" s="47">
        <v>4892</v>
      </c>
      <c r="M9" s="58" t="s">
        <v>112</v>
      </c>
      <c r="N9" s="58" t="s">
        <v>114</v>
      </c>
      <c r="O9" s="58">
        <v>1663.28</v>
      </c>
      <c r="P9" s="58">
        <v>18.654900000000001</v>
      </c>
      <c r="Q9" s="58">
        <v>89.160399999999996</v>
      </c>
      <c r="R9" s="58">
        <v>1565.44</v>
      </c>
      <c r="S9" s="58">
        <v>18.6938</v>
      </c>
      <c r="T9" s="58">
        <v>83.741100000000003</v>
      </c>
      <c r="U9" s="58">
        <v>1663.28</v>
      </c>
      <c r="V9" s="58">
        <v>18.869599999999998</v>
      </c>
      <c r="W9" s="58">
        <v>88.146000000000001</v>
      </c>
      <c r="AL9" s="47">
        <f t="shared" si="1"/>
        <v>0</v>
      </c>
    </row>
    <row r="10" spans="1:38" x14ac:dyDescent="0.25">
      <c r="A10" s="46" t="s">
        <v>160</v>
      </c>
      <c r="B10" s="45">
        <f>J4</f>
        <v>239958</v>
      </c>
      <c r="C10" s="13"/>
      <c r="F10" s="8">
        <v>42487</v>
      </c>
      <c r="G10" s="89" t="s">
        <v>70</v>
      </c>
      <c r="H10" s="90" t="s">
        <v>67</v>
      </c>
      <c r="I10" s="47">
        <v>5463</v>
      </c>
      <c r="J10" s="47">
        <v>5463</v>
      </c>
      <c r="K10" s="47">
        <v>10926</v>
      </c>
      <c r="M10" s="58" t="s">
        <v>115</v>
      </c>
      <c r="N10" s="58" t="s">
        <v>116</v>
      </c>
      <c r="O10" s="58">
        <v>3714.84</v>
      </c>
      <c r="P10" s="58">
        <v>18.9511</v>
      </c>
      <c r="Q10" s="58">
        <v>196.0223</v>
      </c>
      <c r="R10" s="58">
        <v>3496.32</v>
      </c>
      <c r="S10" s="58">
        <v>18.983000000000001</v>
      </c>
      <c r="T10" s="58">
        <v>184.1816</v>
      </c>
      <c r="U10" s="58">
        <v>3714.84</v>
      </c>
      <c r="V10" s="58">
        <v>19.184100000000001</v>
      </c>
      <c r="W10" s="58">
        <v>193.64160000000001</v>
      </c>
      <c r="AL10" s="47">
        <f t="shared" si="1"/>
        <v>0</v>
      </c>
    </row>
    <row r="11" spans="1:38" ht="15.75" thickBot="1" x14ac:dyDescent="0.3">
      <c r="A11" s="37" t="s">
        <v>161</v>
      </c>
      <c r="B11" s="11">
        <f>K4</f>
        <v>530916</v>
      </c>
      <c r="C11" s="14"/>
      <c r="F11" s="8">
        <v>42503</v>
      </c>
      <c r="G11" s="89" t="s">
        <v>71</v>
      </c>
      <c r="H11" s="90" t="s">
        <v>67</v>
      </c>
      <c r="I11" s="47">
        <v>2446</v>
      </c>
      <c r="J11" s="47">
        <v>2446</v>
      </c>
      <c r="K11" s="47">
        <v>4892</v>
      </c>
      <c r="M11" s="58" t="s">
        <v>117</v>
      </c>
      <c r="N11" s="58" t="s">
        <v>118</v>
      </c>
      <c r="O11" s="58">
        <v>1663.28</v>
      </c>
      <c r="P11" s="58">
        <v>18.985299999999999</v>
      </c>
      <c r="Q11" s="58">
        <v>87.608800000000002</v>
      </c>
      <c r="R11" s="58">
        <v>1565.44</v>
      </c>
      <c r="S11" s="58">
        <v>19.029199999999999</v>
      </c>
      <c r="T11" s="58">
        <v>82.265100000000004</v>
      </c>
      <c r="U11" s="58">
        <v>1663.28</v>
      </c>
      <c r="V11" s="58">
        <v>19.215</v>
      </c>
      <c r="W11" s="58">
        <v>86.561499999999995</v>
      </c>
      <c r="AL11" s="47">
        <f t="shared" si="1"/>
        <v>0</v>
      </c>
    </row>
    <row r="12" spans="1:38" ht="15.75" thickBot="1" x14ac:dyDescent="0.3">
      <c r="F12" s="8">
        <v>42520</v>
      </c>
      <c r="G12" s="89" t="s">
        <v>72</v>
      </c>
      <c r="H12" s="90" t="s">
        <v>67</v>
      </c>
      <c r="I12" s="47">
        <v>2513</v>
      </c>
      <c r="J12" s="47">
        <v>2513</v>
      </c>
      <c r="K12" s="47">
        <v>5026</v>
      </c>
      <c r="M12" s="58" t="s">
        <v>119</v>
      </c>
      <c r="N12" s="58" t="s">
        <v>120</v>
      </c>
      <c r="O12" s="58">
        <v>1708.84</v>
      </c>
      <c r="P12" s="58">
        <v>19.118500000000001</v>
      </c>
      <c r="Q12" s="58">
        <v>89.381399999999999</v>
      </c>
      <c r="R12" s="58">
        <v>1608.32</v>
      </c>
      <c r="S12" s="58">
        <v>19.1706</v>
      </c>
      <c r="T12" s="58">
        <v>83.895099999999999</v>
      </c>
      <c r="U12" s="58">
        <v>1708.84</v>
      </c>
      <c r="V12" s="58">
        <v>19.348199999999999</v>
      </c>
      <c r="W12" s="58">
        <v>88.320300000000003</v>
      </c>
      <c r="AL12" s="47">
        <f t="shared" si="1"/>
        <v>0</v>
      </c>
    </row>
    <row r="13" spans="1:38" x14ac:dyDescent="0.25">
      <c r="A13" s="363" t="s">
        <v>158</v>
      </c>
      <c r="B13" s="364"/>
      <c r="C13" s="365"/>
      <c r="F13" s="8">
        <v>42570</v>
      </c>
      <c r="G13" s="89" t="s">
        <v>73</v>
      </c>
      <c r="H13" s="90" t="s">
        <v>67</v>
      </c>
      <c r="I13" s="47">
        <v>2513</v>
      </c>
      <c r="J13" s="47">
        <v>2513</v>
      </c>
      <c r="K13" s="47">
        <v>5026</v>
      </c>
      <c r="M13" s="58" t="s">
        <v>121</v>
      </c>
      <c r="N13" s="58" t="s">
        <v>122</v>
      </c>
      <c r="O13" s="58">
        <v>1708.84</v>
      </c>
      <c r="P13" s="58">
        <v>19.719100000000001</v>
      </c>
      <c r="Q13" s="58">
        <v>86.659099999999995</v>
      </c>
      <c r="R13" s="58">
        <v>1608.32</v>
      </c>
      <c r="S13" s="58">
        <v>19.7928</v>
      </c>
      <c r="T13" s="58">
        <v>81.257800000000003</v>
      </c>
      <c r="U13" s="58">
        <v>1708.84</v>
      </c>
      <c r="V13" s="58">
        <v>19.952500000000001</v>
      </c>
      <c r="W13" s="58">
        <v>85.645399999999995</v>
      </c>
      <c r="AL13" s="47">
        <f t="shared" si="1"/>
        <v>0</v>
      </c>
    </row>
    <row r="14" spans="1:38" x14ac:dyDescent="0.25">
      <c r="A14" s="366"/>
      <c r="B14" s="367"/>
      <c r="C14" s="368"/>
      <c r="F14" s="8">
        <v>42586</v>
      </c>
      <c r="G14" s="89" t="s">
        <v>74</v>
      </c>
      <c r="H14" s="90" t="s">
        <v>67</v>
      </c>
      <c r="I14" s="47">
        <v>2513</v>
      </c>
      <c r="J14" s="47">
        <v>2513</v>
      </c>
      <c r="K14" s="47">
        <v>5026</v>
      </c>
      <c r="M14" s="58" t="s">
        <v>123</v>
      </c>
      <c r="N14" s="58" t="s">
        <v>124</v>
      </c>
      <c r="O14" s="58">
        <v>1708.84</v>
      </c>
      <c r="P14" s="58">
        <v>20.036999999999999</v>
      </c>
      <c r="Q14" s="58">
        <v>85.284199999999998</v>
      </c>
      <c r="R14" s="58">
        <v>1608.32</v>
      </c>
      <c r="S14" s="58">
        <v>20.105399999999999</v>
      </c>
      <c r="T14" s="58">
        <v>79.994399999999999</v>
      </c>
      <c r="U14" s="58">
        <v>1708.84</v>
      </c>
      <c r="V14" s="58">
        <v>20.2653</v>
      </c>
      <c r="W14" s="58">
        <v>84.323400000000007</v>
      </c>
      <c r="AL14" s="47">
        <f t="shared" si="1"/>
        <v>0</v>
      </c>
    </row>
    <row r="15" spans="1:38" x14ac:dyDescent="0.25">
      <c r="A15" s="46"/>
      <c r="C15" s="48"/>
      <c r="F15" s="8">
        <v>42612</v>
      </c>
      <c r="G15" s="89" t="s">
        <v>75</v>
      </c>
      <c r="H15" s="90" t="s">
        <v>67</v>
      </c>
      <c r="I15" s="47">
        <v>2513</v>
      </c>
      <c r="J15" s="47">
        <v>2513</v>
      </c>
      <c r="K15" s="47">
        <v>5026</v>
      </c>
      <c r="M15" s="58" t="s">
        <v>125</v>
      </c>
      <c r="N15" s="58" t="s">
        <v>126</v>
      </c>
      <c r="O15" s="58">
        <v>1708.84</v>
      </c>
      <c r="P15" s="58">
        <v>20.369599999999998</v>
      </c>
      <c r="Q15" s="58">
        <v>83.891599999999997</v>
      </c>
      <c r="R15" s="58">
        <v>1608.32</v>
      </c>
      <c r="S15" s="58">
        <v>20.4373</v>
      </c>
      <c r="T15" s="58">
        <v>78.695300000000003</v>
      </c>
      <c r="U15" s="58">
        <v>1708.84</v>
      </c>
      <c r="V15" s="58">
        <v>20.609400000000001</v>
      </c>
      <c r="W15" s="58">
        <v>82.915499999999994</v>
      </c>
      <c r="AL15" s="47">
        <f t="shared" si="1"/>
        <v>0</v>
      </c>
    </row>
    <row r="16" spans="1:38" ht="15.75" thickBot="1" x14ac:dyDescent="0.3">
      <c r="A16" s="46" t="s">
        <v>90</v>
      </c>
      <c r="B16" s="45">
        <f>COUNTA(M7:M1000)</f>
        <v>109</v>
      </c>
      <c r="C16" s="48"/>
      <c r="F16" s="8">
        <v>42642</v>
      </c>
      <c r="G16" s="89" t="s">
        <v>76</v>
      </c>
      <c r="H16" s="90" t="s">
        <v>67</v>
      </c>
      <c r="I16" s="47">
        <v>2590</v>
      </c>
      <c r="J16" s="47">
        <v>2590</v>
      </c>
      <c r="K16" s="47">
        <v>5180</v>
      </c>
      <c r="M16" s="58" t="s">
        <v>127</v>
      </c>
      <c r="N16" s="58" t="s">
        <v>128</v>
      </c>
      <c r="O16" s="58">
        <v>1761.2</v>
      </c>
      <c r="P16" s="58">
        <v>20.5731</v>
      </c>
      <c r="Q16" s="58">
        <v>85.606899999999996</v>
      </c>
      <c r="R16" s="58">
        <v>1657.6</v>
      </c>
      <c r="S16" s="58">
        <v>20.616800000000001</v>
      </c>
      <c r="T16" s="58">
        <v>80.400400000000005</v>
      </c>
      <c r="U16" s="58">
        <v>1761.2</v>
      </c>
      <c r="V16" s="58">
        <v>20.8065</v>
      </c>
      <c r="W16" s="58">
        <v>84.646600000000007</v>
      </c>
      <c r="AL16" s="47">
        <f t="shared" si="1"/>
        <v>0</v>
      </c>
    </row>
    <row r="17" spans="1:38" x14ac:dyDescent="0.25">
      <c r="A17" s="374" t="s">
        <v>91</v>
      </c>
      <c r="B17" s="49" t="str">
        <f>O2</f>
        <v>SBI</v>
      </c>
      <c r="C17" s="50">
        <f>O4</f>
        <v>185707.54</v>
      </c>
      <c r="F17" s="8">
        <v>42653</v>
      </c>
      <c r="G17" s="89" t="s">
        <v>70</v>
      </c>
      <c r="H17" s="90" t="s">
        <v>67</v>
      </c>
      <c r="I17" s="47">
        <v>77</v>
      </c>
      <c r="J17" s="47">
        <v>77</v>
      </c>
      <c r="K17" s="47">
        <v>154</v>
      </c>
      <c r="M17" s="58" t="s">
        <v>129</v>
      </c>
      <c r="N17" s="58" t="s">
        <v>116</v>
      </c>
      <c r="O17" s="58">
        <v>52.36</v>
      </c>
      <c r="P17" s="58">
        <v>20.801200000000001</v>
      </c>
      <c r="Q17" s="58">
        <v>2.5171000000000001</v>
      </c>
      <c r="R17" s="58">
        <v>49.28</v>
      </c>
      <c r="S17" s="58">
        <v>20.857900000000001</v>
      </c>
      <c r="T17" s="58">
        <v>2.3626</v>
      </c>
      <c r="U17" s="58">
        <v>52.36</v>
      </c>
      <c r="V17" s="58">
        <v>21.032299999999999</v>
      </c>
      <c r="W17" s="58">
        <v>2.4895</v>
      </c>
      <c r="AL17" s="47">
        <f t="shared" si="1"/>
        <v>0</v>
      </c>
    </row>
    <row r="18" spans="1:38" x14ac:dyDescent="0.25">
      <c r="A18" s="375"/>
      <c r="B18" s="45" t="str">
        <f>R2</f>
        <v>UTI</v>
      </c>
      <c r="C18" s="51">
        <f>R4</f>
        <v>171326.70999999988</v>
      </c>
      <c r="F18" s="8">
        <v>42667</v>
      </c>
      <c r="G18" s="89" t="s">
        <v>77</v>
      </c>
      <c r="H18" s="90" t="s">
        <v>67</v>
      </c>
      <c r="I18" s="47">
        <v>2590</v>
      </c>
      <c r="J18" s="47">
        <v>2590</v>
      </c>
      <c r="K18" s="47">
        <v>5180</v>
      </c>
      <c r="M18" s="58" t="s">
        <v>130</v>
      </c>
      <c r="N18" s="58" t="s">
        <v>131</v>
      </c>
      <c r="O18" s="58">
        <v>1761.2</v>
      </c>
      <c r="P18" s="58">
        <v>20.764900000000001</v>
      </c>
      <c r="Q18" s="58">
        <v>84.816199999999995</v>
      </c>
      <c r="R18" s="58">
        <v>1657.6</v>
      </c>
      <c r="S18" s="58">
        <v>20.837700000000002</v>
      </c>
      <c r="T18" s="58">
        <v>79.548100000000005</v>
      </c>
      <c r="U18" s="58">
        <v>1761.2</v>
      </c>
      <c r="V18" s="58">
        <v>21.015499999999999</v>
      </c>
      <c r="W18" s="58">
        <v>83.8048</v>
      </c>
      <c r="AL18" s="47">
        <f t="shared" si="1"/>
        <v>0</v>
      </c>
    </row>
    <row r="19" spans="1:38" x14ac:dyDescent="0.25">
      <c r="A19" s="375"/>
      <c r="B19" s="45" t="str">
        <f>U2</f>
        <v>LIC</v>
      </c>
      <c r="C19" s="51">
        <f>U4</f>
        <v>173881.75000000012</v>
      </c>
      <c r="F19" s="8">
        <v>42692</v>
      </c>
      <c r="G19" s="89" t="s">
        <v>78</v>
      </c>
      <c r="H19" s="90" t="s">
        <v>67</v>
      </c>
      <c r="I19" s="47">
        <v>2590</v>
      </c>
      <c r="J19" s="47">
        <v>2590</v>
      </c>
      <c r="K19" s="47">
        <v>5180</v>
      </c>
      <c r="M19" s="58" t="s">
        <v>132</v>
      </c>
      <c r="N19" s="58" t="s">
        <v>133</v>
      </c>
      <c r="O19" s="58">
        <v>1813</v>
      </c>
      <c r="P19" s="58">
        <v>21.056899999999999</v>
      </c>
      <c r="Q19" s="58">
        <v>86.1</v>
      </c>
      <c r="R19" s="58">
        <v>1735.3</v>
      </c>
      <c r="S19" s="58">
        <v>21.043399999999998</v>
      </c>
      <c r="T19" s="58">
        <v>82.462900000000005</v>
      </c>
      <c r="U19" s="58">
        <v>1631.7</v>
      </c>
      <c r="V19" s="58">
        <v>21.256699999999999</v>
      </c>
      <c r="W19" s="58">
        <v>76.761600000000001</v>
      </c>
      <c r="AL19" s="47">
        <f t="shared" si="1"/>
        <v>0</v>
      </c>
    </row>
    <row r="20" spans="1:38" ht="30.75" thickBot="1" x14ac:dyDescent="0.3">
      <c r="A20" s="376"/>
      <c r="B20" s="11" t="s">
        <v>2</v>
      </c>
      <c r="C20" s="12">
        <f>SUM(C17:C19)</f>
        <v>530916</v>
      </c>
      <c r="F20" s="8">
        <v>42698</v>
      </c>
      <c r="G20" s="89" t="s">
        <v>79</v>
      </c>
      <c r="H20" s="90" t="s">
        <v>67</v>
      </c>
      <c r="I20" s="47">
        <v>201</v>
      </c>
      <c r="J20" s="47">
        <v>201</v>
      </c>
      <c r="K20" s="47">
        <v>402</v>
      </c>
      <c r="M20" s="58" t="s">
        <v>134</v>
      </c>
      <c r="N20" s="58" t="s">
        <v>135</v>
      </c>
      <c r="O20" s="58">
        <v>140.69999999999999</v>
      </c>
      <c r="P20" s="58">
        <v>21.404900000000001</v>
      </c>
      <c r="Q20" s="58">
        <v>6.5731999999999999</v>
      </c>
      <c r="R20" s="58">
        <v>134.66999999999999</v>
      </c>
      <c r="S20" s="58">
        <v>21.381</v>
      </c>
      <c r="T20" s="58">
        <v>6.2984999999999998</v>
      </c>
      <c r="U20" s="58">
        <v>126.63</v>
      </c>
      <c r="V20" s="58">
        <v>21.601299999999998</v>
      </c>
      <c r="W20" s="58">
        <v>5.8620999999999999</v>
      </c>
      <c r="AL20" s="47">
        <f t="shared" si="1"/>
        <v>0</v>
      </c>
    </row>
    <row r="21" spans="1:38" ht="15.75" thickBot="1" x14ac:dyDescent="0.3">
      <c r="F21" s="8">
        <v>42731</v>
      </c>
      <c r="G21" s="89" t="s">
        <v>80</v>
      </c>
      <c r="H21" s="90" t="s">
        <v>67</v>
      </c>
      <c r="I21" s="47">
        <v>2670</v>
      </c>
      <c r="J21" s="47">
        <v>2670</v>
      </c>
      <c r="K21" s="47">
        <v>5340</v>
      </c>
      <c r="M21" s="58" t="s">
        <v>136</v>
      </c>
      <c r="N21" s="58" t="s">
        <v>137</v>
      </c>
      <c r="O21" s="58">
        <v>1869</v>
      </c>
      <c r="P21" s="58">
        <v>20.787400000000002</v>
      </c>
      <c r="Q21" s="58">
        <v>89.910200000000003</v>
      </c>
      <c r="R21" s="58">
        <v>1788.9</v>
      </c>
      <c r="S21" s="58">
        <v>20.7746</v>
      </c>
      <c r="T21" s="58">
        <v>86.109899999999996</v>
      </c>
      <c r="U21" s="58">
        <v>1682.1</v>
      </c>
      <c r="V21" s="58">
        <v>20.944500000000001</v>
      </c>
      <c r="W21" s="58">
        <v>80.312200000000004</v>
      </c>
      <c r="AL21" s="47">
        <f t="shared" si="1"/>
        <v>0</v>
      </c>
    </row>
    <row r="22" spans="1:38" ht="45" x14ac:dyDescent="0.25">
      <c r="A22" s="363" t="s">
        <v>330</v>
      </c>
      <c r="B22" s="364"/>
      <c r="C22" s="365"/>
      <c r="F22" s="8">
        <v>42731</v>
      </c>
      <c r="G22" s="89" t="s">
        <v>81</v>
      </c>
      <c r="H22" s="90" t="s">
        <v>67</v>
      </c>
      <c r="I22" s="47">
        <v>324</v>
      </c>
      <c r="J22" s="47">
        <v>324</v>
      </c>
      <c r="K22" s="47">
        <v>648</v>
      </c>
      <c r="M22" s="58" t="s">
        <v>136</v>
      </c>
      <c r="N22" s="58" t="s">
        <v>138</v>
      </c>
      <c r="O22" s="58">
        <v>226.8</v>
      </c>
      <c r="P22" s="58">
        <v>20.787400000000002</v>
      </c>
      <c r="Q22" s="58">
        <v>10.910399999999999</v>
      </c>
      <c r="R22" s="58">
        <v>217.08</v>
      </c>
      <c r="S22" s="58">
        <v>20.7746</v>
      </c>
      <c r="T22" s="58">
        <v>10.449199999999999</v>
      </c>
      <c r="U22" s="58">
        <v>204.12</v>
      </c>
      <c r="V22" s="58">
        <v>20.944500000000001</v>
      </c>
      <c r="W22" s="58">
        <v>9.7456999999999994</v>
      </c>
      <c r="AL22" s="47">
        <f t="shared" si="1"/>
        <v>0</v>
      </c>
    </row>
    <row r="23" spans="1:38" x14ac:dyDescent="0.25">
      <c r="A23" s="366"/>
      <c r="B23" s="367"/>
      <c r="C23" s="368"/>
      <c r="F23" s="8">
        <v>42760</v>
      </c>
      <c r="G23" s="89" t="s">
        <v>82</v>
      </c>
      <c r="H23" s="90" t="s">
        <v>67</v>
      </c>
      <c r="I23" s="47">
        <v>2670</v>
      </c>
      <c r="J23" s="47">
        <v>2670</v>
      </c>
      <c r="K23" s="47">
        <v>5340</v>
      </c>
      <c r="M23" s="58" t="s">
        <v>139</v>
      </c>
      <c r="N23" s="58" t="s">
        <v>140</v>
      </c>
      <c r="O23" s="58">
        <v>1869</v>
      </c>
      <c r="P23" s="58">
        <v>21.222200000000001</v>
      </c>
      <c r="Q23" s="58">
        <v>88.068100000000001</v>
      </c>
      <c r="R23" s="58">
        <v>1788.9</v>
      </c>
      <c r="S23" s="58">
        <v>21.236699999999999</v>
      </c>
      <c r="T23" s="58">
        <v>84.236199999999997</v>
      </c>
      <c r="U23" s="58">
        <v>1682.1</v>
      </c>
      <c r="V23" s="58">
        <v>21.4283</v>
      </c>
      <c r="W23" s="58">
        <v>78.498900000000006</v>
      </c>
      <c r="AL23" s="47">
        <f t="shared" si="1"/>
        <v>0</v>
      </c>
    </row>
    <row r="24" spans="1:38" x14ac:dyDescent="0.25">
      <c r="A24" s="46"/>
      <c r="C24" s="48"/>
      <c r="F24" s="8">
        <v>42794</v>
      </c>
      <c r="G24" s="89" t="s">
        <v>83</v>
      </c>
      <c r="H24" s="90" t="s">
        <v>67</v>
      </c>
      <c r="I24" s="47">
        <v>2670</v>
      </c>
      <c r="J24" s="47">
        <v>2670</v>
      </c>
      <c r="K24" s="47">
        <v>5340</v>
      </c>
      <c r="M24" s="58" t="s">
        <v>141</v>
      </c>
      <c r="N24" s="58" t="s">
        <v>142</v>
      </c>
      <c r="O24" s="58">
        <v>1869</v>
      </c>
      <c r="P24" s="58">
        <v>20.8415</v>
      </c>
      <c r="Q24" s="58">
        <v>89.6768</v>
      </c>
      <c r="R24" s="58">
        <v>1788.9</v>
      </c>
      <c r="S24" s="58">
        <v>20.928599999999999</v>
      </c>
      <c r="T24" s="58">
        <v>85.476299999999995</v>
      </c>
      <c r="U24" s="58">
        <v>1682.1</v>
      </c>
      <c r="V24" s="58">
        <v>21.1066</v>
      </c>
      <c r="W24" s="58">
        <v>79.695400000000006</v>
      </c>
      <c r="AL24" s="47">
        <f t="shared" si="1"/>
        <v>0</v>
      </c>
    </row>
    <row r="25" spans="1:38" ht="15.75" thickBot="1" x14ac:dyDescent="0.3">
      <c r="A25" s="46" t="s">
        <v>331</v>
      </c>
      <c r="B25" s="45">
        <f>COUNTA(Y16:Y1000)</f>
        <v>2</v>
      </c>
      <c r="C25" s="48"/>
      <c r="F25" s="8">
        <v>42821</v>
      </c>
      <c r="G25" s="89" t="s">
        <v>84</v>
      </c>
      <c r="H25" s="90" t="s">
        <v>67</v>
      </c>
      <c r="I25" s="47">
        <v>2670</v>
      </c>
      <c r="J25" s="47">
        <v>2670</v>
      </c>
      <c r="K25" s="47">
        <v>5340</v>
      </c>
      <c r="M25" s="58" t="s">
        <v>143</v>
      </c>
      <c r="N25" s="58" t="s">
        <v>144</v>
      </c>
      <c r="O25" s="58">
        <v>1869</v>
      </c>
      <c r="P25" s="58">
        <v>21.0947</v>
      </c>
      <c r="Q25" s="58">
        <v>88.600399999999993</v>
      </c>
      <c r="R25" s="58">
        <v>1788.9</v>
      </c>
      <c r="S25" s="58">
        <v>21.1831</v>
      </c>
      <c r="T25" s="58">
        <v>84.449299999999994</v>
      </c>
      <c r="U25" s="58">
        <v>1682.1</v>
      </c>
      <c r="V25" s="58">
        <v>21.362400000000001</v>
      </c>
      <c r="W25" s="58">
        <v>78.741100000000003</v>
      </c>
      <c r="AL25" s="47">
        <f t="shared" si="1"/>
        <v>0</v>
      </c>
    </row>
    <row r="26" spans="1:38" x14ac:dyDescent="0.25">
      <c r="A26" s="374" t="s">
        <v>332</v>
      </c>
      <c r="B26" s="49" t="str">
        <f>AB2</f>
        <v>SBI</v>
      </c>
      <c r="C26" s="50">
        <f>AE4</f>
        <v>-10.62</v>
      </c>
      <c r="F26" s="8">
        <v>42845</v>
      </c>
      <c r="G26" s="89" t="s">
        <v>85</v>
      </c>
      <c r="H26" s="90" t="s">
        <v>67</v>
      </c>
      <c r="I26" s="47">
        <v>2670</v>
      </c>
      <c r="J26" s="47">
        <v>2670</v>
      </c>
      <c r="K26" s="47">
        <v>5340</v>
      </c>
      <c r="M26" s="58" t="s">
        <v>145</v>
      </c>
      <c r="N26" s="58" t="s">
        <v>146</v>
      </c>
      <c r="O26" s="58">
        <v>1869</v>
      </c>
      <c r="P26" s="58">
        <v>21.1828</v>
      </c>
      <c r="Q26" s="58">
        <v>88.231899999999996</v>
      </c>
      <c r="R26" s="58">
        <v>1788.9</v>
      </c>
      <c r="S26" s="58">
        <v>21.280899999999999</v>
      </c>
      <c r="T26" s="58">
        <v>84.061199999999999</v>
      </c>
      <c r="U26" s="58">
        <v>1682.1</v>
      </c>
      <c r="V26" s="58">
        <v>21.451799999999999</v>
      </c>
      <c r="W26" s="58">
        <v>78.412999999999997</v>
      </c>
      <c r="AL26" s="47">
        <f t="shared" si="1"/>
        <v>0</v>
      </c>
    </row>
    <row r="27" spans="1:38" ht="30" x14ac:dyDescent="0.25">
      <c r="A27" s="375"/>
      <c r="B27" s="45" t="str">
        <f>AE2</f>
        <v>UTI</v>
      </c>
      <c r="C27" s="51">
        <f>AH4</f>
        <v>-3.36</v>
      </c>
      <c r="F27" s="8">
        <v>42870</v>
      </c>
      <c r="G27" s="89" t="s">
        <v>79</v>
      </c>
      <c r="H27" s="90" t="s">
        <v>67</v>
      </c>
      <c r="I27" s="47">
        <v>138</v>
      </c>
      <c r="J27" s="47">
        <v>138</v>
      </c>
      <c r="K27" s="47">
        <v>276</v>
      </c>
      <c r="M27" s="58" t="s">
        <v>147</v>
      </c>
      <c r="N27" s="58" t="s">
        <v>135</v>
      </c>
      <c r="O27" s="58">
        <v>96.6</v>
      </c>
      <c r="P27" s="58">
        <v>21.371700000000001</v>
      </c>
      <c r="Q27" s="58">
        <v>4.5198999999999998</v>
      </c>
      <c r="R27" s="58">
        <v>92.46</v>
      </c>
      <c r="S27" s="58">
        <v>21.485900000000001</v>
      </c>
      <c r="T27" s="58">
        <v>4.3032000000000004</v>
      </c>
      <c r="U27" s="58">
        <v>86.94</v>
      </c>
      <c r="V27" s="58">
        <v>21.654</v>
      </c>
      <c r="W27" s="58">
        <v>4.0148999999999999</v>
      </c>
      <c r="AL27" s="47">
        <f t="shared" si="1"/>
        <v>0</v>
      </c>
    </row>
    <row r="28" spans="1:38" x14ac:dyDescent="0.25">
      <c r="A28" s="375"/>
      <c r="B28" s="45" t="str">
        <f>AH2</f>
        <v>LIC</v>
      </c>
      <c r="C28" s="51">
        <f>AH4</f>
        <v>-3.36</v>
      </c>
      <c r="F28" s="8">
        <v>42887</v>
      </c>
      <c r="G28" s="89" t="s">
        <v>86</v>
      </c>
      <c r="H28" s="90" t="s">
        <v>67</v>
      </c>
      <c r="I28" s="47">
        <v>2716</v>
      </c>
      <c r="J28" s="47">
        <v>2716</v>
      </c>
      <c r="K28" s="47">
        <v>5432</v>
      </c>
      <c r="M28" s="58" t="s">
        <v>148</v>
      </c>
      <c r="N28" s="58" t="s">
        <v>149</v>
      </c>
      <c r="O28" s="58">
        <v>1901.2</v>
      </c>
      <c r="P28" s="58">
        <v>21.635100000000001</v>
      </c>
      <c r="Q28" s="58">
        <v>87.875699999999995</v>
      </c>
      <c r="R28" s="58">
        <v>1819.72</v>
      </c>
      <c r="S28" s="58">
        <v>21.711200000000002</v>
      </c>
      <c r="T28" s="58">
        <v>83.814800000000005</v>
      </c>
      <c r="U28" s="58">
        <v>1711.08</v>
      </c>
      <c r="V28" s="58">
        <v>21.8932</v>
      </c>
      <c r="W28" s="58">
        <v>78.155699999999996</v>
      </c>
      <c r="AL28" s="47">
        <f t="shared" si="1"/>
        <v>0</v>
      </c>
    </row>
    <row r="29" spans="1:38" ht="15.75" thickBot="1" x14ac:dyDescent="0.3">
      <c r="A29" s="376"/>
      <c r="B29" s="11" t="s">
        <v>2</v>
      </c>
      <c r="C29" s="12">
        <f>SUM(C26:C28)</f>
        <v>-17.34</v>
      </c>
      <c r="F29" s="8">
        <v>42915</v>
      </c>
      <c r="G29" s="89" t="s">
        <v>87</v>
      </c>
      <c r="H29" s="90" t="s">
        <v>67</v>
      </c>
      <c r="I29" s="47">
        <v>2716</v>
      </c>
      <c r="J29" s="47">
        <v>2716</v>
      </c>
      <c r="K29" s="47">
        <v>5432</v>
      </c>
      <c r="M29" s="58" t="s">
        <v>150</v>
      </c>
      <c r="N29" s="58" t="s">
        <v>151</v>
      </c>
      <c r="O29" s="58">
        <v>1901.2</v>
      </c>
      <c r="P29" s="58">
        <v>21.930199999999999</v>
      </c>
      <c r="Q29" s="58">
        <v>86.693200000000004</v>
      </c>
      <c r="R29" s="58">
        <v>1819.72</v>
      </c>
      <c r="S29" s="58">
        <v>21.988099999999999</v>
      </c>
      <c r="T29" s="58">
        <v>82.759299999999996</v>
      </c>
      <c r="U29" s="58">
        <v>1711.08</v>
      </c>
      <c r="V29" s="58">
        <v>22.190300000000001</v>
      </c>
      <c r="W29" s="58">
        <v>77.109300000000005</v>
      </c>
      <c r="AL29" s="47">
        <f t="shared" si="1"/>
        <v>0</v>
      </c>
    </row>
    <row r="30" spans="1:38" ht="15.75" thickBot="1" x14ac:dyDescent="0.3">
      <c r="F30" s="8">
        <v>42942</v>
      </c>
      <c r="G30" s="89" t="s">
        <v>88</v>
      </c>
      <c r="H30" s="90" t="s">
        <v>67</v>
      </c>
      <c r="I30" s="47">
        <v>2716</v>
      </c>
      <c r="J30" s="47">
        <v>2716</v>
      </c>
      <c r="K30" s="47">
        <v>5432</v>
      </c>
      <c r="M30" s="58" t="s">
        <v>152</v>
      </c>
      <c r="N30" s="58" t="s">
        <v>153</v>
      </c>
      <c r="O30" s="58">
        <v>1901.2</v>
      </c>
      <c r="P30" s="58">
        <v>22.2469</v>
      </c>
      <c r="Q30" s="58">
        <v>85.459000000000003</v>
      </c>
      <c r="R30" s="58">
        <v>1819.72</v>
      </c>
      <c r="S30" s="58">
        <v>22.350200000000001</v>
      </c>
      <c r="T30" s="58">
        <v>81.418499999999995</v>
      </c>
      <c r="U30" s="58">
        <v>1711.08</v>
      </c>
      <c r="V30" s="58">
        <v>22.523499999999999</v>
      </c>
      <c r="W30" s="58">
        <v>75.968599999999995</v>
      </c>
      <c r="AL30" s="47">
        <f t="shared" si="1"/>
        <v>0</v>
      </c>
    </row>
    <row r="31" spans="1:38" x14ac:dyDescent="0.25">
      <c r="A31" s="363" t="s">
        <v>333</v>
      </c>
      <c r="B31" s="364"/>
      <c r="C31" s="365"/>
      <c r="F31" s="8">
        <v>42982</v>
      </c>
      <c r="G31" s="89" t="s">
        <v>89</v>
      </c>
      <c r="H31" s="90" t="s">
        <v>67</v>
      </c>
      <c r="I31" s="47">
        <v>2716</v>
      </c>
      <c r="J31" s="47">
        <v>2716</v>
      </c>
      <c r="K31" s="47">
        <v>5432</v>
      </c>
      <c r="M31" s="58" t="s">
        <v>154</v>
      </c>
      <c r="N31" s="58" t="s">
        <v>155</v>
      </c>
      <c r="O31" s="58">
        <v>1901.2</v>
      </c>
      <c r="P31" s="58">
        <v>22.330300000000001</v>
      </c>
      <c r="Q31" s="58">
        <v>85.139899999999997</v>
      </c>
      <c r="R31" s="58">
        <v>1819.72</v>
      </c>
      <c r="S31" s="58">
        <v>22.435199999999998</v>
      </c>
      <c r="T31" s="58">
        <v>81.11</v>
      </c>
      <c r="U31" s="58">
        <v>1711.08</v>
      </c>
      <c r="V31" s="58">
        <v>22.617899999999999</v>
      </c>
      <c r="W31" s="58">
        <v>75.651499999999999</v>
      </c>
      <c r="AL31" s="47">
        <f t="shared" si="1"/>
        <v>0</v>
      </c>
    </row>
    <row r="32" spans="1:38" ht="15.75" thickBot="1" x14ac:dyDescent="0.3">
      <c r="A32" s="366"/>
      <c r="B32" s="367"/>
      <c r="C32" s="368"/>
      <c r="F32" s="8">
        <v>43017</v>
      </c>
      <c r="G32" s="89" t="s">
        <v>164</v>
      </c>
      <c r="H32" s="90" t="s">
        <v>67</v>
      </c>
      <c r="I32" s="47">
        <v>2716</v>
      </c>
      <c r="J32" s="47">
        <v>2716</v>
      </c>
      <c r="K32" s="47">
        <v>5432</v>
      </c>
      <c r="M32" s="58" t="s">
        <v>166</v>
      </c>
      <c r="N32" s="58" t="s">
        <v>167</v>
      </c>
      <c r="O32" s="58">
        <v>1901.2</v>
      </c>
      <c r="P32" s="58">
        <v>22.252500000000001</v>
      </c>
      <c r="Q32" s="58">
        <v>85.4375</v>
      </c>
      <c r="R32" s="58">
        <v>1819.72</v>
      </c>
      <c r="S32" s="58">
        <v>22.3766</v>
      </c>
      <c r="T32" s="58">
        <v>81.322400000000002</v>
      </c>
      <c r="U32" s="58">
        <v>1711.08</v>
      </c>
      <c r="V32" s="58">
        <v>22.531099999999999</v>
      </c>
      <c r="W32" s="58">
        <v>75.942999999999998</v>
      </c>
      <c r="Y32" s="64"/>
      <c r="Z32" s="64"/>
      <c r="AA32" s="64"/>
      <c r="AB32" s="64"/>
      <c r="AC32" s="64"/>
      <c r="AD32" s="64"/>
      <c r="AL32" s="47">
        <f t="shared" si="1"/>
        <v>0</v>
      </c>
    </row>
    <row r="33" spans="1:38" ht="23.25" customHeight="1" x14ac:dyDescent="0.25">
      <c r="A33" s="374" t="s">
        <v>334</v>
      </c>
      <c r="B33" s="49" t="s">
        <v>93</v>
      </c>
      <c r="C33" s="117">
        <f>Q4+AD4</f>
        <v>7273.1962000000003</v>
      </c>
      <c r="F33" s="8">
        <v>43035</v>
      </c>
      <c r="G33" s="89" t="s">
        <v>165</v>
      </c>
      <c r="H33" s="90" t="s">
        <v>67</v>
      </c>
      <c r="I33" s="47">
        <v>2716</v>
      </c>
      <c r="J33" s="47">
        <v>2716</v>
      </c>
      <c r="K33" s="47">
        <v>5432</v>
      </c>
      <c r="M33" s="58" t="s">
        <v>168</v>
      </c>
      <c r="N33" s="58" t="s">
        <v>169</v>
      </c>
      <c r="O33" s="58">
        <v>1901.2</v>
      </c>
      <c r="P33" s="58">
        <v>22.392700000000001</v>
      </c>
      <c r="Q33" s="58">
        <v>84.902600000000007</v>
      </c>
      <c r="R33" s="58">
        <v>1819.72</v>
      </c>
      <c r="S33" s="58">
        <v>22.534800000000001</v>
      </c>
      <c r="T33" s="58">
        <v>80.751499999999993</v>
      </c>
      <c r="U33" s="58">
        <v>1711.08</v>
      </c>
      <c r="V33" s="58">
        <v>22.703600000000002</v>
      </c>
      <c r="W33" s="58">
        <v>75.366</v>
      </c>
      <c r="Y33" s="64"/>
      <c r="Z33" s="64"/>
      <c r="AA33" s="64"/>
      <c r="AB33" s="64"/>
      <c r="AC33" s="64"/>
      <c r="AD33" s="64"/>
      <c r="AL33" s="47">
        <f t="shared" si="1"/>
        <v>0</v>
      </c>
    </row>
    <row r="34" spans="1:38" ht="15" customHeight="1" x14ac:dyDescent="0.25">
      <c r="A34" s="375"/>
      <c r="B34" s="45" t="s">
        <v>94</v>
      </c>
      <c r="C34" s="118">
        <f>T4+AG4</f>
        <v>6754.5535999999993</v>
      </c>
      <c r="F34" s="8">
        <v>43053</v>
      </c>
      <c r="G34" s="89" t="s">
        <v>70</v>
      </c>
      <c r="H34" s="90" t="s">
        <v>67</v>
      </c>
      <c r="I34" s="47">
        <v>105</v>
      </c>
      <c r="J34" s="47">
        <v>105</v>
      </c>
      <c r="K34" s="47">
        <v>210</v>
      </c>
      <c r="M34" s="58" t="s">
        <v>170</v>
      </c>
      <c r="N34" s="58" t="s">
        <v>116</v>
      </c>
      <c r="O34" s="58">
        <v>69.3</v>
      </c>
      <c r="P34" s="58">
        <v>22.2697</v>
      </c>
      <c r="Q34" s="58">
        <v>3.1118000000000001</v>
      </c>
      <c r="R34" s="58">
        <v>71.400000000000006</v>
      </c>
      <c r="S34" s="58">
        <v>22.429600000000001</v>
      </c>
      <c r="T34" s="58">
        <v>3.1831999999999998</v>
      </c>
      <c r="U34" s="58">
        <v>69.3</v>
      </c>
      <c r="V34" s="58">
        <v>22.5442</v>
      </c>
      <c r="W34" s="58">
        <v>3.0739000000000001</v>
      </c>
      <c r="Y34" s="64"/>
      <c r="Z34" s="64"/>
      <c r="AA34" s="64"/>
      <c r="AB34" s="64"/>
      <c r="AC34" s="64"/>
      <c r="AD34" s="64"/>
      <c r="AL34" s="47">
        <f t="shared" si="1"/>
        <v>0</v>
      </c>
    </row>
    <row r="35" spans="1:38" ht="15" customHeight="1" thickBot="1" x14ac:dyDescent="0.3">
      <c r="A35" s="376"/>
      <c r="B35" s="11" t="s">
        <v>95</v>
      </c>
      <c r="C35" s="119">
        <f>W4+AJ4</f>
        <v>6768.6832000000013</v>
      </c>
      <c r="F35" s="43">
        <v>43069</v>
      </c>
      <c r="G35" s="89" t="s">
        <v>178</v>
      </c>
      <c r="H35" s="90" t="s">
        <v>67</v>
      </c>
      <c r="I35" s="1">
        <v>2751</v>
      </c>
      <c r="J35" s="1">
        <v>2751</v>
      </c>
      <c r="K35" s="1">
        <v>5502</v>
      </c>
      <c r="M35" s="59" t="s">
        <v>181</v>
      </c>
      <c r="N35" s="59" t="s">
        <v>182</v>
      </c>
      <c r="O35" s="59">
        <v>1815.66</v>
      </c>
      <c r="P35" s="59">
        <v>22.307400000000001</v>
      </c>
      <c r="Q35" s="59">
        <v>81.392700000000005</v>
      </c>
      <c r="R35" s="59">
        <v>1870.68</v>
      </c>
      <c r="S35" s="59">
        <v>22.466699999999999</v>
      </c>
      <c r="T35" s="59">
        <v>83.264499999999998</v>
      </c>
      <c r="U35" s="59">
        <v>1815.66</v>
      </c>
      <c r="V35" s="59">
        <v>22.599799999999998</v>
      </c>
      <c r="W35" s="59">
        <v>80.339600000000004</v>
      </c>
      <c r="X35" s="72"/>
      <c r="AL35" s="47">
        <f t="shared" si="1"/>
        <v>0</v>
      </c>
    </row>
    <row r="36" spans="1:38" ht="15" customHeight="1" thickBot="1" x14ac:dyDescent="0.3">
      <c r="A36" s="68"/>
      <c r="B36" s="45"/>
      <c r="C36" s="45"/>
      <c r="F36" s="43">
        <v>43111</v>
      </c>
      <c r="G36" s="89" t="s">
        <v>179</v>
      </c>
      <c r="H36" s="90" t="s">
        <v>67</v>
      </c>
      <c r="I36" s="1">
        <v>2751</v>
      </c>
      <c r="J36" s="1">
        <v>2751</v>
      </c>
      <c r="K36" s="1">
        <v>5502</v>
      </c>
      <c r="M36" s="59" t="s">
        <v>183</v>
      </c>
      <c r="N36" s="59" t="s">
        <v>184</v>
      </c>
      <c r="O36" s="59">
        <v>1815.66</v>
      </c>
      <c r="P36" s="59">
        <v>22.3127</v>
      </c>
      <c r="Q36" s="59">
        <v>81.3733</v>
      </c>
      <c r="R36" s="59">
        <v>1870.68</v>
      </c>
      <c r="S36" s="59">
        <v>22.530100000000001</v>
      </c>
      <c r="T36" s="59">
        <v>83.030199999999994</v>
      </c>
      <c r="U36" s="59">
        <v>1815.66</v>
      </c>
      <c r="V36" s="59">
        <v>22.639600000000002</v>
      </c>
      <c r="W36" s="59">
        <v>80.198400000000007</v>
      </c>
      <c r="X36" s="72"/>
      <c r="AL36" s="47">
        <f t="shared" si="1"/>
        <v>0</v>
      </c>
    </row>
    <row r="37" spans="1:38" ht="15" customHeight="1" x14ac:dyDescent="0.25">
      <c r="A37" s="363" t="s">
        <v>335</v>
      </c>
      <c r="B37" s="364"/>
      <c r="C37" s="365"/>
      <c r="F37" s="43">
        <v>43131</v>
      </c>
      <c r="G37" s="89" t="s">
        <v>180</v>
      </c>
      <c r="H37" s="90" t="s">
        <v>67</v>
      </c>
      <c r="I37" s="1">
        <v>2751</v>
      </c>
      <c r="J37" s="1">
        <v>2751</v>
      </c>
      <c r="K37" s="1">
        <v>5502</v>
      </c>
      <c r="M37" s="59" t="s">
        <v>185</v>
      </c>
      <c r="N37" s="59" t="s">
        <v>186</v>
      </c>
      <c r="O37" s="59">
        <v>1815.66</v>
      </c>
      <c r="P37" s="59">
        <v>22.324000000000002</v>
      </c>
      <c r="Q37" s="59">
        <v>81.332099999999997</v>
      </c>
      <c r="R37" s="59">
        <v>1870.68</v>
      </c>
      <c r="S37" s="59">
        <v>22.5261</v>
      </c>
      <c r="T37" s="59">
        <v>83.045000000000002</v>
      </c>
      <c r="U37" s="59">
        <v>1815.66</v>
      </c>
      <c r="V37" s="59">
        <v>22.6387</v>
      </c>
      <c r="W37" s="59">
        <v>80.201599999999999</v>
      </c>
      <c r="X37" s="72"/>
      <c r="AL37" s="47">
        <f t="shared" si="1"/>
        <v>0</v>
      </c>
    </row>
    <row r="38" spans="1:38" ht="15.75" customHeight="1" thickBot="1" x14ac:dyDescent="0.3">
      <c r="A38" s="366"/>
      <c r="B38" s="367"/>
      <c r="C38" s="368"/>
      <c r="F38" s="43">
        <v>43171</v>
      </c>
      <c r="G38" s="89" t="s">
        <v>196</v>
      </c>
      <c r="H38" s="90" t="s">
        <v>67</v>
      </c>
      <c r="I38" s="1">
        <v>3014</v>
      </c>
      <c r="J38" s="1">
        <v>3014</v>
      </c>
      <c r="K38" s="1">
        <v>6028</v>
      </c>
      <c r="M38" s="59" t="s">
        <v>198</v>
      </c>
      <c r="N38" s="59" t="s">
        <v>199</v>
      </c>
      <c r="O38" s="59">
        <v>1989.24</v>
      </c>
      <c r="P38" s="59">
        <v>22.061699999999998</v>
      </c>
      <c r="Q38" s="59">
        <v>90.167100000000005</v>
      </c>
      <c r="R38" s="59">
        <v>2049.52</v>
      </c>
      <c r="S38" s="59">
        <v>22.223199999999999</v>
      </c>
      <c r="T38" s="59">
        <v>92.224299999999999</v>
      </c>
      <c r="U38" s="59">
        <v>1989.24</v>
      </c>
      <c r="V38" s="59">
        <v>22.326000000000001</v>
      </c>
      <c r="W38" s="59">
        <v>89.099699999999999</v>
      </c>
      <c r="X38" s="72"/>
      <c r="AL38" s="47">
        <f t="shared" si="1"/>
        <v>0</v>
      </c>
    </row>
    <row r="39" spans="1:38" x14ac:dyDescent="0.25">
      <c r="A39" s="374" t="s">
        <v>336</v>
      </c>
      <c r="B39" s="49" t="s">
        <v>93</v>
      </c>
      <c r="C39" s="50">
        <f>C17+C26</f>
        <v>185696.92</v>
      </c>
      <c r="F39" s="43">
        <v>43175</v>
      </c>
      <c r="G39" s="89" t="s">
        <v>70</v>
      </c>
      <c r="H39" s="90" t="s">
        <v>67</v>
      </c>
      <c r="I39" s="1">
        <v>263</v>
      </c>
      <c r="J39" s="1">
        <v>263</v>
      </c>
      <c r="K39" s="1">
        <v>526</v>
      </c>
      <c r="M39" s="59" t="s">
        <v>200</v>
      </c>
      <c r="N39" s="59" t="s">
        <v>116</v>
      </c>
      <c r="O39" s="59">
        <v>173.58</v>
      </c>
      <c r="P39" s="59">
        <v>22.110900000000001</v>
      </c>
      <c r="Q39" s="59">
        <v>7.8503999999999996</v>
      </c>
      <c r="R39" s="59">
        <v>178.84</v>
      </c>
      <c r="S39" s="59">
        <v>22.264500000000002</v>
      </c>
      <c r="T39" s="59">
        <v>8.0325000000000006</v>
      </c>
      <c r="U39" s="59">
        <v>173.58</v>
      </c>
      <c r="V39" s="59">
        <v>22.380800000000001</v>
      </c>
      <c r="W39" s="59">
        <v>7.7557</v>
      </c>
      <c r="X39" s="72"/>
      <c r="AL39" s="47">
        <f t="shared" si="1"/>
        <v>0</v>
      </c>
    </row>
    <row r="40" spans="1:38" x14ac:dyDescent="0.25">
      <c r="A40" s="375"/>
      <c r="B40" s="45" t="s">
        <v>94</v>
      </c>
      <c r="C40" s="51">
        <f>C18+C27</f>
        <v>171323.34999999989</v>
      </c>
      <c r="F40" s="43">
        <v>43175</v>
      </c>
      <c r="G40" s="89" t="s">
        <v>70</v>
      </c>
      <c r="H40" s="90" t="s">
        <v>67</v>
      </c>
      <c r="I40" s="1">
        <v>263</v>
      </c>
      <c r="J40" s="1">
        <v>263</v>
      </c>
      <c r="K40" s="1">
        <v>526</v>
      </c>
      <c r="M40" s="59" t="s">
        <v>200</v>
      </c>
      <c r="N40" s="59" t="s">
        <v>116</v>
      </c>
      <c r="O40" s="59">
        <v>173.58</v>
      </c>
      <c r="P40" s="59">
        <v>22.110900000000001</v>
      </c>
      <c r="Q40" s="59">
        <v>7.8503999999999996</v>
      </c>
      <c r="R40" s="59">
        <v>178.84</v>
      </c>
      <c r="S40" s="59">
        <v>22.264500000000002</v>
      </c>
      <c r="T40" s="59">
        <v>8.0325000000000006</v>
      </c>
      <c r="U40" s="59">
        <v>173.58</v>
      </c>
      <c r="V40" s="59">
        <v>22.380800000000001</v>
      </c>
      <c r="W40" s="59">
        <v>7.7557</v>
      </c>
      <c r="X40" s="72"/>
      <c r="AL40" s="47">
        <f t="shared" si="1"/>
        <v>0</v>
      </c>
    </row>
    <row r="41" spans="1:38" ht="15.75" thickBot="1" x14ac:dyDescent="0.3">
      <c r="A41" s="376"/>
      <c r="B41" s="11" t="s">
        <v>95</v>
      </c>
      <c r="C41" s="12">
        <f>C19+C28</f>
        <v>173878.39000000013</v>
      </c>
      <c r="F41" s="43">
        <v>43175</v>
      </c>
      <c r="G41" s="89" t="s">
        <v>70</v>
      </c>
      <c r="H41" s="90" t="s">
        <v>67</v>
      </c>
      <c r="I41" s="1">
        <v>263</v>
      </c>
      <c r="J41" s="1">
        <v>263</v>
      </c>
      <c r="K41" s="1">
        <v>526</v>
      </c>
      <c r="M41" s="59" t="s">
        <v>200</v>
      </c>
      <c r="N41" s="59" t="s">
        <v>116</v>
      </c>
      <c r="O41" s="59">
        <v>173.58</v>
      </c>
      <c r="P41" s="59">
        <v>22.110900000000001</v>
      </c>
      <c r="Q41" s="59">
        <v>7.8503999999999996</v>
      </c>
      <c r="R41" s="59">
        <v>178.84</v>
      </c>
      <c r="S41" s="59">
        <v>22.264500000000002</v>
      </c>
      <c r="T41" s="59">
        <v>8.0325000000000006</v>
      </c>
      <c r="U41" s="59">
        <v>173.58</v>
      </c>
      <c r="V41" s="59">
        <v>22.380800000000001</v>
      </c>
      <c r="W41" s="59">
        <v>7.7557</v>
      </c>
      <c r="X41" s="72"/>
      <c r="AL41" s="47">
        <f t="shared" si="1"/>
        <v>0</v>
      </c>
    </row>
    <row r="42" spans="1:38" x14ac:dyDescent="0.25">
      <c r="F42" s="43">
        <v>43186</v>
      </c>
      <c r="G42" s="89" t="s">
        <v>197</v>
      </c>
      <c r="H42" s="90" t="s">
        <v>67</v>
      </c>
      <c r="I42" s="1">
        <v>3014</v>
      </c>
      <c r="J42" s="1">
        <v>3014</v>
      </c>
      <c r="K42" s="1">
        <v>6028</v>
      </c>
      <c r="M42" s="59" t="s">
        <v>201</v>
      </c>
      <c r="N42" s="59" t="s">
        <v>202</v>
      </c>
      <c r="O42" s="59">
        <v>1989.24</v>
      </c>
      <c r="P42" s="59">
        <v>22.436699999999998</v>
      </c>
      <c r="Q42" s="59">
        <v>88.66</v>
      </c>
      <c r="R42" s="59">
        <v>2049.52</v>
      </c>
      <c r="S42" s="59">
        <v>22.574200000000001</v>
      </c>
      <c r="T42" s="59">
        <v>90.790300000000002</v>
      </c>
      <c r="U42" s="59">
        <v>1989.24</v>
      </c>
      <c r="V42" s="59">
        <v>22.693899999999999</v>
      </c>
      <c r="W42" s="59">
        <v>87.655199999999994</v>
      </c>
      <c r="X42" s="72"/>
      <c r="AL42" s="47">
        <f t="shared" si="1"/>
        <v>0</v>
      </c>
    </row>
    <row r="43" spans="1:38" x14ac:dyDescent="0.25">
      <c r="F43" s="43">
        <v>43244</v>
      </c>
      <c r="G43" s="89" t="s">
        <v>206</v>
      </c>
      <c r="H43" s="90" t="s">
        <v>67</v>
      </c>
      <c r="I43" s="1">
        <v>3071</v>
      </c>
      <c r="J43" s="1">
        <v>3071</v>
      </c>
      <c r="K43" s="1">
        <v>6142</v>
      </c>
      <c r="M43" s="59" t="s">
        <v>203</v>
      </c>
      <c r="N43" s="59" t="s">
        <v>204</v>
      </c>
      <c r="O43" s="59">
        <v>2057.5700000000002</v>
      </c>
      <c r="P43" s="59">
        <v>22.1402</v>
      </c>
      <c r="Q43" s="59">
        <v>92.933599999999998</v>
      </c>
      <c r="R43" s="59">
        <v>2088.2800000000002</v>
      </c>
      <c r="S43" s="59">
        <v>22.283899999999999</v>
      </c>
      <c r="T43" s="59">
        <v>93.712500000000006</v>
      </c>
      <c r="U43" s="59">
        <v>1996.15</v>
      </c>
      <c r="V43" s="59">
        <v>22.391200000000001</v>
      </c>
      <c r="W43" s="59">
        <v>89.148799999999994</v>
      </c>
      <c r="X43" s="72"/>
      <c r="AL43" s="47">
        <f t="shared" si="1"/>
        <v>0</v>
      </c>
    </row>
    <row r="44" spans="1:38" ht="30" x14ac:dyDescent="0.25">
      <c r="F44" s="43">
        <v>43244</v>
      </c>
      <c r="G44" s="89" t="s">
        <v>207</v>
      </c>
      <c r="H44" s="90" t="s">
        <v>67</v>
      </c>
      <c r="I44" s="1">
        <v>114</v>
      </c>
      <c r="J44" s="1">
        <v>114</v>
      </c>
      <c r="K44" s="1">
        <v>228</v>
      </c>
      <c r="M44" s="59" t="s">
        <v>203</v>
      </c>
      <c r="N44" s="59" t="s">
        <v>205</v>
      </c>
      <c r="O44" s="59">
        <v>76.38</v>
      </c>
      <c r="P44" s="59">
        <v>22.1402</v>
      </c>
      <c r="Q44" s="59">
        <v>3.4498000000000002</v>
      </c>
      <c r="R44" s="59">
        <v>77.52</v>
      </c>
      <c r="S44" s="59">
        <v>22.283899999999999</v>
      </c>
      <c r="T44" s="59">
        <v>3.4786999999999999</v>
      </c>
      <c r="U44" s="59">
        <v>74.099999999999994</v>
      </c>
      <c r="V44" s="59">
        <v>22.391200000000001</v>
      </c>
      <c r="W44" s="59">
        <v>3.3092999999999999</v>
      </c>
      <c r="X44" s="72"/>
      <c r="AL44" s="47">
        <f t="shared" si="1"/>
        <v>0</v>
      </c>
    </row>
    <row r="45" spans="1:38" ht="15" customHeight="1" thickBot="1" x14ac:dyDescent="0.3">
      <c r="F45" s="43">
        <v>43264</v>
      </c>
      <c r="G45" s="89" t="s">
        <v>222</v>
      </c>
      <c r="H45" s="90" t="s">
        <v>67</v>
      </c>
      <c r="I45" s="1">
        <v>3071</v>
      </c>
      <c r="J45" s="1">
        <v>3071</v>
      </c>
      <c r="K45" s="1">
        <v>6142</v>
      </c>
      <c r="M45" s="59" t="s">
        <v>214</v>
      </c>
      <c r="N45" s="59" t="s">
        <v>116</v>
      </c>
      <c r="O45" s="59">
        <v>383.91</v>
      </c>
      <c r="P45" s="59">
        <v>22.197099999999999</v>
      </c>
      <c r="Q45" s="59">
        <v>17.295500000000001</v>
      </c>
      <c r="R45" s="59">
        <v>389.64</v>
      </c>
      <c r="S45" s="59">
        <v>22.371200000000002</v>
      </c>
      <c r="T45" s="59">
        <v>17.417000000000002</v>
      </c>
      <c r="U45" s="59">
        <v>372.45</v>
      </c>
      <c r="V45" s="59">
        <v>22.486599999999999</v>
      </c>
      <c r="W45" s="59">
        <v>16.563099999999999</v>
      </c>
      <c r="X45" s="72"/>
      <c r="AL45" s="47">
        <f t="shared" si="1"/>
        <v>4996</v>
      </c>
    </row>
    <row r="46" spans="1:38" ht="30" customHeight="1" x14ac:dyDescent="0.25">
      <c r="A46" s="38" t="s">
        <v>162</v>
      </c>
      <c r="B46" s="383" t="str">
        <f>IF(B8=B16,"YES","No, Need to check part 1 and 2 total entries")</f>
        <v>YES</v>
      </c>
      <c r="C46" s="384"/>
      <c r="F46" s="43">
        <v>43264</v>
      </c>
      <c r="G46" s="89" t="s">
        <v>70</v>
      </c>
      <c r="H46" s="90" t="s">
        <v>67</v>
      </c>
      <c r="I46" s="1">
        <v>573</v>
      </c>
      <c r="J46" s="1">
        <v>573</v>
      </c>
      <c r="K46" s="1">
        <v>1146</v>
      </c>
      <c r="M46" s="59" t="s">
        <v>214</v>
      </c>
      <c r="N46" s="59" t="s">
        <v>215</v>
      </c>
      <c r="O46" s="59">
        <v>2057.5700000000002</v>
      </c>
      <c r="P46" s="59">
        <v>22.197099999999999</v>
      </c>
      <c r="Q46" s="59">
        <v>92.695400000000006</v>
      </c>
      <c r="R46" s="59">
        <v>2088.2800000000002</v>
      </c>
      <c r="S46" s="59">
        <v>22.371200000000002</v>
      </c>
      <c r="T46" s="59">
        <v>93.346800000000002</v>
      </c>
      <c r="U46" s="59">
        <v>1996.15</v>
      </c>
      <c r="V46" s="59">
        <v>22.486599999999999</v>
      </c>
      <c r="W46" s="59">
        <v>88.770600000000002</v>
      </c>
      <c r="X46" s="72"/>
      <c r="AL46" s="47">
        <f t="shared" si="1"/>
        <v>-4996</v>
      </c>
    </row>
    <row r="47" spans="1:38" ht="15.75" customHeight="1" x14ac:dyDescent="0.25">
      <c r="A47" s="39"/>
      <c r="B47" s="40"/>
      <c r="C47" s="41"/>
      <c r="F47" s="43">
        <v>43277</v>
      </c>
      <c r="G47" s="89" t="s">
        <v>223</v>
      </c>
      <c r="H47" s="90" t="s">
        <v>67</v>
      </c>
      <c r="I47" s="1">
        <v>3071</v>
      </c>
      <c r="J47" s="1">
        <v>3071</v>
      </c>
      <c r="K47" s="1">
        <v>6142</v>
      </c>
      <c r="M47" s="59" t="s">
        <v>216</v>
      </c>
      <c r="N47" s="59" t="s">
        <v>217</v>
      </c>
      <c r="O47" s="59">
        <v>2057.5700000000002</v>
      </c>
      <c r="P47" s="59">
        <v>22.335699999999999</v>
      </c>
      <c r="Q47" s="59">
        <v>92.120199999999997</v>
      </c>
      <c r="R47" s="59">
        <v>2088.2800000000002</v>
      </c>
      <c r="S47" s="59">
        <v>22.494700000000002</v>
      </c>
      <c r="T47" s="59">
        <v>92.834299999999999</v>
      </c>
      <c r="U47" s="59">
        <v>1996.15</v>
      </c>
      <c r="V47" s="59">
        <v>22.597799999999999</v>
      </c>
      <c r="W47" s="59">
        <v>88.333799999999997</v>
      </c>
      <c r="X47" s="72"/>
      <c r="AL47" s="47">
        <f t="shared" si="1"/>
        <v>0</v>
      </c>
    </row>
    <row r="48" spans="1:38" ht="15.75" customHeight="1" thickBot="1" x14ac:dyDescent="0.3">
      <c r="A48" s="42" t="s">
        <v>163</v>
      </c>
      <c r="B48" s="385" t="str">
        <f>IF(B11=C20,"YES","No, Need to check part 1 and 2 total entries")</f>
        <v>YES</v>
      </c>
      <c r="C48" s="386"/>
      <c r="F48" s="43">
        <v>43312</v>
      </c>
      <c r="G48" s="89" t="s">
        <v>70</v>
      </c>
      <c r="H48" s="90" t="s">
        <v>67</v>
      </c>
      <c r="I48" s="1">
        <v>3071</v>
      </c>
      <c r="J48" s="1">
        <v>3071</v>
      </c>
      <c r="K48" s="1">
        <v>6142</v>
      </c>
      <c r="M48" s="59" t="s">
        <v>218</v>
      </c>
      <c r="N48" s="59" t="s">
        <v>116</v>
      </c>
      <c r="O48" s="59">
        <v>2057.5700000000002</v>
      </c>
      <c r="P48" s="59">
        <v>22.6264</v>
      </c>
      <c r="Q48" s="59">
        <v>90.936599999999999</v>
      </c>
      <c r="R48" s="59">
        <v>2088.2800000000002</v>
      </c>
      <c r="S48" s="59">
        <v>22.8276</v>
      </c>
      <c r="T48" s="59">
        <v>91.480400000000003</v>
      </c>
      <c r="U48" s="59">
        <v>1996.15</v>
      </c>
      <c r="V48" s="59">
        <v>22.908300000000001</v>
      </c>
      <c r="W48" s="59">
        <v>87.136499999999998</v>
      </c>
      <c r="X48" s="72"/>
      <c r="AL48" s="47">
        <f t="shared" si="1"/>
        <v>0</v>
      </c>
    </row>
    <row r="49" spans="1:38" x14ac:dyDescent="0.25">
      <c r="F49" s="43">
        <v>43328</v>
      </c>
      <c r="G49" s="89" t="s">
        <v>70</v>
      </c>
      <c r="H49" s="90" t="s">
        <v>67</v>
      </c>
      <c r="I49" s="1">
        <v>56</v>
      </c>
      <c r="J49" s="1">
        <v>56</v>
      </c>
      <c r="K49" s="1">
        <v>112</v>
      </c>
      <c r="M49" s="59" t="s">
        <v>219</v>
      </c>
      <c r="N49" s="59" t="s">
        <v>116</v>
      </c>
      <c r="O49" s="59">
        <v>37.520000000000003</v>
      </c>
      <c r="P49" s="59">
        <v>22.656199999999998</v>
      </c>
      <c r="Q49" s="59">
        <v>1.6559999999999999</v>
      </c>
      <c r="R49" s="59">
        <v>38.08</v>
      </c>
      <c r="S49" s="59">
        <v>22.858899999999998</v>
      </c>
      <c r="T49" s="59">
        <v>1.6657999999999999</v>
      </c>
      <c r="U49" s="59">
        <v>36.4</v>
      </c>
      <c r="V49" s="59">
        <v>22.927399999999999</v>
      </c>
      <c r="W49" s="59">
        <v>1.5875999999999999</v>
      </c>
      <c r="X49" s="72"/>
      <c r="AL49" s="47">
        <f t="shared" si="1"/>
        <v>0</v>
      </c>
    </row>
    <row r="50" spans="1:38" x14ac:dyDescent="0.2">
      <c r="C50" s="87"/>
      <c r="F50" s="43">
        <v>43328</v>
      </c>
      <c r="G50" s="89" t="s">
        <v>70</v>
      </c>
      <c r="H50" s="90" t="s">
        <v>67</v>
      </c>
      <c r="I50" s="1">
        <v>56</v>
      </c>
      <c r="J50" s="1">
        <v>56</v>
      </c>
      <c r="K50" s="1">
        <v>112</v>
      </c>
      <c r="M50" s="59" t="s">
        <v>219</v>
      </c>
      <c r="N50" s="59" t="s">
        <v>116</v>
      </c>
      <c r="O50" s="59">
        <v>37.520000000000003</v>
      </c>
      <c r="P50" s="59">
        <v>22.656199999999998</v>
      </c>
      <c r="Q50" s="59">
        <v>1.6559999999999999</v>
      </c>
      <c r="R50" s="59">
        <v>38.08</v>
      </c>
      <c r="S50" s="59">
        <v>22.858899999999998</v>
      </c>
      <c r="T50" s="59">
        <v>1.6657999999999999</v>
      </c>
      <c r="U50" s="59">
        <v>36.4</v>
      </c>
      <c r="V50" s="59">
        <v>22.927399999999999</v>
      </c>
      <c r="W50" s="59">
        <v>1.5875999999999999</v>
      </c>
      <c r="X50" s="72"/>
      <c r="AL50" s="47">
        <f t="shared" si="1"/>
        <v>0</v>
      </c>
    </row>
    <row r="51" spans="1:38" x14ac:dyDescent="0.25">
      <c r="F51" s="43">
        <v>43328</v>
      </c>
      <c r="G51" s="89" t="s">
        <v>70</v>
      </c>
      <c r="H51" s="90" t="s">
        <v>67</v>
      </c>
      <c r="I51" s="1">
        <v>56</v>
      </c>
      <c r="J51" s="1">
        <v>56</v>
      </c>
      <c r="K51" s="1">
        <v>112</v>
      </c>
      <c r="M51" s="59" t="s">
        <v>219</v>
      </c>
      <c r="N51" s="59" t="s">
        <v>116</v>
      </c>
      <c r="O51" s="59">
        <v>37.520000000000003</v>
      </c>
      <c r="P51" s="59">
        <v>22.656199999999998</v>
      </c>
      <c r="Q51" s="59">
        <v>1.6559999999999999</v>
      </c>
      <c r="R51" s="59">
        <v>38.08</v>
      </c>
      <c r="S51" s="59">
        <v>22.858899999999998</v>
      </c>
      <c r="T51" s="59">
        <v>1.6657999999999999</v>
      </c>
      <c r="U51" s="59">
        <v>36.4</v>
      </c>
      <c r="V51" s="59">
        <v>22.927399999999999</v>
      </c>
      <c r="W51" s="59">
        <v>1.5875999999999999</v>
      </c>
      <c r="X51" s="72"/>
      <c r="AL51" s="47">
        <f t="shared" si="1"/>
        <v>0</v>
      </c>
    </row>
    <row r="52" spans="1:38" x14ac:dyDescent="0.2">
      <c r="C52" s="87"/>
      <c r="F52" s="43">
        <v>43328</v>
      </c>
      <c r="G52" s="89" t="s">
        <v>70</v>
      </c>
      <c r="H52" s="90" t="s">
        <v>67</v>
      </c>
      <c r="I52" s="1">
        <v>56</v>
      </c>
      <c r="J52" s="1">
        <v>56</v>
      </c>
      <c r="K52" s="1">
        <v>112</v>
      </c>
      <c r="M52" s="59" t="s">
        <v>219</v>
      </c>
      <c r="N52" s="59" t="s">
        <v>116</v>
      </c>
      <c r="O52" s="59">
        <v>37.520000000000003</v>
      </c>
      <c r="P52" s="59">
        <v>22.656199999999998</v>
      </c>
      <c r="Q52" s="59">
        <v>1.6559999999999999</v>
      </c>
      <c r="R52" s="59">
        <v>38.08</v>
      </c>
      <c r="S52" s="59">
        <v>22.858899999999998</v>
      </c>
      <c r="T52" s="59">
        <v>1.6657999999999999</v>
      </c>
      <c r="U52" s="59">
        <v>36.4</v>
      </c>
      <c r="V52" s="59">
        <v>22.927399999999999</v>
      </c>
      <c r="W52" s="59">
        <v>1.5875999999999999</v>
      </c>
      <c r="X52" s="72"/>
      <c r="AL52" s="47">
        <f t="shared" si="1"/>
        <v>0</v>
      </c>
    </row>
    <row r="53" spans="1:38" ht="15.75" thickBot="1" x14ac:dyDescent="0.3">
      <c r="F53" s="43">
        <v>43328</v>
      </c>
      <c r="G53" s="89" t="s">
        <v>70</v>
      </c>
      <c r="H53" s="90" t="s">
        <v>67</v>
      </c>
      <c r="I53" s="1">
        <v>56</v>
      </c>
      <c r="J53" s="1">
        <v>56</v>
      </c>
      <c r="K53" s="1">
        <v>112</v>
      </c>
      <c r="M53" s="59" t="s">
        <v>219</v>
      </c>
      <c r="N53" s="59" t="s">
        <v>116</v>
      </c>
      <c r="O53" s="59">
        <v>37.520000000000003</v>
      </c>
      <c r="P53" s="59">
        <v>22.656199999999998</v>
      </c>
      <c r="Q53" s="59">
        <v>1.6559999999999999</v>
      </c>
      <c r="R53" s="59">
        <v>38.08</v>
      </c>
      <c r="S53" s="59">
        <v>22.858899999999998</v>
      </c>
      <c r="T53" s="59">
        <v>1.6657999999999999</v>
      </c>
      <c r="U53" s="59">
        <v>36.4</v>
      </c>
      <c r="V53" s="59">
        <v>22.927399999999999</v>
      </c>
      <c r="W53" s="59">
        <v>1.5875999999999999</v>
      </c>
      <c r="X53" s="72"/>
      <c r="AL53" s="47">
        <f t="shared" si="1"/>
        <v>0</v>
      </c>
    </row>
    <row r="54" spans="1:38" x14ac:dyDescent="0.2">
      <c r="A54" s="95" t="s">
        <v>402</v>
      </c>
      <c r="B54" s="94"/>
      <c r="C54" s="96"/>
      <c r="F54" s="43">
        <v>43328</v>
      </c>
      <c r="G54" s="89" t="s">
        <v>70</v>
      </c>
      <c r="H54" s="90" t="s">
        <v>67</v>
      </c>
      <c r="I54" s="1">
        <v>56</v>
      </c>
      <c r="J54" s="1">
        <v>56</v>
      </c>
      <c r="K54" s="1">
        <v>112</v>
      </c>
      <c r="M54" s="59" t="s">
        <v>219</v>
      </c>
      <c r="N54" s="59" t="s">
        <v>116</v>
      </c>
      <c r="O54" s="59">
        <v>37.520000000000003</v>
      </c>
      <c r="P54" s="59">
        <v>22.656199999999998</v>
      </c>
      <c r="Q54" s="59">
        <v>1.6559999999999999</v>
      </c>
      <c r="R54" s="59">
        <v>38.08</v>
      </c>
      <c r="S54" s="59">
        <v>22.858899999999998</v>
      </c>
      <c r="T54" s="59">
        <v>1.6657999999999999</v>
      </c>
      <c r="U54" s="59">
        <v>36.4</v>
      </c>
      <c r="V54" s="59">
        <v>22.927399999999999</v>
      </c>
      <c r="W54" s="59">
        <v>1.5875999999999999</v>
      </c>
      <c r="X54" s="72"/>
      <c r="AL54" s="47">
        <f t="shared" si="1"/>
        <v>0</v>
      </c>
    </row>
    <row r="55" spans="1:38" x14ac:dyDescent="0.25">
      <c r="A55" s="46" t="s">
        <v>62</v>
      </c>
      <c r="B55" s="47">
        <f>K4</f>
        <v>530916</v>
      </c>
      <c r="C55" s="382" t="str">
        <f>IF(B55=B56,"Equal","Not Equal, Need to Check")</f>
        <v>Equal</v>
      </c>
      <c r="F55" s="43">
        <v>43328</v>
      </c>
      <c r="G55" s="89" t="s">
        <v>70</v>
      </c>
      <c r="H55" s="90" t="s">
        <v>67</v>
      </c>
      <c r="I55" s="1">
        <v>79</v>
      </c>
      <c r="J55" s="1">
        <v>79</v>
      </c>
      <c r="K55" s="1">
        <v>158</v>
      </c>
      <c r="M55" s="59" t="s">
        <v>219</v>
      </c>
      <c r="N55" s="59" t="s">
        <v>116</v>
      </c>
      <c r="O55" s="59">
        <v>52.93</v>
      </c>
      <c r="P55" s="59">
        <v>22.656199999999998</v>
      </c>
      <c r="Q55" s="59">
        <v>2.3361999999999998</v>
      </c>
      <c r="R55" s="59">
        <v>53.72</v>
      </c>
      <c r="S55" s="59">
        <v>22.858899999999998</v>
      </c>
      <c r="T55" s="59">
        <v>2.35</v>
      </c>
      <c r="U55" s="59">
        <v>51.35</v>
      </c>
      <c r="V55" s="59">
        <v>22.927399999999999</v>
      </c>
      <c r="W55" s="59">
        <v>2.2395999999999998</v>
      </c>
      <c r="X55" s="72"/>
      <c r="AL55" s="47">
        <f t="shared" si="1"/>
        <v>0</v>
      </c>
    </row>
    <row r="56" spans="1:38" x14ac:dyDescent="0.25">
      <c r="A56" s="46" t="s">
        <v>403</v>
      </c>
      <c r="B56" s="47">
        <f>O4+R4+U4</f>
        <v>530916</v>
      </c>
      <c r="C56" s="382"/>
      <c r="F56" s="43">
        <v>43328</v>
      </c>
      <c r="G56" s="89" t="s">
        <v>70</v>
      </c>
      <c r="H56" s="90" t="s">
        <v>67</v>
      </c>
      <c r="I56" s="1">
        <v>79</v>
      </c>
      <c r="J56" s="1">
        <v>79</v>
      </c>
      <c r="K56" s="1">
        <v>158</v>
      </c>
      <c r="M56" s="59" t="s">
        <v>219</v>
      </c>
      <c r="N56" s="59" t="s">
        <v>116</v>
      </c>
      <c r="O56" s="59">
        <v>52.93</v>
      </c>
      <c r="P56" s="59">
        <v>22.656199999999998</v>
      </c>
      <c r="Q56" s="59">
        <v>2.3361999999999998</v>
      </c>
      <c r="R56" s="59">
        <v>53.72</v>
      </c>
      <c r="S56" s="59">
        <v>22.858899999999998</v>
      </c>
      <c r="T56" s="59">
        <v>2.35</v>
      </c>
      <c r="U56" s="59">
        <v>51.35</v>
      </c>
      <c r="V56" s="59">
        <v>22.927399999999999</v>
      </c>
      <c r="W56" s="59">
        <v>2.2395999999999998</v>
      </c>
      <c r="X56" s="72"/>
      <c r="AL56" s="47">
        <f t="shared" si="1"/>
        <v>0</v>
      </c>
    </row>
    <row r="57" spans="1:38" ht="30" x14ac:dyDescent="0.25">
      <c r="A57" s="46" t="s">
        <v>404</v>
      </c>
      <c r="B57" s="47">
        <f>AA4</f>
        <v>-25.2</v>
      </c>
      <c r="C57" s="48"/>
      <c r="F57" s="43">
        <v>43328</v>
      </c>
      <c r="G57" s="89" t="s">
        <v>70</v>
      </c>
      <c r="H57" s="90" t="s">
        <v>67</v>
      </c>
      <c r="I57" s="1">
        <v>79</v>
      </c>
      <c r="J57" s="1">
        <v>79</v>
      </c>
      <c r="K57" s="1">
        <v>158</v>
      </c>
      <c r="M57" s="59" t="s">
        <v>219</v>
      </c>
      <c r="N57" s="59" t="s">
        <v>116</v>
      </c>
      <c r="O57" s="59">
        <v>52.93</v>
      </c>
      <c r="P57" s="59">
        <v>22.656199999999998</v>
      </c>
      <c r="Q57" s="59">
        <v>2.3361999999999998</v>
      </c>
      <c r="R57" s="59">
        <v>53.72</v>
      </c>
      <c r="S57" s="59">
        <v>22.858899999999998</v>
      </c>
      <c r="T57" s="59">
        <v>2.35</v>
      </c>
      <c r="U57" s="59">
        <v>51.35</v>
      </c>
      <c r="V57" s="59">
        <v>22.927399999999999</v>
      </c>
      <c r="W57" s="59">
        <v>2.2395999999999998</v>
      </c>
      <c r="X57" s="72"/>
      <c r="AL57" s="47">
        <f t="shared" si="1"/>
        <v>0</v>
      </c>
    </row>
    <row r="58" spans="1:38" x14ac:dyDescent="0.25">
      <c r="A58" s="46"/>
      <c r="C58" s="97"/>
      <c r="F58" s="43">
        <v>43346</v>
      </c>
      <c r="G58" s="89" t="s">
        <v>224</v>
      </c>
      <c r="H58" s="90" t="s">
        <v>67</v>
      </c>
      <c r="I58" s="1">
        <v>3167</v>
      </c>
      <c r="J58" s="1">
        <v>3167</v>
      </c>
      <c r="K58" s="1">
        <v>6334</v>
      </c>
      <c r="M58" s="59" t="s">
        <v>220</v>
      </c>
      <c r="N58" s="59" t="s">
        <v>221</v>
      </c>
      <c r="O58" s="59">
        <v>2121.89</v>
      </c>
      <c r="P58" s="59">
        <v>22.6693</v>
      </c>
      <c r="Q58" s="59">
        <v>93.601900000000001</v>
      </c>
      <c r="R58" s="59">
        <v>2153.56</v>
      </c>
      <c r="S58" s="59">
        <v>22.880600000000001</v>
      </c>
      <c r="T58" s="59">
        <v>94.121600000000001</v>
      </c>
      <c r="U58" s="59">
        <v>2058.5500000000002</v>
      </c>
      <c r="V58" s="59">
        <v>22.9617</v>
      </c>
      <c r="W58" s="59">
        <v>89.651399999999995</v>
      </c>
      <c r="X58" s="72"/>
      <c r="AL58" s="47">
        <f t="shared" si="1"/>
        <v>0</v>
      </c>
    </row>
    <row r="59" spans="1:38" ht="15.75" thickBot="1" x14ac:dyDescent="0.3">
      <c r="A59" s="37"/>
      <c r="B59" s="98"/>
      <c r="C59" s="99"/>
      <c r="F59" s="43">
        <v>43378</v>
      </c>
      <c r="G59" s="89" t="s">
        <v>237</v>
      </c>
      <c r="H59" s="90" t="s">
        <v>67</v>
      </c>
      <c r="I59" s="1">
        <v>3167</v>
      </c>
      <c r="J59" s="1">
        <v>3167</v>
      </c>
      <c r="K59" s="1">
        <v>6334</v>
      </c>
      <c r="M59" s="59" t="s">
        <v>238</v>
      </c>
      <c r="N59" s="59" t="s">
        <v>239</v>
      </c>
      <c r="O59" s="59">
        <v>2121.89</v>
      </c>
      <c r="P59" s="59">
        <v>22.4117</v>
      </c>
      <c r="Q59" s="59">
        <v>94.677700000000002</v>
      </c>
      <c r="R59" s="59">
        <v>2153.56</v>
      </c>
      <c r="S59" s="59">
        <v>22.495999999999999</v>
      </c>
      <c r="T59" s="59">
        <v>95.730699999999999</v>
      </c>
      <c r="U59" s="59">
        <v>2058.5500000000002</v>
      </c>
      <c r="V59" s="59">
        <v>22.601099999999999</v>
      </c>
      <c r="W59" s="59">
        <v>91.081800000000001</v>
      </c>
      <c r="X59" s="72"/>
      <c r="AL59" s="47">
        <f t="shared" si="1"/>
        <v>0</v>
      </c>
    </row>
    <row r="60" spans="1:38" x14ac:dyDescent="0.25">
      <c r="C60" s="88"/>
      <c r="F60" s="43">
        <v>43453</v>
      </c>
      <c r="G60" s="89" t="s">
        <v>242</v>
      </c>
      <c r="H60" s="90" t="s">
        <v>67</v>
      </c>
      <c r="I60" s="1">
        <v>3167</v>
      </c>
      <c r="J60" s="1">
        <v>3167</v>
      </c>
      <c r="K60" s="1">
        <v>6334</v>
      </c>
      <c r="M60" s="59" t="s">
        <v>243</v>
      </c>
      <c r="N60" s="59" t="s">
        <v>244</v>
      </c>
      <c r="O60" s="59">
        <v>2121.89</v>
      </c>
      <c r="P60" s="59">
        <v>23.707899999999999</v>
      </c>
      <c r="Q60" s="59">
        <v>89.501300000000001</v>
      </c>
      <c r="R60" s="59">
        <v>2153.56</v>
      </c>
      <c r="S60" s="59">
        <v>23.821899999999999</v>
      </c>
      <c r="T60" s="59">
        <v>90.402500000000003</v>
      </c>
      <c r="U60" s="59">
        <v>2058.5500000000002</v>
      </c>
      <c r="V60" s="59">
        <v>24.0016</v>
      </c>
      <c r="W60" s="59">
        <v>85.767099999999999</v>
      </c>
      <c r="X60" s="72"/>
      <c r="AL60" s="47">
        <f t="shared" si="1"/>
        <v>0</v>
      </c>
    </row>
    <row r="61" spans="1:38" ht="30" x14ac:dyDescent="0.25">
      <c r="F61" s="43">
        <v>43460</v>
      </c>
      <c r="G61" s="89" t="s">
        <v>207</v>
      </c>
      <c r="H61" s="90" t="s">
        <v>67</v>
      </c>
      <c r="I61" s="1">
        <v>59</v>
      </c>
      <c r="J61" s="1">
        <v>59</v>
      </c>
      <c r="K61" s="1">
        <v>118</v>
      </c>
      <c r="M61" s="59" t="s">
        <v>245</v>
      </c>
      <c r="N61" s="59" t="s">
        <v>205</v>
      </c>
      <c r="O61" s="59">
        <v>39.53</v>
      </c>
      <c r="P61" s="59">
        <v>23.723299999999998</v>
      </c>
      <c r="Q61" s="59">
        <v>1.6661999999999999</v>
      </c>
      <c r="R61" s="59">
        <v>40.119999999999997</v>
      </c>
      <c r="S61" s="59">
        <v>23.8123</v>
      </c>
      <c r="T61" s="59">
        <v>1.6848000000000001</v>
      </c>
      <c r="U61" s="59">
        <v>38.35</v>
      </c>
      <c r="V61" s="59">
        <v>23.999199999999998</v>
      </c>
      <c r="W61" s="59">
        <v>1.5979000000000001</v>
      </c>
      <c r="X61" s="72"/>
      <c r="AL61" s="47">
        <f t="shared" si="1"/>
        <v>0</v>
      </c>
    </row>
    <row r="62" spans="1:38" ht="30" x14ac:dyDescent="0.25">
      <c r="F62" s="43">
        <v>43460</v>
      </c>
      <c r="G62" s="89" t="s">
        <v>207</v>
      </c>
      <c r="H62" s="90" t="s">
        <v>67</v>
      </c>
      <c r="I62" s="1">
        <v>59</v>
      </c>
      <c r="J62" s="1">
        <v>59</v>
      </c>
      <c r="K62" s="1">
        <v>118</v>
      </c>
      <c r="M62" s="59" t="s">
        <v>245</v>
      </c>
      <c r="N62" s="59" t="s">
        <v>205</v>
      </c>
      <c r="O62" s="59">
        <v>39.53</v>
      </c>
      <c r="P62" s="59">
        <v>23.723299999999998</v>
      </c>
      <c r="Q62" s="59">
        <v>1.6661999999999999</v>
      </c>
      <c r="R62" s="59">
        <v>40.119999999999997</v>
      </c>
      <c r="S62" s="59">
        <v>23.8123</v>
      </c>
      <c r="T62" s="59">
        <v>1.6848000000000001</v>
      </c>
      <c r="U62" s="59">
        <v>38.35</v>
      </c>
      <c r="V62" s="59">
        <v>23.999199999999998</v>
      </c>
      <c r="W62" s="59">
        <v>1.5979000000000001</v>
      </c>
      <c r="X62" s="72"/>
      <c r="AL62" s="47">
        <f t="shared" si="1"/>
        <v>0</v>
      </c>
    </row>
    <row r="63" spans="1:38" ht="30.75" thickBot="1" x14ac:dyDescent="0.3">
      <c r="F63" s="43">
        <v>43460</v>
      </c>
      <c r="G63" s="89" t="s">
        <v>207</v>
      </c>
      <c r="H63" s="90" t="s">
        <v>67</v>
      </c>
      <c r="I63" s="1">
        <v>59</v>
      </c>
      <c r="J63" s="1">
        <v>59</v>
      </c>
      <c r="K63" s="1">
        <v>118</v>
      </c>
      <c r="M63" s="59" t="s">
        <v>245</v>
      </c>
      <c r="N63" s="59" t="s">
        <v>205</v>
      </c>
      <c r="O63" s="59">
        <v>39.53</v>
      </c>
      <c r="P63" s="59">
        <v>23.723299999999998</v>
      </c>
      <c r="Q63" s="59">
        <v>1.6661999999999999</v>
      </c>
      <c r="R63" s="59">
        <v>40.119999999999997</v>
      </c>
      <c r="S63" s="59">
        <v>23.8123</v>
      </c>
      <c r="T63" s="59">
        <v>1.6848000000000001</v>
      </c>
      <c r="U63" s="59">
        <v>38.35</v>
      </c>
      <c r="V63" s="59">
        <v>23.999199999999998</v>
      </c>
      <c r="W63" s="59">
        <v>1.5979000000000001</v>
      </c>
      <c r="X63" s="72"/>
      <c r="AL63" s="47">
        <f t="shared" si="1"/>
        <v>0</v>
      </c>
    </row>
    <row r="64" spans="1:38" x14ac:dyDescent="0.25">
      <c r="A64" s="363" t="s">
        <v>497</v>
      </c>
      <c r="B64" s="364"/>
      <c r="C64" s="365"/>
      <c r="F64" s="43">
        <v>43472</v>
      </c>
      <c r="G64" s="89" t="s">
        <v>247</v>
      </c>
      <c r="H64" s="90" t="s">
        <v>67</v>
      </c>
      <c r="I64" s="1">
        <v>3226</v>
      </c>
      <c r="J64" s="1">
        <v>3226</v>
      </c>
      <c r="K64" s="1">
        <v>6452</v>
      </c>
      <c r="M64" s="59" t="s">
        <v>250</v>
      </c>
      <c r="N64" s="59" t="s">
        <v>251</v>
      </c>
      <c r="O64" s="59">
        <v>508.53</v>
      </c>
      <c r="P64" s="59">
        <v>23.610099999999999</v>
      </c>
      <c r="Q64" s="59">
        <v>21.538599999999999</v>
      </c>
      <c r="R64" s="59">
        <v>516.12</v>
      </c>
      <c r="S64" s="59">
        <v>23.715900000000001</v>
      </c>
      <c r="T64" s="59">
        <v>21.762599999999999</v>
      </c>
      <c r="U64" s="59">
        <v>493.35</v>
      </c>
      <c r="V64" s="59">
        <v>23.870100000000001</v>
      </c>
      <c r="W64" s="59">
        <v>20.668099999999999</v>
      </c>
      <c r="X64" s="72"/>
      <c r="AL64" s="47">
        <f t="shared" si="1"/>
        <v>4934</v>
      </c>
    </row>
    <row r="65" spans="1:38" ht="30.75" thickBot="1" x14ac:dyDescent="0.3">
      <c r="A65" s="366"/>
      <c r="B65" s="367"/>
      <c r="C65" s="368"/>
      <c r="F65" s="43">
        <v>43472</v>
      </c>
      <c r="G65" s="89" t="s">
        <v>248</v>
      </c>
      <c r="H65" s="90" t="s">
        <v>67</v>
      </c>
      <c r="I65" s="1">
        <v>759</v>
      </c>
      <c r="J65" s="1">
        <v>759</v>
      </c>
      <c r="K65" s="1">
        <v>1518</v>
      </c>
      <c r="M65" s="59" t="s">
        <v>250</v>
      </c>
      <c r="N65" s="59" t="s">
        <v>252</v>
      </c>
      <c r="O65" s="59">
        <v>2161.42</v>
      </c>
      <c r="P65" s="59">
        <v>23.610099999999999</v>
      </c>
      <c r="Q65" s="59">
        <v>91.546400000000006</v>
      </c>
      <c r="R65" s="59">
        <v>2193.6799999999998</v>
      </c>
      <c r="S65" s="59">
        <v>23.715900000000001</v>
      </c>
      <c r="T65" s="59">
        <v>92.498199999999997</v>
      </c>
      <c r="U65" s="59">
        <v>2096.9</v>
      </c>
      <c r="V65" s="59">
        <v>23.870100000000001</v>
      </c>
      <c r="W65" s="59">
        <v>87.846299999999999</v>
      </c>
      <c r="X65" s="72"/>
      <c r="AL65" s="47">
        <f t="shared" si="1"/>
        <v>-4934</v>
      </c>
    </row>
    <row r="66" spans="1:38" x14ac:dyDescent="0.25">
      <c r="A66" s="374" t="s">
        <v>498</v>
      </c>
      <c r="B66" s="49" t="s">
        <v>93</v>
      </c>
      <c r="C66" s="50">
        <f>C39/C33</f>
        <v>25.531680281084675</v>
      </c>
      <c r="F66" s="43">
        <v>43495</v>
      </c>
      <c r="G66" s="89" t="s">
        <v>249</v>
      </c>
      <c r="H66" s="90" t="s">
        <v>67</v>
      </c>
      <c r="I66" s="1">
        <v>3226</v>
      </c>
      <c r="J66" s="1">
        <v>3226</v>
      </c>
      <c r="K66" s="1">
        <v>6452</v>
      </c>
      <c r="M66" s="59" t="s">
        <v>253</v>
      </c>
      <c r="N66" s="59" t="s">
        <v>254</v>
      </c>
      <c r="O66" s="59">
        <v>2161.42</v>
      </c>
      <c r="P66" s="59">
        <v>23.680299999999999</v>
      </c>
      <c r="Q66" s="59">
        <v>91.275000000000006</v>
      </c>
      <c r="R66" s="59">
        <v>2193.6799999999998</v>
      </c>
      <c r="S66" s="59">
        <v>23.773700000000002</v>
      </c>
      <c r="T66" s="59">
        <v>92.273300000000006</v>
      </c>
      <c r="U66" s="59">
        <v>2096.9</v>
      </c>
      <c r="V66" s="59">
        <v>23.906199999999998</v>
      </c>
      <c r="W66" s="59">
        <v>87.7136</v>
      </c>
      <c r="X66" s="72"/>
      <c r="AL66" s="47">
        <f t="shared" si="1"/>
        <v>0</v>
      </c>
    </row>
    <row r="67" spans="1:38" x14ac:dyDescent="0.25">
      <c r="A67" s="375"/>
      <c r="B67" s="45" t="s">
        <v>94</v>
      </c>
      <c r="C67" s="51">
        <f>C40/C34</f>
        <v>25.364126209613602</v>
      </c>
      <c r="F67" s="43">
        <v>43542</v>
      </c>
      <c r="G67" s="89" t="s">
        <v>255</v>
      </c>
      <c r="H67" s="90" t="s">
        <v>67</v>
      </c>
      <c r="I67" s="1">
        <v>3226</v>
      </c>
      <c r="J67" s="1">
        <v>3226</v>
      </c>
      <c r="K67" s="1">
        <v>6452</v>
      </c>
      <c r="M67" s="59" t="s">
        <v>258</v>
      </c>
      <c r="N67" s="59" t="s">
        <v>259</v>
      </c>
      <c r="O67" s="59">
        <v>2161.42</v>
      </c>
      <c r="P67" s="59">
        <v>24.1646</v>
      </c>
      <c r="Q67" s="59">
        <v>89.445700000000002</v>
      </c>
      <c r="R67" s="59">
        <v>2193.6799999999998</v>
      </c>
      <c r="S67" s="59">
        <v>24.287600000000001</v>
      </c>
      <c r="T67" s="59">
        <v>90.320899999999995</v>
      </c>
      <c r="U67" s="59">
        <v>2096.9</v>
      </c>
      <c r="V67" s="59">
        <v>24.381900000000002</v>
      </c>
      <c r="W67" s="59">
        <v>86.002300000000005</v>
      </c>
      <c r="X67" s="72"/>
      <c r="AL67" s="47">
        <f t="shared" si="1"/>
        <v>0</v>
      </c>
    </row>
    <row r="68" spans="1:38" ht="15.75" thickBot="1" x14ac:dyDescent="0.3">
      <c r="A68" s="376"/>
      <c r="B68" s="11" t="s">
        <v>95</v>
      </c>
      <c r="C68" s="12">
        <f>C41/C35</f>
        <v>25.688658319833923</v>
      </c>
      <c r="F68" s="43">
        <v>43542</v>
      </c>
      <c r="G68" s="89" t="s">
        <v>256</v>
      </c>
      <c r="H68" s="90" t="s">
        <v>67</v>
      </c>
      <c r="I68" s="1">
        <v>3226</v>
      </c>
      <c r="J68" s="1">
        <v>3226</v>
      </c>
      <c r="K68" s="1">
        <v>6452</v>
      </c>
      <c r="M68" s="59" t="s">
        <v>258</v>
      </c>
      <c r="N68" s="59" t="s">
        <v>260</v>
      </c>
      <c r="O68" s="59">
        <v>2161.42</v>
      </c>
      <c r="P68" s="59">
        <v>24.1646</v>
      </c>
      <c r="Q68" s="59">
        <v>89.445700000000002</v>
      </c>
      <c r="R68" s="59">
        <v>2193.6799999999998</v>
      </c>
      <c r="S68" s="59">
        <v>24.287600000000001</v>
      </c>
      <c r="T68" s="59">
        <v>90.320899999999995</v>
      </c>
      <c r="U68" s="59">
        <v>2096.9</v>
      </c>
      <c r="V68" s="59">
        <v>24.381900000000002</v>
      </c>
      <c r="W68" s="59">
        <v>86.002300000000005</v>
      </c>
      <c r="X68" s="72"/>
      <c r="AL68" s="47">
        <f t="shared" si="1"/>
        <v>0</v>
      </c>
    </row>
    <row r="69" spans="1:38" x14ac:dyDescent="0.25">
      <c r="F69" s="43">
        <v>43553</v>
      </c>
      <c r="G69" s="89" t="s">
        <v>257</v>
      </c>
      <c r="H69" s="90" t="s">
        <v>67</v>
      </c>
      <c r="I69" s="1">
        <v>3226</v>
      </c>
      <c r="J69" s="1">
        <v>3226</v>
      </c>
      <c r="K69" s="1">
        <v>6452</v>
      </c>
      <c r="M69" s="59" t="s">
        <v>261</v>
      </c>
      <c r="N69" s="59" t="s">
        <v>262</v>
      </c>
      <c r="O69" s="59">
        <v>2161.42</v>
      </c>
      <c r="P69" s="59">
        <v>24.392299999999999</v>
      </c>
      <c r="Q69" s="59">
        <v>88.610699999999994</v>
      </c>
      <c r="R69" s="59">
        <v>2193.6799999999998</v>
      </c>
      <c r="S69" s="59">
        <v>24.511500000000002</v>
      </c>
      <c r="T69" s="59">
        <v>89.495900000000006</v>
      </c>
      <c r="U69" s="59">
        <v>2096.9</v>
      </c>
      <c r="V69" s="59">
        <v>24.6081</v>
      </c>
      <c r="W69" s="59">
        <v>85.211699999999993</v>
      </c>
      <c r="X69" s="72"/>
      <c r="AL69" s="47">
        <f t="shared" si="1"/>
        <v>0</v>
      </c>
    </row>
    <row r="70" spans="1:38" ht="45" x14ac:dyDescent="0.25">
      <c r="F70" s="43">
        <v>43608</v>
      </c>
      <c r="G70" s="89" t="s">
        <v>263</v>
      </c>
      <c r="H70" s="90" t="s">
        <v>67</v>
      </c>
      <c r="I70" s="1">
        <v>3315</v>
      </c>
      <c r="J70" s="1">
        <v>3315</v>
      </c>
      <c r="K70" s="1">
        <v>6630</v>
      </c>
      <c r="M70" s="59" t="s">
        <v>264</v>
      </c>
      <c r="N70" s="59" t="s">
        <v>265</v>
      </c>
      <c r="O70" s="59">
        <v>2254.1999999999998</v>
      </c>
      <c r="P70" s="59">
        <v>24.7255</v>
      </c>
      <c r="Q70" s="59">
        <v>91.168999999999997</v>
      </c>
      <c r="R70" s="59">
        <v>2221.0500000000002</v>
      </c>
      <c r="S70" s="59">
        <v>24.788699999999999</v>
      </c>
      <c r="T70" s="59">
        <v>89.599199999999996</v>
      </c>
      <c r="U70" s="59">
        <v>2154.75</v>
      </c>
      <c r="V70" s="59">
        <v>24.9346</v>
      </c>
      <c r="W70" s="59">
        <v>86.415999999999997</v>
      </c>
      <c r="X70" s="72"/>
      <c r="AL70" s="47">
        <f t="shared" si="1"/>
        <v>0</v>
      </c>
    </row>
    <row r="71" spans="1:38" x14ac:dyDescent="0.25">
      <c r="F71" s="43">
        <v>43640</v>
      </c>
      <c r="G71" s="89" t="s">
        <v>275</v>
      </c>
      <c r="H71" s="90" t="s">
        <v>67</v>
      </c>
      <c r="I71" s="1">
        <v>3315</v>
      </c>
      <c r="J71" s="1">
        <v>3315</v>
      </c>
      <c r="K71" s="1">
        <v>6630</v>
      </c>
      <c r="M71" s="59" t="s">
        <v>277</v>
      </c>
      <c r="N71" s="59" t="s">
        <v>278</v>
      </c>
      <c r="O71" s="59">
        <v>60.52</v>
      </c>
      <c r="P71" s="59">
        <v>25.395700000000001</v>
      </c>
      <c r="Q71" s="59">
        <v>2.383</v>
      </c>
      <c r="R71" s="59">
        <v>59.63</v>
      </c>
      <c r="S71" s="59">
        <v>25.4314</v>
      </c>
      <c r="T71" s="59">
        <v>2.3447</v>
      </c>
      <c r="U71" s="59">
        <v>57.85</v>
      </c>
      <c r="V71" s="59">
        <v>25.683499999999999</v>
      </c>
      <c r="W71" s="59">
        <v>2.2524000000000002</v>
      </c>
      <c r="X71" s="72"/>
      <c r="AL71" s="47">
        <f t="shared" si="1"/>
        <v>6451.9999999999991</v>
      </c>
    </row>
    <row r="72" spans="1:38" ht="30" customHeight="1" x14ac:dyDescent="0.25">
      <c r="A72" s="372" t="s">
        <v>602</v>
      </c>
      <c r="B72" s="40">
        <f>IF(B46="yes",0,1)</f>
        <v>0</v>
      </c>
      <c r="C72" s="40">
        <f>IF(B48="yes",0,1)</f>
        <v>0</v>
      </c>
      <c r="D72" s="40">
        <f>IF(C55="Equal",0,1)</f>
        <v>0</v>
      </c>
      <c r="F72" s="43">
        <v>43640</v>
      </c>
      <c r="G72" s="89" t="s">
        <v>276</v>
      </c>
      <c r="H72" s="90" t="s">
        <v>67</v>
      </c>
      <c r="I72" s="1">
        <v>89</v>
      </c>
      <c r="J72" s="1">
        <v>89</v>
      </c>
      <c r="K72" s="1">
        <v>178</v>
      </c>
      <c r="M72" s="59" t="s">
        <v>277</v>
      </c>
      <c r="N72" s="59" t="s">
        <v>278</v>
      </c>
      <c r="O72" s="59">
        <v>60.52</v>
      </c>
      <c r="P72" s="59">
        <v>25.395700000000001</v>
      </c>
      <c r="Q72" s="59">
        <v>2.383</v>
      </c>
      <c r="R72" s="59">
        <v>59.63</v>
      </c>
      <c r="S72" s="59">
        <v>25.4314</v>
      </c>
      <c r="T72" s="59">
        <v>2.3447</v>
      </c>
      <c r="U72" s="59">
        <v>57.85</v>
      </c>
      <c r="V72" s="59">
        <v>25.683499999999999</v>
      </c>
      <c r="W72" s="59">
        <v>2.2524000000000002</v>
      </c>
      <c r="X72" s="72"/>
      <c r="AL72" s="47">
        <f t="shared" ref="AL72:AL135" si="2">I72+J72-O72-R72-U72</f>
        <v>0</v>
      </c>
    </row>
    <row r="73" spans="1:38" ht="30" x14ac:dyDescent="0.25">
      <c r="A73" s="372"/>
      <c r="B73" s="372">
        <f>SUM(B72:D72)</f>
        <v>0</v>
      </c>
      <c r="C73" s="372"/>
      <c r="D73" s="372"/>
      <c r="F73" s="43">
        <v>43640</v>
      </c>
      <c r="G73" s="89" t="s">
        <v>276</v>
      </c>
      <c r="H73" s="90" t="s">
        <v>67</v>
      </c>
      <c r="I73" s="1">
        <v>89</v>
      </c>
      <c r="J73" s="1">
        <v>89</v>
      </c>
      <c r="K73" s="1">
        <v>178</v>
      </c>
      <c r="M73" s="59" t="s">
        <v>277</v>
      </c>
      <c r="N73" s="59" t="s">
        <v>279</v>
      </c>
      <c r="O73" s="59">
        <v>2254.1999999999998</v>
      </c>
      <c r="P73" s="59">
        <v>25.395700000000001</v>
      </c>
      <c r="Q73" s="59">
        <v>88.763000000000005</v>
      </c>
      <c r="R73" s="59">
        <v>2221.0500000000002</v>
      </c>
      <c r="S73" s="59">
        <v>25.4314</v>
      </c>
      <c r="T73" s="59">
        <v>87.334900000000005</v>
      </c>
      <c r="U73" s="59">
        <v>2154.75</v>
      </c>
      <c r="V73" s="59">
        <v>25.683499999999999</v>
      </c>
      <c r="W73" s="59">
        <v>83.896199999999993</v>
      </c>
      <c r="X73" s="72"/>
      <c r="AL73" s="47">
        <f t="shared" si="2"/>
        <v>-6452</v>
      </c>
    </row>
    <row r="74" spans="1:38" ht="15.75" customHeight="1" x14ac:dyDescent="0.25">
      <c r="F74" s="43">
        <v>43648</v>
      </c>
      <c r="G74" s="89" t="s">
        <v>280</v>
      </c>
      <c r="H74" s="90" t="s">
        <v>67</v>
      </c>
      <c r="I74" s="1">
        <v>3315</v>
      </c>
      <c r="J74" s="1">
        <v>3315</v>
      </c>
      <c r="K74" s="1">
        <v>6630</v>
      </c>
      <c r="M74" s="59" t="s">
        <v>284</v>
      </c>
      <c r="N74" s="59" t="s">
        <v>285</v>
      </c>
      <c r="O74" s="59">
        <v>2254.1999999999998</v>
      </c>
      <c r="P74" s="59">
        <v>25.457000000000001</v>
      </c>
      <c r="Q74" s="59">
        <v>88.549300000000002</v>
      </c>
      <c r="R74" s="59">
        <v>2221.0500000000002</v>
      </c>
      <c r="S74" s="59">
        <v>25.502500000000001</v>
      </c>
      <c r="T74" s="59">
        <v>87.091399999999993</v>
      </c>
      <c r="U74" s="59">
        <v>2154.75</v>
      </c>
      <c r="V74" s="59">
        <v>25.7714</v>
      </c>
      <c r="W74" s="59">
        <v>83.610100000000003</v>
      </c>
      <c r="X74" s="72"/>
      <c r="AL74" s="47">
        <f t="shared" si="2"/>
        <v>0</v>
      </c>
    </row>
    <row r="75" spans="1:38" x14ac:dyDescent="0.25">
      <c r="F75" s="43">
        <v>43691</v>
      </c>
      <c r="G75" s="89" t="s">
        <v>281</v>
      </c>
      <c r="H75" s="90" t="s">
        <v>67</v>
      </c>
      <c r="I75" s="1">
        <v>3315</v>
      </c>
      <c r="J75" s="1">
        <v>3315</v>
      </c>
      <c r="K75" s="1">
        <v>6630</v>
      </c>
      <c r="M75" s="59" t="s">
        <v>286</v>
      </c>
      <c r="N75" s="59" t="s">
        <v>287</v>
      </c>
      <c r="O75" s="59">
        <v>2254.1999999999998</v>
      </c>
      <c r="P75" s="59">
        <v>25.659800000000001</v>
      </c>
      <c r="Q75" s="59">
        <v>87.849400000000003</v>
      </c>
      <c r="R75" s="59">
        <v>2221.0500000000002</v>
      </c>
      <c r="S75" s="59">
        <v>25.603000000000002</v>
      </c>
      <c r="T75" s="59">
        <v>86.749499999999998</v>
      </c>
      <c r="U75" s="59">
        <v>2154.75</v>
      </c>
      <c r="V75" s="59">
        <v>25.807200000000002</v>
      </c>
      <c r="W75" s="59">
        <v>83.494100000000003</v>
      </c>
      <c r="X75" s="72"/>
      <c r="AL75" s="47">
        <f t="shared" si="2"/>
        <v>0</v>
      </c>
    </row>
    <row r="76" spans="1:38" x14ac:dyDescent="0.25">
      <c r="F76" s="43">
        <v>43711</v>
      </c>
      <c r="G76" s="89" t="s">
        <v>282</v>
      </c>
      <c r="H76" s="90" t="s">
        <v>67</v>
      </c>
      <c r="I76" s="1">
        <v>3416</v>
      </c>
      <c r="J76" s="1">
        <v>3416</v>
      </c>
      <c r="K76" s="1">
        <v>6832</v>
      </c>
      <c r="M76" s="59" t="s">
        <v>288</v>
      </c>
      <c r="N76" s="59" t="s">
        <v>289</v>
      </c>
      <c r="O76" s="59">
        <v>2322.88</v>
      </c>
      <c r="P76" s="59">
        <v>25.832599999999999</v>
      </c>
      <c r="Q76" s="59">
        <v>89.920400000000001</v>
      </c>
      <c r="R76" s="59">
        <v>2288.7199999999998</v>
      </c>
      <c r="S76" s="59">
        <v>25.7255</v>
      </c>
      <c r="T76" s="59">
        <v>88.966899999999995</v>
      </c>
      <c r="U76" s="59">
        <v>2220.4</v>
      </c>
      <c r="V76" s="59">
        <v>25.953299999999999</v>
      </c>
      <c r="W76" s="59">
        <v>85.553600000000003</v>
      </c>
      <c r="X76" s="72"/>
      <c r="AL76" s="47">
        <f t="shared" si="2"/>
        <v>0</v>
      </c>
    </row>
    <row r="77" spans="1:38" x14ac:dyDescent="0.25">
      <c r="F77" s="43">
        <v>43753</v>
      </c>
      <c r="G77" s="89" t="s">
        <v>283</v>
      </c>
      <c r="H77" s="90" t="s">
        <v>67</v>
      </c>
      <c r="I77" s="1">
        <v>3416</v>
      </c>
      <c r="J77" s="1">
        <v>3416</v>
      </c>
      <c r="K77" s="1">
        <v>6832</v>
      </c>
      <c r="M77" s="59" t="s">
        <v>290</v>
      </c>
      <c r="N77" s="59" t="s">
        <v>291</v>
      </c>
      <c r="O77" s="59">
        <v>2322.88</v>
      </c>
      <c r="P77" s="59">
        <v>25.9694</v>
      </c>
      <c r="Q77" s="59">
        <v>89.446799999999996</v>
      </c>
      <c r="R77" s="59">
        <v>2288.7199999999998</v>
      </c>
      <c r="S77" s="59">
        <v>25.922999999999998</v>
      </c>
      <c r="T77" s="59">
        <v>88.289100000000005</v>
      </c>
      <c r="U77" s="59">
        <v>2220.4</v>
      </c>
      <c r="V77" s="59">
        <v>26.0669</v>
      </c>
      <c r="W77" s="59">
        <v>85.180800000000005</v>
      </c>
      <c r="X77" s="72"/>
      <c r="AL77" s="47">
        <f t="shared" si="2"/>
        <v>0</v>
      </c>
    </row>
    <row r="78" spans="1:38" x14ac:dyDescent="0.25">
      <c r="F78" s="43">
        <v>43774</v>
      </c>
      <c r="G78" s="89" t="s">
        <v>296</v>
      </c>
      <c r="H78" s="90" t="s">
        <v>67</v>
      </c>
      <c r="I78" s="1">
        <v>3416</v>
      </c>
      <c r="J78" s="1">
        <v>3416</v>
      </c>
      <c r="K78" s="1">
        <v>6832</v>
      </c>
      <c r="M78" s="59" t="s">
        <v>297</v>
      </c>
      <c r="N78" s="59" t="s">
        <v>298</v>
      </c>
      <c r="O78" s="59">
        <v>2322.88</v>
      </c>
      <c r="P78" s="59">
        <v>26.232600000000001</v>
      </c>
      <c r="Q78" s="59">
        <v>88.549300000000002</v>
      </c>
      <c r="R78" s="59">
        <v>2288.7199999999998</v>
      </c>
      <c r="S78" s="59">
        <v>26.208300000000001</v>
      </c>
      <c r="T78" s="59">
        <v>87.328000000000003</v>
      </c>
      <c r="U78" s="59">
        <v>2220.4</v>
      </c>
      <c r="V78" s="59">
        <v>26.3565</v>
      </c>
      <c r="W78" s="59">
        <v>84.244799999999998</v>
      </c>
      <c r="X78" s="72"/>
      <c r="AL78" s="47">
        <f t="shared" si="2"/>
        <v>0</v>
      </c>
    </row>
    <row r="79" spans="1:38" x14ac:dyDescent="0.25">
      <c r="F79" s="54">
        <v>43798</v>
      </c>
      <c r="G79" s="89" t="s">
        <v>313</v>
      </c>
      <c r="H79" s="91" t="s">
        <v>67</v>
      </c>
      <c r="I79" s="1">
        <v>3416</v>
      </c>
      <c r="J79" s="1">
        <v>3416</v>
      </c>
      <c r="K79" s="1">
        <v>6832</v>
      </c>
      <c r="M79" s="176" t="s">
        <v>315</v>
      </c>
      <c r="N79" s="176" t="s">
        <v>316</v>
      </c>
      <c r="O79" s="59">
        <v>2322.88</v>
      </c>
      <c r="P79" s="59">
        <v>26.442299999999999</v>
      </c>
      <c r="Q79" s="59">
        <v>87.847099999999998</v>
      </c>
      <c r="R79" s="59">
        <v>2288.7199999999998</v>
      </c>
      <c r="S79" s="59">
        <v>26.434899999999999</v>
      </c>
      <c r="T79" s="59">
        <v>86.579400000000007</v>
      </c>
      <c r="U79" s="59">
        <v>2220.4</v>
      </c>
      <c r="V79" s="59">
        <v>26.550899999999999</v>
      </c>
      <c r="W79" s="59">
        <v>83.628</v>
      </c>
      <c r="X79" s="73"/>
      <c r="AL79" s="47">
        <f t="shared" si="2"/>
        <v>0</v>
      </c>
    </row>
    <row r="80" spans="1:38" ht="30" x14ac:dyDescent="0.25">
      <c r="F80" s="65">
        <v>43803</v>
      </c>
      <c r="G80" s="93" t="s">
        <v>314</v>
      </c>
      <c r="H80" s="92" t="s">
        <v>310</v>
      </c>
      <c r="I80" s="80">
        <v>1000</v>
      </c>
      <c r="J80" s="80">
        <v>0</v>
      </c>
      <c r="K80" s="80">
        <v>1000</v>
      </c>
      <c r="L80" s="66"/>
      <c r="M80" s="177" t="s">
        <v>317</v>
      </c>
      <c r="N80" s="177" t="s">
        <v>318</v>
      </c>
      <c r="O80" s="79">
        <v>340</v>
      </c>
      <c r="P80" s="79">
        <v>26.4863</v>
      </c>
      <c r="Q80" s="79">
        <v>12.8368</v>
      </c>
      <c r="R80" s="79">
        <v>335</v>
      </c>
      <c r="S80" s="79">
        <v>26.468800000000002</v>
      </c>
      <c r="T80" s="79">
        <v>12.6564</v>
      </c>
      <c r="U80" s="79">
        <v>325</v>
      </c>
      <c r="V80" s="79">
        <v>26.5901</v>
      </c>
      <c r="W80" s="79">
        <v>12.2225</v>
      </c>
      <c r="X80" s="74"/>
      <c r="Y80" s="67"/>
      <c r="Z80" s="67"/>
      <c r="AA80" s="67"/>
      <c r="AB80" s="67"/>
      <c r="AC80" s="67"/>
      <c r="AD80" s="67"/>
      <c r="AE80" s="67"/>
      <c r="AF80" s="67"/>
      <c r="AG80" s="67"/>
      <c r="AH80" s="67"/>
      <c r="AI80" s="67"/>
      <c r="AJ80" s="67"/>
      <c r="AL80" s="47">
        <f t="shared" si="2"/>
        <v>0</v>
      </c>
    </row>
    <row r="81" spans="6:38" x14ac:dyDescent="0.25">
      <c r="F81" s="54">
        <v>43843</v>
      </c>
      <c r="G81" s="89" t="s">
        <v>319</v>
      </c>
      <c r="H81" s="91" t="s">
        <v>67</v>
      </c>
      <c r="I81" s="1">
        <v>3416</v>
      </c>
      <c r="J81" s="1">
        <v>3416</v>
      </c>
      <c r="K81" s="1">
        <v>6832</v>
      </c>
      <c r="M81" s="176" t="s">
        <v>324</v>
      </c>
      <c r="N81" s="176" t="s">
        <v>325</v>
      </c>
      <c r="O81" s="59">
        <v>2322.88</v>
      </c>
      <c r="P81" s="59">
        <v>26.554200000000002</v>
      </c>
      <c r="Q81" s="59">
        <v>87.476900000000001</v>
      </c>
      <c r="R81" s="59">
        <v>2288.7199999999998</v>
      </c>
      <c r="S81" s="59">
        <v>26.5504</v>
      </c>
      <c r="T81" s="59">
        <v>86.202799999999996</v>
      </c>
      <c r="U81" s="59">
        <v>2220.4</v>
      </c>
      <c r="V81" s="59">
        <v>26.564800000000002</v>
      </c>
      <c r="W81" s="59">
        <v>83.584199999999996</v>
      </c>
      <c r="X81" s="73"/>
      <c r="Y81" s="55" t="s">
        <v>322</v>
      </c>
      <c r="Z81" s="55" t="s">
        <v>323</v>
      </c>
      <c r="AA81" s="55">
        <v>-10.32</v>
      </c>
      <c r="AB81" s="55">
        <v>-3.52</v>
      </c>
      <c r="AC81" s="55">
        <v>26.554099999999998</v>
      </c>
      <c r="AD81" s="55">
        <v>-0.13250000000000001</v>
      </c>
      <c r="AE81" s="55">
        <v>-3.44</v>
      </c>
      <c r="AF81" s="55">
        <v>26.540600000000001</v>
      </c>
      <c r="AG81" s="55">
        <v>-0.12959999999999999</v>
      </c>
      <c r="AH81" s="55">
        <v>-3.36</v>
      </c>
      <c r="AI81" s="55">
        <v>26.581199999999999</v>
      </c>
      <c r="AJ81" s="63">
        <v>-0.12640000000000001</v>
      </c>
      <c r="AL81" s="47">
        <f t="shared" si="2"/>
        <v>0</v>
      </c>
    </row>
    <row r="82" spans="6:38" x14ac:dyDescent="0.25">
      <c r="F82" s="54">
        <v>43872</v>
      </c>
      <c r="G82" s="89" t="s">
        <v>320</v>
      </c>
      <c r="H82" s="91" t="s">
        <v>67</v>
      </c>
      <c r="I82" s="1">
        <v>3416</v>
      </c>
      <c r="J82" s="1">
        <v>3416</v>
      </c>
      <c r="K82" s="1">
        <v>6832</v>
      </c>
      <c r="M82" s="176" t="s">
        <v>326</v>
      </c>
      <c r="N82" s="176" t="s">
        <v>327</v>
      </c>
      <c r="O82" s="59">
        <v>2322.88</v>
      </c>
      <c r="P82" s="59">
        <v>26.971299999999999</v>
      </c>
      <c r="Q82" s="59">
        <v>86.124099999999999</v>
      </c>
      <c r="R82" s="59">
        <v>2288.7199999999998</v>
      </c>
      <c r="S82" s="59">
        <v>26.9498</v>
      </c>
      <c r="T82" s="59">
        <v>84.925299999999993</v>
      </c>
      <c r="U82" s="59">
        <v>2220.4</v>
      </c>
      <c r="V82" s="59">
        <v>26.9587</v>
      </c>
      <c r="W82" s="59">
        <v>82.363</v>
      </c>
      <c r="X82" s="73"/>
      <c r="AL82" s="47">
        <f t="shared" si="2"/>
        <v>0</v>
      </c>
    </row>
    <row r="83" spans="6:38" x14ac:dyDescent="0.25">
      <c r="F83" s="54">
        <v>43893</v>
      </c>
      <c r="G83" s="89" t="s">
        <v>321</v>
      </c>
      <c r="H83" s="91" t="s">
        <v>67</v>
      </c>
      <c r="I83" s="1">
        <v>3416</v>
      </c>
      <c r="J83" s="1">
        <v>3416</v>
      </c>
      <c r="K83" s="1">
        <v>6832</v>
      </c>
      <c r="M83" s="176" t="s">
        <v>328</v>
      </c>
      <c r="N83" s="176" t="s">
        <v>329</v>
      </c>
      <c r="O83" s="59">
        <v>2322.88</v>
      </c>
      <c r="P83" s="59">
        <v>27.0321</v>
      </c>
      <c r="Q83" s="59">
        <v>85.930400000000006</v>
      </c>
      <c r="R83" s="59">
        <v>2288.7199999999998</v>
      </c>
      <c r="S83" s="59">
        <v>26.926300000000001</v>
      </c>
      <c r="T83" s="59">
        <v>84.999399999999994</v>
      </c>
      <c r="U83" s="59">
        <v>2220.4</v>
      </c>
      <c r="V83" s="59">
        <v>26.9544</v>
      </c>
      <c r="W83" s="59">
        <v>82.376099999999994</v>
      </c>
      <c r="X83" s="73"/>
      <c r="AL83" s="47">
        <f t="shared" si="2"/>
        <v>0</v>
      </c>
    </row>
    <row r="84" spans="6:38" x14ac:dyDescent="0.25">
      <c r="F84" s="54">
        <v>43924</v>
      </c>
      <c r="G84" s="89" t="s">
        <v>351</v>
      </c>
      <c r="H84" s="91" t="s">
        <v>67</v>
      </c>
      <c r="I84" s="1">
        <v>3416</v>
      </c>
      <c r="J84" s="1">
        <v>3416</v>
      </c>
      <c r="K84" s="1">
        <v>6832</v>
      </c>
      <c r="M84" s="176" t="s">
        <v>349</v>
      </c>
      <c r="N84" s="58" t="s">
        <v>350</v>
      </c>
      <c r="O84" s="58">
        <v>2322.88</v>
      </c>
      <c r="P84" s="58">
        <v>26.29</v>
      </c>
      <c r="Q84" s="58">
        <v>88.355999999999995</v>
      </c>
      <c r="R84" s="58">
        <v>2288.7199999999998</v>
      </c>
      <c r="S84" s="58">
        <v>26.0471</v>
      </c>
      <c r="T84" s="58">
        <v>87.868499999999997</v>
      </c>
      <c r="U84" s="58">
        <v>2220.4</v>
      </c>
      <c r="V84" s="58">
        <v>26.005299999999998</v>
      </c>
      <c r="W84" s="58">
        <v>85.382499999999993</v>
      </c>
      <c r="AL84" s="47">
        <f t="shared" si="2"/>
        <v>0</v>
      </c>
    </row>
    <row r="85" spans="6:38" x14ac:dyDescent="0.25">
      <c r="F85" s="54">
        <v>43951</v>
      </c>
      <c r="G85" s="89" t="s">
        <v>353</v>
      </c>
      <c r="H85" s="91" t="s">
        <v>67</v>
      </c>
      <c r="I85" s="1">
        <v>2532</v>
      </c>
      <c r="J85" s="1">
        <v>2532</v>
      </c>
      <c r="K85" s="1">
        <v>5064</v>
      </c>
      <c r="M85" s="176" t="s">
        <v>355</v>
      </c>
      <c r="N85" s="58" t="s">
        <v>356</v>
      </c>
      <c r="O85" s="58">
        <v>1721.76</v>
      </c>
      <c r="P85" s="58">
        <v>27.085000000000001</v>
      </c>
      <c r="Q85" s="58">
        <v>63.5687</v>
      </c>
      <c r="R85" s="58">
        <v>1696.44</v>
      </c>
      <c r="S85" s="58">
        <v>26.896000000000001</v>
      </c>
      <c r="T85" s="58">
        <v>63.073999999999998</v>
      </c>
      <c r="U85" s="58">
        <v>1645.8</v>
      </c>
      <c r="V85" s="58">
        <v>26.8691</v>
      </c>
      <c r="W85" s="58">
        <v>61.252499999999998</v>
      </c>
      <c r="AL85" s="47">
        <f t="shared" si="2"/>
        <v>0</v>
      </c>
    </row>
    <row r="86" spans="6:38" x14ac:dyDescent="0.25">
      <c r="F86" s="54">
        <v>44014</v>
      </c>
      <c r="G86" s="89" t="s">
        <v>354</v>
      </c>
      <c r="H86" s="91" t="s">
        <v>67</v>
      </c>
      <c r="I86" s="1">
        <v>3569</v>
      </c>
      <c r="J86" s="1">
        <v>3569</v>
      </c>
      <c r="K86" s="1">
        <v>7138</v>
      </c>
      <c r="M86" s="176" t="s">
        <v>357</v>
      </c>
      <c r="N86" s="58" t="s">
        <v>116</v>
      </c>
      <c r="O86" s="58">
        <v>117.81</v>
      </c>
      <c r="P86" s="58">
        <v>28.195799999999998</v>
      </c>
      <c r="Q86" s="58">
        <v>4.1782000000000004</v>
      </c>
      <c r="R86" s="58">
        <v>97.92</v>
      </c>
      <c r="S86" s="58">
        <v>28.017800000000001</v>
      </c>
      <c r="T86" s="58">
        <v>3.4948999999999999</v>
      </c>
      <c r="U86" s="58">
        <v>90.27</v>
      </c>
      <c r="V86" s="58">
        <v>28.069500000000001</v>
      </c>
      <c r="W86" s="58">
        <v>3.2159</v>
      </c>
      <c r="AL86" s="47">
        <f t="shared" si="2"/>
        <v>6831.9999999999991</v>
      </c>
    </row>
    <row r="87" spans="6:38" x14ac:dyDescent="0.25">
      <c r="F87" s="54">
        <v>44014</v>
      </c>
      <c r="G87" s="89" t="s">
        <v>70</v>
      </c>
      <c r="H87" s="91" t="s">
        <v>67</v>
      </c>
      <c r="I87" s="1">
        <v>153</v>
      </c>
      <c r="J87" s="1">
        <v>153</v>
      </c>
      <c r="K87" s="1">
        <v>306</v>
      </c>
      <c r="M87" s="176" t="s">
        <v>357</v>
      </c>
      <c r="N87" s="58" t="s">
        <v>116</v>
      </c>
      <c r="O87" s="58">
        <v>117.81</v>
      </c>
      <c r="P87" s="58">
        <v>28.195799999999998</v>
      </c>
      <c r="Q87" s="58">
        <v>4.1782000000000004</v>
      </c>
      <c r="R87" s="58">
        <v>97.92</v>
      </c>
      <c r="S87" s="58">
        <v>28.017800000000001</v>
      </c>
      <c r="T87" s="58">
        <v>3.4948999999999999</v>
      </c>
      <c r="U87" s="58">
        <v>90.27</v>
      </c>
      <c r="V87" s="58">
        <v>28.069500000000001</v>
      </c>
      <c r="W87" s="58">
        <v>3.2159</v>
      </c>
      <c r="AL87" s="47">
        <f t="shared" si="2"/>
        <v>0</v>
      </c>
    </row>
    <row r="88" spans="6:38" x14ac:dyDescent="0.25">
      <c r="F88" s="54">
        <v>44014</v>
      </c>
      <c r="G88" s="89" t="s">
        <v>70</v>
      </c>
      <c r="H88" s="91" t="s">
        <v>67</v>
      </c>
      <c r="I88" s="1">
        <v>153</v>
      </c>
      <c r="J88" s="1">
        <v>153</v>
      </c>
      <c r="K88" s="1">
        <v>306</v>
      </c>
      <c r="M88" s="176" t="s">
        <v>357</v>
      </c>
      <c r="N88" s="58" t="s">
        <v>116</v>
      </c>
      <c r="O88" s="58">
        <v>117.81</v>
      </c>
      <c r="P88" s="58">
        <v>28.195799999999998</v>
      </c>
      <c r="Q88" s="58">
        <v>4.1782000000000004</v>
      </c>
      <c r="R88" s="58">
        <v>97.92</v>
      </c>
      <c r="S88" s="58">
        <v>28.017800000000001</v>
      </c>
      <c r="T88" s="58">
        <v>3.4948999999999999</v>
      </c>
      <c r="U88" s="58">
        <v>90.27</v>
      </c>
      <c r="V88" s="58">
        <v>28.069500000000001</v>
      </c>
      <c r="W88" s="58">
        <v>3.2159</v>
      </c>
      <c r="AL88" s="47">
        <f t="shared" si="2"/>
        <v>0</v>
      </c>
    </row>
    <row r="89" spans="6:38" x14ac:dyDescent="0.25">
      <c r="F89" s="54">
        <v>44014</v>
      </c>
      <c r="G89" s="89" t="s">
        <v>70</v>
      </c>
      <c r="H89" s="91" t="s">
        <v>67</v>
      </c>
      <c r="I89" s="1">
        <v>153</v>
      </c>
      <c r="J89" s="1">
        <v>153</v>
      </c>
      <c r="K89" s="1">
        <v>306</v>
      </c>
      <c r="M89" s="176" t="s">
        <v>357</v>
      </c>
      <c r="N89" s="58" t="s">
        <v>116</v>
      </c>
      <c r="O89" s="58">
        <v>117.81</v>
      </c>
      <c r="P89" s="58">
        <v>28.195799999999998</v>
      </c>
      <c r="Q89" s="58">
        <v>4.1782000000000004</v>
      </c>
      <c r="R89" s="58">
        <v>97.92</v>
      </c>
      <c r="S89" s="58">
        <v>28.017800000000001</v>
      </c>
      <c r="T89" s="58">
        <v>3.4948999999999999</v>
      </c>
      <c r="U89" s="58">
        <v>90.27</v>
      </c>
      <c r="V89" s="58">
        <v>28.069500000000001</v>
      </c>
      <c r="W89" s="58">
        <v>3.2159</v>
      </c>
      <c r="AL89" s="47">
        <f t="shared" si="2"/>
        <v>0</v>
      </c>
    </row>
    <row r="90" spans="6:38" x14ac:dyDescent="0.25">
      <c r="F90" s="54">
        <v>44014</v>
      </c>
      <c r="G90" s="89" t="s">
        <v>70</v>
      </c>
      <c r="H90" s="91" t="s">
        <v>67</v>
      </c>
      <c r="I90" s="1">
        <v>153</v>
      </c>
      <c r="J90" s="1">
        <v>153</v>
      </c>
      <c r="K90" s="1">
        <v>306</v>
      </c>
      <c r="M90" s="176" t="s">
        <v>357</v>
      </c>
      <c r="N90" s="58" t="s">
        <v>116</v>
      </c>
      <c r="O90" s="58">
        <v>117.81</v>
      </c>
      <c r="P90" s="58">
        <v>28.195799999999998</v>
      </c>
      <c r="Q90" s="58">
        <v>4.1782000000000004</v>
      </c>
      <c r="R90" s="58">
        <v>97.92</v>
      </c>
      <c r="S90" s="58">
        <v>28.017800000000001</v>
      </c>
      <c r="T90" s="58">
        <v>3.4948999999999999</v>
      </c>
      <c r="U90" s="58">
        <v>90.27</v>
      </c>
      <c r="V90" s="58">
        <v>28.069500000000001</v>
      </c>
      <c r="W90" s="58">
        <v>3.2159</v>
      </c>
      <c r="AL90" s="47">
        <f t="shared" si="2"/>
        <v>0</v>
      </c>
    </row>
    <row r="91" spans="6:38" x14ac:dyDescent="0.25">
      <c r="F91" s="54">
        <v>44014</v>
      </c>
      <c r="G91" s="89" t="s">
        <v>70</v>
      </c>
      <c r="H91" s="91" t="s">
        <v>67</v>
      </c>
      <c r="I91" s="1">
        <v>153</v>
      </c>
      <c r="J91" s="1">
        <v>153</v>
      </c>
      <c r="K91" s="1">
        <v>306</v>
      </c>
      <c r="M91" s="176" t="s">
        <v>357</v>
      </c>
      <c r="N91" s="58" t="s">
        <v>116</v>
      </c>
      <c r="O91" s="58">
        <v>117.81</v>
      </c>
      <c r="P91" s="58">
        <v>28.195799999999998</v>
      </c>
      <c r="Q91" s="58">
        <v>4.1782000000000004</v>
      </c>
      <c r="R91" s="58">
        <v>97.92</v>
      </c>
      <c r="S91" s="58">
        <v>28.017800000000001</v>
      </c>
      <c r="T91" s="58">
        <v>3.4948999999999999</v>
      </c>
      <c r="U91" s="58">
        <v>90.27</v>
      </c>
      <c r="V91" s="58">
        <v>28.069500000000001</v>
      </c>
      <c r="W91" s="58">
        <v>3.2159</v>
      </c>
      <c r="AL91" s="47">
        <f t="shared" si="2"/>
        <v>0</v>
      </c>
    </row>
    <row r="92" spans="6:38" x14ac:dyDescent="0.25">
      <c r="F92" s="54">
        <v>44014</v>
      </c>
      <c r="G92" s="89" t="s">
        <v>70</v>
      </c>
      <c r="H92" s="91" t="s">
        <v>67</v>
      </c>
      <c r="I92" s="1">
        <v>153</v>
      </c>
      <c r="J92" s="1">
        <v>153</v>
      </c>
      <c r="K92" s="1">
        <v>306</v>
      </c>
      <c r="M92" s="176" t="s">
        <v>357</v>
      </c>
      <c r="N92" s="58" t="s">
        <v>116</v>
      </c>
      <c r="O92" s="58">
        <v>117.81</v>
      </c>
      <c r="P92" s="58">
        <v>28.195799999999998</v>
      </c>
      <c r="Q92" s="58">
        <v>4.1782000000000004</v>
      </c>
      <c r="R92" s="58">
        <v>97.92</v>
      </c>
      <c r="S92" s="58">
        <v>28.017800000000001</v>
      </c>
      <c r="T92" s="58">
        <v>3.4948999999999999</v>
      </c>
      <c r="U92" s="58">
        <v>90.27</v>
      </c>
      <c r="V92" s="58">
        <v>28.069500000000001</v>
      </c>
      <c r="W92" s="58">
        <v>3.2159</v>
      </c>
      <c r="AL92" s="47">
        <f t="shared" si="2"/>
        <v>0</v>
      </c>
    </row>
    <row r="93" spans="6:38" x14ac:dyDescent="0.25">
      <c r="F93" s="54">
        <v>44014</v>
      </c>
      <c r="G93" s="89" t="s">
        <v>70</v>
      </c>
      <c r="H93" s="91" t="s">
        <v>67</v>
      </c>
      <c r="I93" s="1">
        <v>153</v>
      </c>
      <c r="J93" s="1">
        <v>153</v>
      </c>
      <c r="K93" s="1">
        <v>306</v>
      </c>
      <c r="M93" s="176" t="s">
        <v>357</v>
      </c>
      <c r="N93" s="58" t="s">
        <v>116</v>
      </c>
      <c r="O93" s="58">
        <v>117.81</v>
      </c>
      <c r="P93" s="58">
        <v>28.195799999999998</v>
      </c>
      <c r="Q93" s="58">
        <v>4.1782000000000004</v>
      </c>
      <c r="R93" s="58">
        <v>97.92</v>
      </c>
      <c r="S93" s="58">
        <v>28.017800000000001</v>
      </c>
      <c r="T93" s="58">
        <v>3.4948999999999999</v>
      </c>
      <c r="U93" s="58">
        <v>90.27</v>
      </c>
      <c r="V93" s="58">
        <v>28.069500000000001</v>
      </c>
      <c r="W93" s="58">
        <v>3.2159</v>
      </c>
      <c r="AL93" s="47">
        <f t="shared" si="2"/>
        <v>0</v>
      </c>
    </row>
    <row r="94" spans="6:38" x14ac:dyDescent="0.25">
      <c r="F94" s="54">
        <v>44014</v>
      </c>
      <c r="G94" s="89" t="s">
        <v>70</v>
      </c>
      <c r="H94" s="91" t="s">
        <v>67</v>
      </c>
      <c r="I94" s="1">
        <v>153</v>
      </c>
      <c r="J94" s="1">
        <v>153</v>
      </c>
      <c r="K94" s="1">
        <v>306</v>
      </c>
      <c r="M94" s="176" t="s">
        <v>357</v>
      </c>
      <c r="N94" s="58" t="s">
        <v>358</v>
      </c>
      <c r="O94" s="58">
        <v>2748.13</v>
      </c>
      <c r="P94" s="58">
        <v>28.195799999999998</v>
      </c>
      <c r="Q94" s="58">
        <v>97.465900000000005</v>
      </c>
      <c r="R94" s="58">
        <v>2284.16</v>
      </c>
      <c r="S94" s="58">
        <v>28.017800000000001</v>
      </c>
      <c r="T94" s="58">
        <v>81.525300000000001</v>
      </c>
      <c r="U94" s="58">
        <v>2105.71</v>
      </c>
      <c r="V94" s="58">
        <v>28.069500000000001</v>
      </c>
      <c r="W94" s="58">
        <v>75.017700000000005</v>
      </c>
      <c r="AL94" s="47">
        <f t="shared" si="2"/>
        <v>-6832</v>
      </c>
    </row>
    <row r="95" spans="6:38" x14ac:dyDescent="0.25">
      <c r="F95" s="54">
        <v>44032</v>
      </c>
      <c r="G95" s="89" t="s">
        <v>365</v>
      </c>
      <c r="H95" s="91" t="s">
        <v>67</v>
      </c>
      <c r="I95" s="1">
        <v>3569</v>
      </c>
      <c r="J95" s="1">
        <v>3569</v>
      </c>
      <c r="K95" s="1">
        <v>7138</v>
      </c>
      <c r="M95" s="176" t="s">
        <v>359</v>
      </c>
      <c r="N95" s="58" t="s">
        <v>360</v>
      </c>
      <c r="O95" s="58">
        <v>2748.13</v>
      </c>
      <c r="P95" s="58">
        <v>28.631900000000002</v>
      </c>
      <c r="Q95" s="58">
        <v>95.981399999999994</v>
      </c>
      <c r="R95" s="58">
        <v>2284.16</v>
      </c>
      <c r="S95" s="58">
        <v>28.4541</v>
      </c>
      <c r="T95" s="58">
        <v>80.275199999999998</v>
      </c>
      <c r="U95" s="58">
        <v>2105.71</v>
      </c>
      <c r="V95" s="58">
        <v>28.534500000000001</v>
      </c>
      <c r="W95" s="58">
        <v>73.795199999999994</v>
      </c>
      <c r="AL95" s="47">
        <f t="shared" si="2"/>
        <v>0</v>
      </c>
    </row>
    <row r="96" spans="6:38" x14ac:dyDescent="0.25">
      <c r="F96" s="54">
        <v>44057</v>
      </c>
      <c r="G96" s="89" t="s">
        <v>366</v>
      </c>
      <c r="H96" s="91" t="s">
        <v>67</v>
      </c>
      <c r="I96" s="1">
        <v>3569</v>
      </c>
      <c r="J96" s="1">
        <v>3569</v>
      </c>
      <c r="K96" s="1">
        <v>7138</v>
      </c>
      <c r="M96" s="176" t="s">
        <v>361</v>
      </c>
      <c r="N96" s="58" t="s">
        <v>362</v>
      </c>
      <c r="O96" s="58">
        <v>2748.13</v>
      </c>
      <c r="P96" s="58">
        <v>28.6021</v>
      </c>
      <c r="Q96" s="58">
        <v>96.081400000000002</v>
      </c>
      <c r="R96" s="58">
        <v>2284.16</v>
      </c>
      <c r="S96" s="58">
        <v>28.448</v>
      </c>
      <c r="T96" s="58">
        <v>80.292400000000001</v>
      </c>
      <c r="U96" s="58">
        <v>2105.71</v>
      </c>
      <c r="V96" s="58">
        <v>28.548200000000001</v>
      </c>
      <c r="W96" s="58">
        <v>73.759799999999998</v>
      </c>
      <c r="AL96" s="47">
        <f t="shared" si="2"/>
        <v>0</v>
      </c>
    </row>
    <row r="97" spans="6:38" x14ac:dyDescent="0.25">
      <c r="F97" s="54">
        <v>44078</v>
      </c>
      <c r="G97" s="89" t="s">
        <v>367</v>
      </c>
      <c r="H97" s="91" t="s">
        <v>67</v>
      </c>
      <c r="I97" s="1">
        <v>3674</v>
      </c>
      <c r="J97" s="1">
        <v>3674</v>
      </c>
      <c r="K97" s="1">
        <v>7348</v>
      </c>
      <c r="M97" s="176" t="s">
        <v>363</v>
      </c>
      <c r="N97" s="58" t="s">
        <v>364</v>
      </c>
      <c r="O97" s="58">
        <v>2828.98</v>
      </c>
      <c r="P97" s="58">
        <v>28.705400000000001</v>
      </c>
      <c r="Q97" s="58">
        <v>98.552099999999996</v>
      </c>
      <c r="R97" s="58">
        <v>2351.36</v>
      </c>
      <c r="S97" s="58">
        <v>28.573799999999999</v>
      </c>
      <c r="T97" s="58">
        <v>82.290700000000001</v>
      </c>
      <c r="U97" s="58">
        <v>2167.66</v>
      </c>
      <c r="V97" s="58">
        <v>28.674399999999999</v>
      </c>
      <c r="W97" s="58">
        <v>75.595600000000005</v>
      </c>
      <c r="AL97" s="47">
        <f t="shared" si="2"/>
        <v>0</v>
      </c>
    </row>
    <row r="98" spans="6:38" x14ac:dyDescent="0.25">
      <c r="F98" s="54">
        <v>44139</v>
      </c>
      <c r="G98" s="89" t="s">
        <v>388</v>
      </c>
      <c r="H98" s="91" t="s">
        <v>67</v>
      </c>
      <c r="I98" s="1">
        <v>3674</v>
      </c>
      <c r="J98" s="1">
        <v>3674</v>
      </c>
      <c r="K98" s="1">
        <v>7348</v>
      </c>
      <c r="M98" s="176" t="s">
        <v>380</v>
      </c>
      <c r="N98" s="58" t="s">
        <v>384</v>
      </c>
      <c r="O98" s="58">
        <v>2828.98</v>
      </c>
      <c r="P98" s="58">
        <v>29.1615</v>
      </c>
      <c r="Q98" s="58">
        <v>97.0107</v>
      </c>
      <c r="R98" s="58">
        <v>2351.36</v>
      </c>
      <c r="S98" s="58">
        <v>29.064900000000002</v>
      </c>
      <c r="T98" s="58">
        <v>80.900300000000001</v>
      </c>
      <c r="U98" s="58">
        <v>2167.66</v>
      </c>
      <c r="V98" s="58">
        <v>29.105499999999999</v>
      </c>
      <c r="W98" s="58">
        <v>74.475899999999996</v>
      </c>
      <c r="AL98" s="47">
        <f t="shared" si="2"/>
        <v>0</v>
      </c>
    </row>
    <row r="99" spans="6:38" x14ac:dyDescent="0.25">
      <c r="F99" s="54">
        <v>44160</v>
      </c>
      <c r="G99" s="89" t="s">
        <v>389</v>
      </c>
      <c r="H99" s="91" t="s">
        <v>67</v>
      </c>
      <c r="I99" s="1">
        <v>3674</v>
      </c>
      <c r="J99" s="1">
        <v>3674</v>
      </c>
      <c r="K99" s="1">
        <v>7348</v>
      </c>
      <c r="M99" s="176" t="s">
        <v>381</v>
      </c>
      <c r="N99" s="58" t="s">
        <v>385</v>
      </c>
      <c r="O99" s="58">
        <v>2828.98</v>
      </c>
      <c r="P99" s="58">
        <v>29.596399999999999</v>
      </c>
      <c r="Q99" s="58">
        <v>95.5852</v>
      </c>
      <c r="R99" s="58">
        <v>2351.36</v>
      </c>
      <c r="S99" s="58">
        <v>29.538699999999999</v>
      </c>
      <c r="T99" s="58">
        <v>79.602599999999995</v>
      </c>
      <c r="U99" s="58">
        <v>2167.66</v>
      </c>
      <c r="V99" s="58">
        <v>29.607600000000001</v>
      </c>
      <c r="W99" s="58">
        <v>73.212900000000005</v>
      </c>
      <c r="AL99" s="47">
        <f t="shared" si="2"/>
        <v>0</v>
      </c>
    </row>
    <row r="100" spans="6:38" x14ac:dyDescent="0.25">
      <c r="F100" s="54">
        <v>44181</v>
      </c>
      <c r="G100" s="89" t="s">
        <v>390</v>
      </c>
      <c r="H100" s="91" t="s">
        <v>67</v>
      </c>
      <c r="I100" s="1">
        <v>3674</v>
      </c>
      <c r="J100" s="1">
        <v>3674</v>
      </c>
      <c r="K100" s="1">
        <v>7348</v>
      </c>
      <c r="M100" s="176" t="s">
        <v>382</v>
      </c>
      <c r="N100" s="58" t="s">
        <v>386</v>
      </c>
      <c r="O100" s="58">
        <v>2828.98</v>
      </c>
      <c r="P100" s="58">
        <v>29.898800000000001</v>
      </c>
      <c r="Q100" s="58">
        <v>94.618499999999997</v>
      </c>
      <c r="R100" s="58">
        <v>2351.36</v>
      </c>
      <c r="S100" s="58">
        <v>29.910499999999999</v>
      </c>
      <c r="T100" s="58">
        <v>78.613100000000003</v>
      </c>
      <c r="U100" s="58">
        <v>2167.66</v>
      </c>
      <c r="V100" s="58">
        <v>29.9956</v>
      </c>
      <c r="W100" s="58">
        <v>72.265900000000002</v>
      </c>
      <c r="AL100" s="47">
        <f t="shared" si="2"/>
        <v>0</v>
      </c>
    </row>
    <row r="101" spans="6:38" x14ac:dyDescent="0.25">
      <c r="F101" s="54">
        <v>44209</v>
      </c>
      <c r="G101" s="89" t="s">
        <v>391</v>
      </c>
      <c r="H101" s="91" t="s">
        <v>67</v>
      </c>
      <c r="I101" s="1">
        <v>3674</v>
      </c>
      <c r="J101" s="1">
        <v>3674</v>
      </c>
      <c r="K101" s="1">
        <v>7348</v>
      </c>
      <c r="M101" s="176" t="s">
        <v>383</v>
      </c>
      <c r="N101" s="58" t="s">
        <v>387</v>
      </c>
      <c r="O101" s="58">
        <v>2828.98</v>
      </c>
      <c r="P101" s="58">
        <v>30.239899999999999</v>
      </c>
      <c r="Q101" s="58">
        <v>93.551199999999994</v>
      </c>
      <c r="R101" s="58">
        <v>2351.36</v>
      </c>
      <c r="S101" s="58">
        <v>30.316299999999998</v>
      </c>
      <c r="T101" s="58">
        <v>77.560900000000004</v>
      </c>
      <c r="U101" s="58">
        <v>2167.66</v>
      </c>
      <c r="V101" s="58">
        <v>30.400400000000001</v>
      </c>
      <c r="W101" s="58">
        <v>71.303600000000003</v>
      </c>
      <c r="AL101" s="47">
        <f t="shared" si="2"/>
        <v>0</v>
      </c>
    </row>
    <row r="102" spans="6:38" x14ac:dyDescent="0.25">
      <c r="F102" s="54">
        <v>44232</v>
      </c>
      <c r="G102" t="s">
        <v>405</v>
      </c>
      <c r="H102" t="s">
        <v>67</v>
      </c>
      <c r="I102" s="1">
        <v>3674</v>
      </c>
      <c r="J102" s="1">
        <v>3674</v>
      </c>
      <c r="K102" s="1">
        <v>7348</v>
      </c>
      <c r="M102" s="176" t="s">
        <v>407</v>
      </c>
      <c r="N102" s="58" t="s">
        <v>408</v>
      </c>
      <c r="O102" s="58">
        <v>2828.98</v>
      </c>
      <c r="P102" s="58">
        <v>29.962700000000002</v>
      </c>
      <c r="Q102" s="58">
        <v>94.416700000000006</v>
      </c>
      <c r="R102" s="58">
        <v>2351.36</v>
      </c>
      <c r="S102" s="58">
        <v>30.0686</v>
      </c>
      <c r="T102" s="58">
        <v>78.199799999999996</v>
      </c>
      <c r="U102" s="58">
        <v>2167.66</v>
      </c>
      <c r="V102" s="58">
        <v>30.124199999999998</v>
      </c>
      <c r="W102" s="58">
        <v>71.957400000000007</v>
      </c>
      <c r="AL102" s="47">
        <f t="shared" si="2"/>
        <v>0</v>
      </c>
    </row>
    <row r="103" spans="6:38" x14ac:dyDescent="0.25">
      <c r="F103" s="54">
        <v>44270</v>
      </c>
      <c r="G103" t="s">
        <v>406</v>
      </c>
      <c r="H103" t="s">
        <v>67</v>
      </c>
      <c r="I103" s="1">
        <v>3674</v>
      </c>
      <c r="J103" s="1">
        <v>3674</v>
      </c>
      <c r="K103" s="1">
        <v>7348</v>
      </c>
      <c r="M103" s="176" t="s">
        <v>409</v>
      </c>
      <c r="N103" s="58" t="s">
        <v>410</v>
      </c>
      <c r="O103" s="58">
        <v>2828.98</v>
      </c>
      <c r="P103" s="58">
        <v>29.738800000000001</v>
      </c>
      <c r="Q103" s="58">
        <v>95.127499999999998</v>
      </c>
      <c r="R103" s="58">
        <v>2351.36</v>
      </c>
      <c r="S103" s="58">
        <v>29.894200000000001</v>
      </c>
      <c r="T103" s="58">
        <v>78.656000000000006</v>
      </c>
      <c r="U103" s="58">
        <v>2167.66</v>
      </c>
      <c r="V103" s="58">
        <v>29.923300000000001</v>
      </c>
      <c r="W103" s="58">
        <v>72.4405</v>
      </c>
      <c r="AL103" s="47">
        <f t="shared" si="2"/>
        <v>0</v>
      </c>
    </row>
    <row r="104" spans="6:38" x14ac:dyDescent="0.25">
      <c r="F104" s="54">
        <v>44291</v>
      </c>
      <c r="G104" t="s">
        <v>413</v>
      </c>
      <c r="H104" t="s">
        <v>67</v>
      </c>
      <c r="I104" s="1">
        <v>3674</v>
      </c>
      <c r="J104" s="1">
        <v>3674</v>
      </c>
      <c r="K104" s="1">
        <v>7348</v>
      </c>
      <c r="M104" s="176" t="s">
        <v>411</v>
      </c>
      <c r="N104" s="58" t="s">
        <v>412</v>
      </c>
      <c r="O104" s="58">
        <v>2828.98</v>
      </c>
      <c r="P104" s="58">
        <v>30.075500000000002</v>
      </c>
      <c r="Q104" s="58">
        <v>94.062600000000003</v>
      </c>
      <c r="R104" s="58">
        <v>2351.36</v>
      </c>
      <c r="S104" s="58">
        <v>30.232399999999998</v>
      </c>
      <c r="T104" s="58">
        <v>77.7761</v>
      </c>
      <c r="U104" s="58">
        <v>2167.66</v>
      </c>
      <c r="V104" s="58">
        <v>30.274699999999999</v>
      </c>
      <c r="W104" s="58">
        <v>71.599699999999999</v>
      </c>
      <c r="AL104" s="47">
        <f t="shared" si="2"/>
        <v>0</v>
      </c>
    </row>
    <row r="105" spans="6:38" x14ac:dyDescent="0.25">
      <c r="F105" s="54">
        <v>44320</v>
      </c>
      <c r="G105" t="s">
        <v>70</v>
      </c>
      <c r="H105" t="s">
        <v>67</v>
      </c>
      <c r="I105" s="76">
        <v>1036</v>
      </c>
      <c r="J105" s="76">
        <v>1036</v>
      </c>
      <c r="K105" s="76">
        <v>2072</v>
      </c>
      <c r="M105" s="176" t="s">
        <v>423</v>
      </c>
      <c r="N105" s="58" t="s">
        <v>116</v>
      </c>
      <c r="O105" s="58">
        <v>797.72</v>
      </c>
      <c r="P105" s="58">
        <v>30.2547</v>
      </c>
      <c r="Q105" s="58">
        <v>26.366800000000001</v>
      </c>
      <c r="R105" s="58">
        <v>663.04</v>
      </c>
      <c r="S105" s="58">
        <v>30.418600000000001</v>
      </c>
      <c r="T105" s="58">
        <v>21.7971</v>
      </c>
      <c r="U105" s="58">
        <v>611.24</v>
      </c>
      <c r="V105" s="58">
        <v>30.4847</v>
      </c>
      <c r="W105" s="58">
        <v>20.050699999999999</v>
      </c>
      <c r="AL105" s="47">
        <f t="shared" si="2"/>
        <v>0</v>
      </c>
    </row>
    <row r="106" spans="6:38" x14ac:dyDescent="0.25">
      <c r="F106" s="54">
        <v>44348</v>
      </c>
      <c r="G106" t="s">
        <v>422</v>
      </c>
      <c r="H106" t="s">
        <v>67</v>
      </c>
      <c r="I106" s="76">
        <v>3674</v>
      </c>
      <c r="J106" s="76">
        <v>3674</v>
      </c>
      <c r="K106" s="76">
        <v>7348</v>
      </c>
      <c r="M106" s="176" t="s">
        <v>424</v>
      </c>
      <c r="N106" s="58" t="s">
        <v>425</v>
      </c>
      <c r="O106" s="58">
        <v>2828.98</v>
      </c>
      <c r="P106" s="58">
        <v>30.662500000000001</v>
      </c>
      <c r="Q106" s="58">
        <v>92.261799999999994</v>
      </c>
      <c r="R106" s="58">
        <v>2351.36</v>
      </c>
      <c r="S106" s="58">
        <v>30.8294</v>
      </c>
      <c r="T106" s="58">
        <v>76.27</v>
      </c>
      <c r="U106" s="58">
        <v>2167.66</v>
      </c>
      <c r="V106" s="58">
        <v>30.939299999999999</v>
      </c>
      <c r="W106" s="58">
        <v>70.061700000000002</v>
      </c>
      <c r="AL106" s="47">
        <f t="shared" si="2"/>
        <v>0</v>
      </c>
    </row>
    <row r="107" spans="6:38" x14ac:dyDescent="0.25">
      <c r="F107" s="54">
        <v>44361</v>
      </c>
      <c r="G107" t="s">
        <v>476</v>
      </c>
      <c r="H107" t="s">
        <v>67</v>
      </c>
      <c r="I107" s="76">
        <v>3674</v>
      </c>
      <c r="J107" s="76">
        <v>3674</v>
      </c>
      <c r="K107" s="76">
        <v>7348</v>
      </c>
      <c r="M107" s="176" t="s">
        <v>479</v>
      </c>
      <c r="N107" s="58" t="s">
        <v>480</v>
      </c>
      <c r="O107" s="58">
        <v>2828.98</v>
      </c>
      <c r="P107" s="58">
        <v>30.900400000000001</v>
      </c>
      <c r="Q107" s="58">
        <v>91.551500000000004</v>
      </c>
      <c r="R107" s="58">
        <v>2351.36</v>
      </c>
      <c r="S107" s="58">
        <v>31.061499999999999</v>
      </c>
      <c r="T107" s="58">
        <v>75.700100000000006</v>
      </c>
      <c r="U107" s="58">
        <v>2167.66</v>
      </c>
      <c r="V107" s="58">
        <v>31.1814</v>
      </c>
      <c r="W107" s="58">
        <v>69.517700000000005</v>
      </c>
      <c r="AL107" s="47">
        <f t="shared" si="2"/>
        <v>0</v>
      </c>
    </row>
    <row r="108" spans="6:38" x14ac:dyDescent="0.25">
      <c r="F108" s="54">
        <v>44372</v>
      </c>
      <c r="G108" t="s">
        <v>477</v>
      </c>
      <c r="H108" t="s">
        <v>67</v>
      </c>
      <c r="I108" s="76">
        <v>3674</v>
      </c>
      <c r="J108" s="76">
        <v>3674</v>
      </c>
      <c r="K108" s="76">
        <v>7348</v>
      </c>
      <c r="M108" s="176" t="s">
        <v>481</v>
      </c>
      <c r="N108" s="58" t="s">
        <v>482</v>
      </c>
      <c r="O108" s="58">
        <v>2828.98</v>
      </c>
      <c r="P108" s="58">
        <v>30.7804</v>
      </c>
      <c r="Q108" s="58">
        <v>91.9084</v>
      </c>
      <c r="R108" s="58">
        <v>2351.36</v>
      </c>
      <c r="S108" s="58">
        <v>30.9346</v>
      </c>
      <c r="T108" s="58">
        <v>76.010599999999997</v>
      </c>
      <c r="U108" s="58">
        <v>2167.66</v>
      </c>
      <c r="V108" s="58">
        <v>31.0519</v>
      </c>
      <c r="W108" s="58">
        <v>69.807599999999994</v>
      </c>
      <c r="AL108" s="47">
        <f t="shared" si="2"/>
        <v>0</v>
      </c>
    </row>
    <row r="109" spans="6:38" x14ac:dyDescent="0.25">
      <c r="F109" s="54">
        <v>44405</v>
      </c>
      <c r="G109" t="s">
        <v>478</v>
      </c>
      <c r="H109" t="s">
        <v>67</v>
      </c>
      <c r="I109" s="76">
        <v>3674</v>
      </c>
      <c r="J109" s="76">
        <v>3674</v>
      </c>
      <c r="K109" s="76">
        <v>7348</v>
      </c>
      <c r="M109" s="176" t="s">
        <v>483</v>
      </c>
      <c r="N109" s="58" t="s">
        <v>484</v>
      </c>
      <c r="O109" s="58">
        <v>2865.72</v>
      </c>
      <c r="P109" s="58">
        <v>30.793399999999998</v>
      </c>
      <c r="Q109" s="58">
        <v>93.062700000000007</v>
      </c>
      <c r="R109" s="58">
        <v>1249.1600000000001</v>
      </c>
      <c r="S109" s="58">
        <v>30.997599999999998</v>
      </c>
      <c r="T109" s="58">
        <v>40.2986</v>
      </c>
      <c r="U109" s="58">
        <v>3233.12</v>
      </c>
      <c r="V109" s="58">
        <v>31.07</v>
      </c>
      <c r="W109" s="58">
        <v>104.0592</v>
      </c>
      <c r="AL109" s="47">
        <f t="shared" si="2"/>
        <v>0</v>
      </c>
    </row>
    <row r="110" spans="6:38" x14ac:dyDescent="0.25">
      <c r="F110" s="54">
        <v>44435</v>
      </c>
      <c r="G110" t="s">
        <v>485</v>
      </c>
      <c r="H110" t="s">
        <v>67</v>
      </c>
      <c r="I110" s="76">
        <v>4134</v>
      </c>
      <c r="J110" s="76">
        <v>4134</v>
      </c>
      <c r="K110" s="76">
        <v>8268</v>
      </c>
      <c r="M110" s="176" t="s">
        <v>489</v>
      </c>
      <c r="N110" s="58" t="s">
        <v>490</v>
      </c>
      <c r="O110" s="58">
        <v>3224.52</v>
      </c>
      <c r="P110" s="58">
        <v>31.206600000000002</v>
      </c>
      <c r="Q110" s="58">
        <v>103.32810000000001</v>
      </c>
      <c r="R110" s="58">
        <v>1405.56</v>
      </c>
      <c r="S110" s="58">
        <v>31.392900000000001</v>
      </c>
      <c r="T110" s="58">
        <v>44.773099999999999</v>
      </c>
      <c r="U110" s="58">
        <v>3637.92</v>
      </c>
      <c r="V110" s="58">
        <v>31.4619</v>
      </c>
      <c r="W110" s="58">
        <v>115.6293</v>
      </c>
      <c r="AL110" s="47">
        <f t="shared" si="2"/>
        <v>0</v>
      </c>
    </row>
    <row r="111" spans="6:38" x14ac:dyDescent="0.25">
      <c r="F111" s="54">
        <v>44466</v>
      </c>
      <c r="G111" t="s">
        <v>486</v>
      </c>
      <c r="H111" t="s">
        <v>67</v>
      </c>
      <c r="I111" s="76">
        <v>4134</v>
      </c>
      <c r="J111" s="76">
        <v>4134</v>
      </c>
      <c r="K111" s="76">
        <v>8268</v>
      </c>
      <c r="M111" s="176" t="s">
        <v>491</v>
      </c>
      <c r="N111" s="58" t="s">
        <v>492</v>
      </c>
      <c r="O111" s="58">
        <v>3224.52</v>
      </c>
      <c r="P111" s="58">
        <v>31.851199999999999</v>
      </c>
      <c r="Q111" s="58">
        <v>101.23699999999999</v>
      </c>
      <c r="R111" s="58">
        <v>1405.56</v>
      </c>
      <c r="S111" s="58">
        <v>32.054499999999997</v>
      </c>
      <c r="T111" s="58">
        <v>43.848999999999997</v>
      </c>
      <c r="U111" s="58">
        <v>3637.92</v>
      </c>
      <c r="V111" s="58">
        <v>32.146299999999997</v>
      </c>
      <c r="W111" s="58">
        <v>113.16759999999999</v>
      </c>
      <c r="AL111" s="47">
        <f t="shared" si="2"/>
        <v>0</v>
      </c>
    </row>
    <row r="112" spans="6:38" x14ac:dyDescent="0.25">
      <c r="F112" s="54">
        <v>44518</v>
      </c>
      <c r="G112" t="s">
        <v>487</v>
      </c>
      <c r="H112" t="s">
        <v>67</v>
      </c>
      <c r="I112" s="76">
        <v>4134</v>
      </c>
      <c r="J112" s="76">
        <v>4134</v>
      </c>
      <c r="K112" s="76">
        <v>8268</v>
      </c>
      <c r="M112" s="176" t="s">
        <v>493</v>
      </c>
      <c r="N112" s="58" t="s">
        <v>494</v>
      </c>
      <c r="O112" s="58">
        <v>2563.08</v>
      </c>
      <c r="P112" s="58">
        <v>31.998999999999999</v>
      </c>
      <c r="Q112" s="58">
        <v>80.098699999999994</v>
      </c>
      <c r="R112" s="58">
        <v>2811.12</v>
      </c>
      <c r="S112" s="58">
        <v>32.180900000000001</v>
      </c>
      <c r="T112" s="58">
        <v>87.3536</v>
      </c>
      <c r="U112" s="58">
        <v>2893.8</v>
      </c>
      <c r="V112" s="58">
        <v>32.331899999999997</v>
      </c>
      <c r="W112" s="58">
        <v>89.502899999999997</v>
      </c>
      <c r="AL112" s="47">
        <f t="shared" si="2"/>
        <v>0</v>
      </c>
    </row>
    <row r="113" spans="6:38" x14ac:dyDescent="0.25">
      <c r="F113" s="54">
        <v>44544</v>
      </c>
      <c r="G113" t="s">
        <v>488</v>
      </c>
      <c r="H113" t="s">
        <v>67</v>
      </c>
      <c r="I113" s="76">
        <v>4231</v>
      </c>
      <c r="J113" s="76">
        <v>4231</v>
      </c>
      <c r="K113" s="76">
        <v>8462</v>
      </c>
      <c r="M113" s="176" t="s">
        <v>495</v>
      </c>
      <c r="N113" s="58" t="s">
        <v>496</v>
      </c>
      <c r="O113" s="58">
        <v>2623.22</v>
      </c>
      <c r="P113" s="58">
        <v>32.055</v>
      </c>
      <c r="Q113" s="58">
        <v>81.834900000000005</v>
      </c>
      <c r="R113" s="58">
        <v>2877.08</v>
      </c>
      <c r="S113" s="58">
        <v>32.2363</v>
      </c>
      <c r="T113" s="58">
        <v>89.249600000000001</v>
      </c>
      <c r="U113" s="58">
        <v>2961.7</v>
      </c>
      <c r="V113" s="58">
        <v>32.403300000000002</v>
      </c>
      <c r="W113" s="58">
        <v>91.4011</v>
      </c>
      <c r="AL113" s="47">
        <f t="shared" si="2"/>
        <v>0</v>
      </c>
    </row>
    <row r="114" spans="6:38" ht="30" x14ac:dyDescent="0.25">
      <c r="F114" s="54">
        <v>44568</v>
      </c>
      <c r="G114" t="s">
        <v>513</v>
      </c>
      <c r="H114" t="s">
        <v>67</v>
      </c>
      <c r="I114" s="76">
        <v>4231</v>
      </c>
      <c r="J114" s="76">
        <v>4231</v>
      </c>
      <c r="K114" s="76">
        <v>8462</v>
      </c>
      <c r="M114" s="176" t="s">
        <v>514</v>
      </c>
      <c r="N114" s="58" t="s">
        <v>515</v>
      </c>
      <c r="O114" s="58">
        <v>2623.22</v>
      </c>
      <c r="P114" s="58">
        <v>31.967300000000002</v>
      </c>
      <c r="Q114" s="58">
        <v>82.059399999999997</v>
      </c>
      <c r="R114" s="58">
        <v>2877.08</v>
      </c>
      <c r="S114" s="58">
        <v>32.1</v>
      </c>
      <c r="T114" s="58">
        <v>89.628600000000006</v>
      </c>
      <c r="U114" s="58">
        <v>2961.7</v>
      </c>
      <c r="V114" s="58">
        <v>32.273899999999998</v>
      </c>
      <c r="W114" s="58">
        <v>91.767600000000002</v>
      </c>
      <c r="Y114" s="63" t="s">
        <v>770</v>
      </c>
      <c r="Z114" s="63" t="s">
        <v>771</v>
      </c>
      <c r="AA114" s="63">
        <v>-22.11</v>
      </c>
      <c r="AB114" s="63">
        <v>-7.7</v>
      </c>
      <c r="AC114" s="63">
        <v>36.2607</v>
      </c>
      <c r="AD114" s="63">
        <v>-0.21229999999999999</v>
      </c>
      <c r="AE114" s="63">
        <v>-7.18</v>
      </c>
      <c r="AF114" s="63">
        <v>36.4026</v>
      </c>
      <c r="AG114" s="63">
        <v>-0.19719999999999999</v>
      </c>
      <c r="AH114" s="63">
        <v>-7.23</v>
      </c>
      <c r="AI114" s="63">
        <v>36.675899999999999</v>
      </c>
      <c r="AJ114" s="63">
        <v>-0.1971</v>
      </c>
      <c r="AL114" s="47">
        <f t="shared" si="2"/>
        <v>0</v>
      </c>
    </row>
    <row r="115" spans="6:38" ht="30" x14ac:dyDescent="0.25">
      <c r="F115" s="65">
        <v>45355</v>
      </c>
      <c r="G115" s="206" t="s">
        <v>314</v>
      </c>
      <c r="H115" s="74" t="s">
        <v>310</v>
      </c>
      <c r="I115" s="74">
        <v>50000</v>
      </c>
      <c r="J115" s="74">
        <v>0</v>
      </c>
      <c r="K115" s="74">
        <v>50000</v>
      </c>
      <c r="L115" s="66" t="s">
        <v>828</v>
      </c>
      <c r="M115" s="177" t="s">
        <v>772</v>
      </c>
      <c r="N115" s="67" t="s">
        <v>318</v>
      </c>
      <c r="O115" s="67">
        <v>17000</v>
      </c>
      <c r="P115" s="67">
        <v>37.387900000000002</v>
      </c>
      <c r="Q115" s="67">
        <v>454.6925</v>
      </c>
      <c r="R115" s="67">
        <v>16000</v>
      </c>
      <c r="S115" s="67">
        <v>37.557499999999997</v>
      </c>
      <c r="T115" s="67">
        <v>426.01339999999999</v>
      </c>
      <c r="U115" s="67">
        <v>17000</v>
      </c>
      <c r="V115" s="67">
        <v>37.7806</v>
      </c>
      <c r="W115" s="67">
        <v>449.96629999999999</v>
      </c>
      <c r="AL115" s="47">
        <f t="shared" si="2"/>
        <v>0</v>
      </c>
    </row>
    <row r="116" spans="6:38" x14ac:dyDescent="0.25">
      <c r="I116"/>
      <c r="J116"/>
      <c r="K116"/>
      <c r="M116" s="176"/>
      <c r="AL116" s="47">
        <f t="shared" si="2"/>
        <v>0</v>
      </c>
    </row>
    <row r="117" spans="6:38" ht="30" x14ac:dyDescent="0.25">
      <c r="G117" s="47" t="s">
        <v>791</v>
      </c>
      <c r="I117" s="47">
        <v>-51000</v>
      </c>
      <c r="M117" s="176"/>
      <c r="AL117" s="47">
        <f t="shared" si="2"/>
        <v>-51000</v>
      </c>
    </row>
    <row r="118" spans="6:38" x14ac:dyDescent="0.25">
      <c r="I118"/>
      <c r="J118"/>
      <c r="K118"/>
      <c r="AL118" s="47">
        <f t="shared" si="2"/>
        <v>0</v>
      </c>
    </row>
    <row r="119" spans="6:38" x14ac:dyDescent="0.25">
      <c r="AL119" s="47">
        <f t="shared" si="2"/>
        <v>0</v>
      </c>
    </row>
    <row r="120" spans="6:38" x14ac:dyDescent="0.25">
      <c r="AL120" s="47">
        <f t="shared" si="2"/>
        <v>0</v>
      </c>
    </row>
    <row r="121" spans="6:38" x14ac:dyDescent="0.25">
      <c r="AL121" s="47">
        <f t="shared" si="2"/>
        <v>0</v>
      </c>
    </row>
    <row r="122" spans="6:38" x14ac:dyDescent="0.25">
      <c r="AL122" s="47">
        <f t="shared" si="2"/>
        <v>0</v>
      </c>
    </row>
    <row r="123" spans="6:38" x14ac:dyDescent="0.25">
      <c r="AL123" s="47">
        <f t="shared" si="2"/>
        <v>0</v>
      </c>
    </row>
    <row r="124" spans="6:38" x14ac:dyDescent="0.25">
      <c r="AL124" s="47">
        <f t="shared" si="2"/>
        <v>0</v>
      </c>
    </row>
    <row r="125" spans="6:38" x14ac:dyDescent="0.25">
      <c r="AL125" s="47">
        <f t="shared" si="2"/>
        <v>0</v>
      </c>
    </row>
    <row r="126" spans="6:38" x14ac:dyDescent="0.25">
      <c r="AL126" s="47">
        <f t="shared" si="2"/>
        <v>0</v>
      </c>
    </row>
    <row r="127" spans="6:38" x14ac:dyDescent="0.25">
      <c r="AL127" s="47">
        <f t="shared" si="2"/>
        <v>0</v>
      </c>
    </row>
    <row r="128" spans="6:38" x14ac:dyDescent="0.25">
      <c r="AL128" s="47">
        <f t="shared" si="2"/>
        <v>0</v>
      </c>
    </row>
    <row r="129" spans="38:38" x14ac:dyDescent="0.25">
      <c r="AL129" s="47">
        <f t="shared" si="2"/>
        <v>0</v>
      </c>
    </row>
    <row r="130" spans="38:38" x14ac:dyDescent="0.25">
      <c r="AL130" s="47">
        <f t="shared" si="2"/>
        <v>0</v>
      </c>
    </row>
    <row r="131" spans="38:38" x14ac:dyDescent="0.25">
      <c r="AL131" s="47">
        <f t="shared" si="2"/>
        <v>0</v>
      </c>
    </row>
    <row r="132" spans="38:38" x14ac:dyDescent="0.25">
      <c r="AL132" s="47">
        <f t="shared" si="2"/>
        <v>0</v>
      </c>
    </row>
    <row r="133" spans="38:38" x14ac:dyDescent="0.25">
      <c r="AL133" s="47">
        <f t="shared" si="2"/>
        <v>0</v>
      </c>
    </row>
    <row r="134" spans="38:38" x14ac:dyDescent="0.25">
      <c r="AL134" s="47">
        <f t="shared" si="2"/>
        <v>0</v>
      </c>
    </row>
    <row r="135" spans="38:38" x14ac:dyDescent="0.25">
      <c r="AL135" s="47">
        <f t="shared" si="2"/>
        <v>0</v>
      </c>
    </row>
    <row r="136" spans="38:38" x14ac:dyDescent="0.25">
      <c r="AL136" s="47">
        <f t="shared" ref="AL136:AL199" si="3">I136+J136-O136-R136-U136</f>
        <v>0</v>
      </c>
    </row>
    <row r="137" spans="38:38" x14ac:dyDescent="0.25">
      <c r="AL137" s="47">
        <f t="shared" si="3"/>
        <v>0</v>
      </c>
    </row>
    <row r="138" spans="38:38" x14ac:dyDescent="0.25">
      <c r="AL138" s="47">
        <f t="shared" si="3"/>
        <v>0</v>
      </c>
    </row>
    <row r="139" spans="38:38" x14ac:dyDescent="0.25">
      <c r="AL139" s="47">
        <f t="shared" si="3"/>
        <v>0</v>
      </c>
    </row>
    <row r="140" spans="38:38" x14ac:dyDescent="0.25">
      <c r="AL140" s="47">
        <f t="shared" si="3"/>
        <v>0</v>
      </c>
    </row>
    <row r="141" spans="38:38" x14ac:dyDescent="0.25">
      <c r="AL141" s="47">
        <f t="shared" si="3"/>
        <v>0</v>
      </c>
    </row>
    <row r="142" spans="38:38" x14ac:dyDescent="0.25">
      <c r="AL142" s="47">
        <f t="shared" si="3"/>
        <v>0</v>
      </c>
    </row>
    <row r="143" spans="38:38" x14ac:dyDescent="0.25">
      <c r="AL143" s="47">
        <f t="shared" si="3"/>
        <v>0</v>
      </c>
    </row>
    <row r="144" spans="38:38" x14ac:dyDescent="0.25">
      <c r="AL144" s="47">
        <f t="shared" si="3"/>
        <v>0</v>
      </c>
    </row>
    <row r="145" spans="38:38" x14ac:dyDescent="0.25">
      <c r="AL145" s="47">
        <f t="shared" si="3"/>
        <v>0</v>
      </c>
    </row>
    <row r="146" spans="38:38" x14ac:dyDescent="0.25">
      <c r="AL146" s="47">
        <f t="shared" si="3"/>
        <v>0</v>
      </c>
    </row>
    <row r="147" spans="38:38" x14ac:dyDescent="0.25">
      <c r="AL147" s="47">
        <f t="shared" si="3"/>
        <v>0</v>
      </c>
    </row>
    <row r="148" spans="38:38" x14ac:dyDescent="0.25">
      <c r="AL148" s="47">
        <f t="shared" si="3"/>
        <v>0</v>
      </c>
    </row>
    <row r="149" spans="38:38" x14ac:dyDescent="0.25">
      <c r="AL149" s="47">
        <f t="shared" si="3"/>
        <v>0</v>
      </c>
    </row>
    <row r="150" spans="38:38" x14ac:dyDescent="0.25">
      <c r="AL150" s="47">
        <f t="shared" si="3"/>
        <v>0</v>
      </c>
    </row>
    <row r="151" spans="38:38" x14ac:dyDescent="0.25">
      <c r="AL151" s="47">
        <f t="shared" si="3"/>
        <v>0</v>
      </c>
    </row>
    <row r="152" spans="38:38" x14ac:dyDescent="0.25">
      <c r="AL152" s="47">
        <f t="shared" si="3"/>
        <v>0</v>
      </c>
    </row>
    <row r="153" spans="38:38" x14ac:dyDescent="0.25">
      <c r="AL153" s="47">
        <f t="shared" si="3"/>
        <v>0</v>
      </c>
    </row>
    <row r="154" spans="38:38" x14ac:dyDescent="0.25">
      <c r="AL154" s="47">
        <f t="shared" si="3"/>
        <v>0</v>
      </c>
    </row>
    <row r="155" spans="38:38" x14ac:dyDescent="0.25">
      <c r="AL155" s="47">
        <f t="shared" si="3"/>
        <v>0</v>
      </c>
    </row>
    <row r="156" spans="38:38" x14ac:dyDescent="0.25">
      <c r="AL156" s="47">
        <f t="shared" si="3"/>
        <v>0</v>
      </c>
    </row>
    <row r="157" spans="38:38" x14ac:dyDescent="0.25">
      <c r="AL157" s="47">
        <f t="shared" si="3"/>
        <v>0</v>
      </c>
    </row>
    <row r="158" spans="38:38" x14ac:dyDescent="0.25">
      <c r="AL158" s="47">
        <f t="shared" si="3"/>
        <v>0</v>
      </c>
    </row>
    <row r="159" spans="38:38" x14ac:dyDescent="0.25">
      <c r="AL159" s="47">
        <f t="shared" si="3"/>
        <v>0</v>
      </c>
    </row>
    <row r="160" spans="38:38" x14ac:dyDescent="0.25">
      <c r="AL160" s="47">
        <f t="shared" si="3"/>
        <v>0</v>
      </c>
    </row>
    <row r="161" spans="38:38" x14ac:dyDescent="0.25">
      <c r="AL161" s="47">
        <f t="shared" si="3"/>
        <v>0</v>
      </c>
    </row>
    <row r="162" spans="38:38" x14ac:dyDescent="0.25">
      <c r="AL162" s="47">
        <f t="shared" si="3"/>
        <v>0</v>
      </c>
    </row>
    <row r="163" spans="38:38" x14ac:dyDescent="0.25">
      <c r="AL163" s="47">
        <f t="shared" si="3"/>
        <v>0</v>
      </c>
    </row>
    <row r="164" spans="38:38" x14ac:dyDescent="0.25">
      <c r="AL164" s="47">
        <f t="shared" si="3"/>
        <v>0</v>
      </c>
    </row>
    <row r="165" spans="38:38" x14ac:dyDescent="0.25">
      <c r="AL165" s="47">
        <f t="shared" si="3"/>
        <v>0</v>
      </c>
    </row>
    <row r="166" spans="38:38" x14ac:dyDescent="0.25">
      <c r="AL166" s="47">
        <f t="shared" si="3"/>
        <v>0</v>
      </c>
    </row>
    <row r="167" spans="38:38" x14ac:dyDescent="0.25">
      <c r="AL167" s="47">
        <f t="shared" si="3"/>
        <v>0</v>
      </c>
    </row>
    <row r="168" spans="38:38" x14ac:dyDescent="0.25">
      <c r="AL168" s="47">
        <f t="shared" si="3"/>
        <v>0</v>
      </c>
    </row>
    <row r="169" spans="38:38" x14ac:dyDescent="0.25">
      <c r="AL169" s="47">
        <f t="shared" si="3"/>
        <v>0</v>
      </c>
    </row>
    <row r="170" spans="38:38" x14ac:dyDescent="0.25">
      <c r="AL170" s="47">
        <f t="shared" si="3"/>
        <v>0</v>
      </c>
    </row>
    <row r="171" spans="38:38" x14ac:dyDescent="0.25">
      <c r="AL171" s="47">
        <f t="shared" si="3"/>
        <v>0</v>
      </c>
    </row>
    <row r="172" spans="38:38" x14ac:dyDescent="0.25">
      <c r="AL172" s="47">
        <f t="shared" si="3"/>
        <v>0</v>
      </c>
    </row>
    <row r="173" spans="38:38" x14ac:dyDescent="0.25">
      <c r="AL173" s="47">
        <f t="shared" si="3"/>
        <v>0</v>
      </c>
    </row>
    <row r="174" spans="38:38" x14ac:dyDescent="0.25">
      <c r="AL174" s="47">
        <f t="shared" si="3"/>
        <v>0</v>
      </c>
    </row>
    <row r="175" spans="38:38" x14ac:dyDescent="0.25">
      <c r="AL175" s="47">
        <f t="shared" si="3"/>
        <v>0</v>
      </c>
    </row>
    <row r="176" spans="38:38" x14ac:dyDescent="0.25">
      <c r="AL176" s="47">
        <f t="shared" si="3"/>
        <v>0</v>
      </c>
    </row>
    <row r="177" spans="38:38" x14ac:dyDescent="0.25">
      <c r="AL177" s="47">
        <f t="shared" si="3"/>
        <v>0</v>
      </c>
    </row>
    <row r="178" spans="38:38" x14ac:dyDescent="0.25">
      <c r="AL178" s="47">
        <f t="shared" si="3"/>
        <v>0</v>
      </c>
    </row>
    <row r="179" spans="38:38" x14ac:dyDescent="0.25">
      <c r="AL179" s="47">
        <f t="shared" si="3"/>
        <v>0</v>
      </c>
    </row>
    <row r="180" spans="38:38" x14ac:dyDescent="0.25">
      <c r="AL180" s="47">
        <f t="shared" si="3"/>
        <v>0</v>
      </c>
    </row>
    <row r="181" spans="38:38" x14ac:dyDescent="0.25">
      <c r="AL181" s="47">
        <f t="shared" si="3"/>
        <v>0</v>
      </c>
    </row>
    <row r="182" spans="38:38" x14ac:dyDescent="0.25">
      <c r="AL182" s="47">
        <f t="shared" si="3"/>
        <v>0</v>
      </c>
    </row>
    <row r="183" spans="38:38" x14ac:dyDescent="0.25">
      <c r="AL183" s="47">
        <f t="shared" si="3"/>
        <v>0</v>
      </c>
    </row>
    <row r="184" spans="38:38" x14ac:dyDescent="0.25">
      <c r="AL184" s="47">
        <f t="shared" si="3"/>
        <v>0</v>
      </c>
    </row>
    <row r="185" spans="38:38" x14ac:dyDescent="0.25">
      <c r="AL185" s="47">
        <f t="shared" si="3"/>
        <v>0</v>
      </c>
    </row>
    <row r="186" spans="38:38" x14ac:dyDescent="0.25">
      <c r="AL186" s="47">
        <f t="shared" si="3"/>
        <v>0</v>
      </c>
    </row>
    <row r="187" spans="38:38" x14ac:dyDescent="0.25">
      <c r="AL187" s="47">
        <f t="shared" si="3"/>
        <v>0</v>
      </c>
    </row>
    <row r="188" spans="38:38" x14ac:dyDescent="0.25">
      <c r="AL188" s="47">
        <f t="shared" si="3"/>
        <v>0</v>
      </c>
    </row>
    <row r="189" spans="38:38" x14ac:dyDescent="0.25">
      <c r="AL189" s="47">
        <f t="shared" si="3"/>
        <v>0</v>
      </c>
    </row>
    <row r="190" spans="38:38" x14ac:dyDescent="0.25">
      <c r="AL190" s="47">
        <f t="shared" si="3"/>
        <v>0</v>
      </c>
    </row>
    <row r="191" spans="38:38" x14ac:dyDescent="0.25">
      <c r="AL191" s="47">
        <f t="shared" si="3"/>
        <v>0</v>
      </c>
    </row>
    <row r="192" spans="38:38" x14ac:dyDescent="0.25">
      <c r="AL192" s="47">
        <f t="shared" si="3"/>
        <v>0</v>
      </c>
    </row>
    <row r="193" spans="38:38" x14ac:dyDescent="0.25">
      <c r="AL193" s="47">
        <f t="shared" si="3"/>
        <v>0</v>
      </c>
    </row>
    <row r="194" spans="38:38" x14ac:dyDescent="0.25">
      <c r="AL194" s="47">
        <f t="shared" si="3"/>
        <v>0</v>
      </c>
    </row>
    <row r="195" spans="38:38" x14ac:dyDescent="0.25">
      <c r="AL195" s="47">
        <f t="shared" si="3"/>
        <v>0</v>
      </c>
    </row>
    <row r="196" spans="38:38" x14ac:dyDescent="0.25">
      <c r="AL196" s="47">
        <f t="shared" si="3"/>
        <v>0</v>
      </c>
    </row>
    <row r="197" spans="38:38" x14ac:dyDescent="0.25">
      <c r="AL197" s="47">
        <f t="shared" si="3"/>
        <v>0</v>
      </c>
    </row>
    <row r="198" spans="38:38" x14ac:dyDescent="0.25">
      <c r="AL198" s="47">
        <f t="shared" si="3"/>
        <v>0</v>
      </c>
    </row>
    <row r="199" spans="38:38" x14ac:dyDescent="0.25">
      <c r="AL199" s="47">
        <f t="shared" si="3"/>
        <v>0</v>
      </c>
    </row>
    <row r="200" spans="38:38" x14ac:dyDescent="0.25">
      <c r="AL200" s="47">
        <f t="shared" ref="AL200:AL263" si="4">I200+J200-O200-R200-U200</f>
        <v>0</v>
      </c>
    </row>
    <row r="201" spans="38:38" x14ac:dyDescent="0.25">
      <c r="AL201" s="47">
        <f t="shared" si="4"/>
        <v>0</v>
      </c>
    </row>
    <row r="202" spans="38:38" x14ac:dyDescent="0.25">
      <c r="AL202" s="47">
        <f t="shared" si="4"/>
        <v>0</v>
      </c>
    </row>
    <row r="203" spans="38:38" x14ac:dyDescent="0.25">
      <c r="AL203" s="47">
        <f t="shared" si="4"/>
        <v>0</v>
      </c>
    </row>
    <row r="204" spans="38:38" x14ac:dyDescent="0.25">
      <c r="AL204" s="47">
        <f t="shared" si="4"/>
        <v>0</v>
      </c>
    </row>
    <row r="205" spans="38:38" x14ac:dyDescent="0.25">
      <c r="AL205" s="47">
        <f t="shared" si="4"/>
        <v>0</v>
      </c>
    </row>
    <row r="206" spans="38:38" x14ac:dyDescent="0.25">
      <c r="AL206" s="47">
        <f t="shared" si="4"/>
        <v>0</v>
      </c>
    </row>
    <row r="207" spans="38:38" x14ac:dyDescent="0.25">
      <c r="AL207" s="47">
        <f t="shared" si="4"/>
        <v>0</v>
      </c>
    </row>
    <row r="208" spans="38:38" x14ac:dyDescent="0.25">
      <c r="AL208" s="47">
        <f t="shared" si="4"/>
        <v>0</v>
      </c>
    </row>
    <row r="209" spans="38:38" x14ac:dyDescent="0.25">
      <c r="AL209" s="47">
        <f t="shared" si="4"/>
        <v>0</v>
      </c>
    </row>
    <row r="210" spans="38:38" x14ac:dyDescent="0.25">
      <c r="AL210" s="47">
        <f t="shared" si="4"/>
        <v>0</v>
      </c>
    </row>
    <row r="211" spans="38:38" x14ac:dyDescent="0.25">
      <c r="AL211" s="47">
        <f t="shared" si="4"/>
        <v>0</v>
      </c>
    </row>
    <row r="212" spans="38:38" x14ac:dyDescent="0.25">
      <c r="AL212" s="47">
        <f t="shared" si="4"/>
        <v>0</v>
      </c>
    </row>
    <row r="213" spans="38:38" x14ac:dyDescent="0.25">
      <c r="AL213" s="47">
        <f t="shared" si="4"/>
        <v>0</v>
      </c>
    </row>
    <row r="214" spans="38:38" x14ac:dyDescent="0.25">
      <c r="AL214" s="47">
        <f t="shared" si="4"/>
        <v>0</v>
      </c>
    </row>
    <row r="215" spans="38:38" x14ac:dyDescent="0.25">
      <c r="AL215" s="47">
        <f t="shared" si="4"/>
        <v>0</v>
      </c>
    </row>
    <row r="216" spans="38:38" x14ac:dyDescent="0.25">
      <c r="AL216" s="47">
        <f t="shared" si="4"/>
        <v>0</v>
      </c>
    </row>
    <row r="217" spans="38:38" x14ac:dyDescent="0.25">
      <c r="AL217" s="47">
        <f t="shared" si="4"/>
        <v>0</v>
      </c>
    </row>
    <row r="218" spans="38:38" x14ac:dyDescent="0.25">
      <c r="AL218" s="47">
        <f t="shared" si="4"/>
        <v>0</v>
      </c>
    </row>
    <row r="219" spans="38:38" x14ac:dyDescent="0.25">
      <c r="AL219" s="47">
        <f t="shared" si="4"/>
        <v>0</v>
      </c>
    </row>
    <row r="220" spans="38:38" x14ac:dyDescent="0.25">
      <c r="AL220" s="47">
        <f t="shared" si="4"/>
        <v>0</v>
      </c>
    </row>
    <row r="221" spans="38:38" x14ac:dyDescent="0.25">
      <c r="AL221" s="47">
        <f t="shared" si="4"/>
        <v>0</v>
      </c>
    </row>
    <row r="222" spans="38:38" x14ac:dyDescent="0.25">
      <c r="AL222" s="47">
        <f t="shared" si="4"/>
        <v>0</v>
      </c>
    </row>
    <row r="223" spans="38:38" x14ac:dyDescent="0.25">
      <c r="AL223" s="47">
        <f t="shared" si="4"/>
        <v>0</v>
      </c>
    </row>
    <row r="224" spans="38:38" x14ac:dyDescent="0.25">
      <c r="AL224" s="47">
        <f t="shared" si="4"/>
        <v>0</v>
      </c>
    </row>
    <row r="225" spans="38:38" x14ac:dyDescent="0.25">
      <c r="AL225" s="47">
        <f t="shared" si="4"/>
        <v>0</v>
      </c>
    </row>
    <row r="226" spans="38:38" x14ac:dyDescent="0.25">
      <c r="AL226" s="47">
        <f t="shared" si="4"/>
        <v>0</v>
      </c>
    </row>
    <row r="227" spans="38:38" x14ac:dyDescent="0.25">
      <c r="AL227" s="47">
        <f t="shared" si="4"/>
        <v>0</v>
      </c>
    </row>
    <row r="228" spans="38:38" x14ac:dyDescent="0.25">
      <c r="AL228" s="47">
        <f t="shared" si="4"/>
        <v>0</v>
      </c>
    </row>
    <row r="229" spans="38:38" x14ac:dyDescent="0.25">
      <c r="AL229" s="47">
        <f t="shared" si="4"/>
        <v>0</v>
      </c>
    </row>
    <row r="230" spans="38:38" x14ac:dyDescent="0.25">
      <c r="AL230" s="47">
        <f t="shared" si="4"/>
        <v>0</v>
      </c>
    </row>
    <row r="231" spans="38:38" x14ac:dyDescent="0.25">
      <c r="AL231" s="47">
        <f t="shared" si="4"/>
        <v>0</v>
      </c>
    </row>
    <row r="232" spans="38:38" x14ac:dyDescent="0.25">
      <c r="AL232" s="47">
        <f t="shared" si="4"/>
        <v>0</v>
      </c>
    </row>
    <row r="233" spans="38:38" x14ac:dyDescent="0.25">
      <c r="AL233" s="47">
        <f t="shared" si="4"/>
        <v>0</v>
      </c>
    </row>
    <row r="234" spans="38:38" x14ac:dyDescent="0.25">
      <c r="AL234" s="47">
        <f t="shared" si="4"/>
        <v>0</v>
      </c>
    </row>
    <row r="235" spans="38:38" x14ac:dyDescent="0.25">
      <c r="AL235" s="47">
        <f t="shared" si="4"/>
        <v>0</v>
      </c>
    </row>
    <row r="236" spans="38:38" x14ac:dyDescent="0.25">
      <c r="AL236" s="47">
        <f t="shared" si="4"/>
        <v>0</v>
      </c>
    </row>
    <row r="237" spans="38:38" x14ac:dyDescent="0.25">
      <c r="AL237" s="47">
        <f t="shared" si="4"/>
        <v>0</v>
      </c>
    </row>
    <row r="238" spans="38:38" x14ac:dyDescent="0.25">
      <c r="AL238" s="47">
        <f t="shared" si="4"/>
        <v>0</v>
      </c>
    </row>
    <row r="239" spans="38:38" x14ac:dyDescent="0.25">
      <c r="AL239" s="47">
        <f t="shared" si="4"/>
        <v>0</v>
      </c>
    </row>
    <row r="240" spans="38:38" x14ac:dyDescent="0.25">
      <c r="AL240" s="47">
        <f t="shared" si="4"/>
        <v>0</v>
      </c>
    </row>
    <row r="241" spans="38:38" x14ac:dyDescent="0.25">
      <c r="AL241" s="47">
        <f t="shared" si="4"/>
        <v>0</v>
      </c>
    </row>
    <row r="242" spans="38:38" x14ac:dyDescent="0.25">
      <c r="AL242" s="47">
        <f t="shared" si="4"/>
        <v>0</v>
      </c>
    </row>
    <row r="243" spans="38:38" x14ac:dyDescent="0.25">
      <c r="AL243" s="47">
        <f t="shared" si="4"/>
        <v>0</v>
      </c>
    </row>
    <row r="244" spans="38:38" x14ac:dyDescent="0.25">
      <c r="AL244" s="47">
        <f t="shared" si="4"/>
        <v>0</v>
      </c>
    </row>
    <row r="245" spans="38:38" x14ac:dyDescent="0.25">
      <c r="AL245" s="47">
        <f t="shared" si="4"/>
        <v>0</v>
      </c>
    </row>
    <row r="246" spans="38:38" x14ac:dyDescent="0.25">
      <c r="AL246" s="47">
        <f t="shared" si="4"/>
        <v>0</v>
      </c>
    </row>
    <row r="247" spans="38:38" x14ac:dyDescent="0.25">
      <c r="AL247" s="47">
        <f t="shared" si="4"/>
        <v>0</v>
      </c>
    </row>
    <row r="248" spans="38:38" x14ac:dyDescent="0.25">
      <c r="AL248" s="47">
        <f t="shared" si="4"/>
        <v>0</v>
      </c>
    </row>
    <row r="249" spans="38:38" x14ac:dyDescent="0.25">
      <c r="AL249" s="47">
        <f t="shared" si="4"/>
        <v>0</v>
      </c>
    </row>
    <row r="250" spans="38:38" x14ac:dyDescent="0.25">
      <c r="AL250" s="47">
        <f t="shared" si="4"/>
        <v>0</v>
      </c>
    </row>
    <row r="251" spans="38:38" x14ac:dyDescent="0.25">
      <c r="AL251" s="47">
        <f t="shared" si="4"/>
        <v>0</v>
      </c>
    </row>
    <row r="252" spans="38:38" x14ac:dyDescent="0.25">
      <c r="AL252" s="47">
        <f t="shared" si="4"/>
        <v>0</v>
      </c>
    </row>
    <row r="253" spans="38:38" x14ac:dyDescent="0.25">
      <c r="AL253" s="47">
        <f t="shared" si="4"/>
        <v>0</v>
      </c>
    </row>
    <row r="254" spans="38:38" x14ac:dyDescent="0.25">
      <c r="AL254" s="47">
        <f t="shared" si="4"/>
        <v>0</v>
      </c>
    </row>
    <row r="255" spans="38:38" x14ac:dyDescent="0.25">
      <c r="AL255" s="47">
        <f t="shared" si="4"/>
        <v>0</v>
      </c>
    </row>
    <row r="256" spans="38:38" x14ac:dyDescent="0.25">
      <c r="AL256" s="47">
        <f t="shared" si="4"/>
        <v>0</v>
      </c>
    </row>
    <row r="257" spans="38:38" x14ac:dyDescent="0.25">
      <c r="AL257" s="47">
        <f t="shared" si="4"/>
        <v>0</v>
      </c>
    </row>
    <row r="258" spans="38:38" x14ac:dyDescent="0.25">
      <c r="AL258" s="47">
        <f t="shared" si="4"/>
        <v>0</v>
      </c>
    </row>
    <row r="259" spans="38:38" x14ac:dyDescent="0.25">
      <c r="AL259" s="47">
        <f t="shared" si="4"/>
        <v>0</v>
      </c>
    </row>
    <row r="260" spans="38:38" x14ac:dyDescent="0.25">
      <c r="AL260" s="47">
        <f t="shared" si="4"/>
        <v>0</v>
      </c>
    </row>
    <row r="261" spans="38:38" x14ac:dyDescent="0.25">
      <c r="AL261" s="47">
        <f t="shared" si="4"/>
        <v>0</v>
      </c>
    </row>
    <row r="262" spans="38:38" x14ac:dyDescent="0.25">
      <c r="AL262" s="47">
        <f t="shared" si="4"/>
        <v>0</v>
      </c>
    </row>
    <row r="263" spans="38:38" x14ac:dyDescent="0.25">
      <c r="AL263" s="47">
        <f t="shared" si="4"/>
        <v>0</v>
      </c>
    </row>
    <row r="264" spans="38:38" x14ac:dyDescent="0.25">
      <c r="AL264" s="47">
        <f t="shared" ref="AL264:AL305" si="5">I264+J264-O264-R264-U264</f>
        <v>0</v>
      </c>
    </row>
    <row r="265" spans="38:38" x14ac:dyDescent="0.25">
      <c r="AL265" s="47">
        <f t="shared" si="5"/>
        <v>0</v>
      </c>
    </row>
    <row r="266" spans="38:38" x14ac:dyDescent="0.25">
      <c r="AL266" s="47">
        <f t="shared" si="5"/>
        <v>0</v>
      </c>
    </row>
    <row r="267" spans="38:38" x14ac:dyDescent="0.25">
      <c r="AL267" s="47">
        <f t="shared" si="5"/>
        <v>0</v>
      </c>
    </row>
    <row r="268" spans="38:38" x14ac:dyDescent="0.25">
      <c r="AL268" s="47">
        <f t="shared" si="5"/>
        <v>0</v>
      </c>
    </row>
    <row r="269" spans="38:38" x14ac:dyDescent="0.25">
      <c r="AL269" s="47">
        <f t="shared" si="5"/>
        <v>0</v>
      </c>
    </row>
    <row r="270" spans="38:38" x14ac:dyDescent="0.25">
      <c r="AL270" s="47">
        <f t="shared" si="5"/>
        <v>0</v>
      </c>
    </row>
    <row r="271" spans="38:38" x14ac:dyDescent="0.25">
      <c r="AL271" s="47">
        <f t="shared" si="5"/>
        <v>0</v>
      </c>
    </row>
    <row r="272" spans="38:38" x14ac:dyDescent="0.25">
      <c r="AL272" s="47">
        <f t="shared" si="5"/>
        <v>0</v>
      </c>
    </row>
    <row r="273" spans="38:38" x14ac:dyDescent="0.25">
      <c r="AL273" s="47">
        <f t="shared" si="5"/>
        <v>0</v>
      </c>
    </row>
    <row r="274" spans="38:38" x14ac:dyDescent="0.25">
      <c r="AL274" s="47">
        <f t="shared" si="5"/>
        <v>0</v>
      </c>
    </row>
    <row r="275" spans="38:38" x14ac:dyDescent="0.25">
      <c r="AL275" s="47">
        <f t="shared" si="5"/>
        <v>0</v>
      </c>
    </row>
    <row r="276" spans="38:38" x14ac:dyDescent="0.25">
      <c r="AL276" s="47">
        <f t="shared" si="5"/>
        <v>0</v>
      </c>
    </row>
    <row r="277" spans="38:38" x14ac:dyDescent="0.25">
      <c r="AL277" s="47">
        <f t="shared" si="5"/>
        <v>0</v>
      </c>
    </row>
    <row r="278" spans="38:38" x14ac:dyDescent="0.25">
      <c r="AL278" s="47">
        <f t="shared" si="5"/>
        <v>0</v>
      </c>
    </row>
    <row r="279" spans="38:38" x14ac:dyDescent="0.25">
      <c r="AL279" s="47">
        <f t="shared" si="5"/>
        <v>0</v>
      </c>
    </row>
    <row r="280" spans="38:38" x14ac:dyDescent="0.25">
      <c r="AL280" s="47">
        <f t="shared" si="5"/>
        <v>0</v>
      </c>
    </row>
    <row r="281" spans="38:38" x14ac:dyDescent="0.25">
      <c r="AL281" s="47">
        <f t="shared" si="5"/>
        <v>0</v>
      </c>
    </row>
    <row r="282" spans="38:38" x14ac:dyDescent="0.25">
      <c r="AL282" s="47">
        <f t="shared" si="5"/>
        <v>0</v>
      </c>
    </row>
    <row r="283" spans="38:38" x14ac:dyDescent="0.25">
      <c r="AL283" s="47">
        <f t="shared" si="5"/>
        <v>0</v>
      </c>
    </row>
    <row r="284" spans="38:38" x14ac:dyDescent="0.25">
      <c r="AL284" s="47">
        <f t="shared" si="5"/>
        <v>0</v>
      </c>
    </row>
    <row r="285" spans="38:38" x14ac:dyDescent="0.25">
      <c r="AL285" s="47">
        <f t="shared" si="5"/>
        <v>0</v>
      </c>
    </row>
    <row r="286" spans="38:38" x14ac:dyDescent="0.25">
      <c r="AL286" s="47">
        <f t="shared" si="5"/>
        <v>0</v>
      </c>
    </row>
    <row r="287" spans="38:38" x14ac:dyDescent="0.25">
      <c r="AL287" s="47">
        <f t="shared" si="5"/>
        <v>0</v>
      </c>
    </row>
    <row r="288" spans="38:38" x14ac:dyDescent="0.25">
      <c r="AL288" s="47">
        <f t="shared" si="5"/>
        <v>0</v>
      </c>
    </row>
    <row r="289" spans="38:38" x14ac:dyDescent="0.25">
      <c r="AL289" s="47">
        <f t="shared" si="5"/>
        <v>0</v>
      </c>
    </row>
    <row r="290" spans="38:38" x14ac:dyDescent="0.25">
      <c r="AL290" s="47">
        <f t="shared" si="5"/>
        <v>0</v>
      </c>
    </row>
    <row r="291" spans="38:38" x14ac:dyDescent="0.25">
      <c r="AL291" s="47">
        <f t="shared" si="5"/>
        <v>0</v>
      </c>
    </row>
    <row r="292" spans="38:38" x14ac:dyDescent="0.25">
      <c r="AL292" s="47">
        <f t="shared" si="5"/>
        <v>0</v>
      </c>
    </row>
    <row r="293" spans="38:38" x14ac:dyDescent="0.25">
      <c r="AL293" s="47">
        <f t="shared" si="5"/>
        <v>0</v>
      </c>
    </row>
    <row r="294" spans="38:38" x14ac:dyDescent="0.25">
      <c r="AL294" s="47">
        <f t="shared" si="5"/>
        <v>0</v>
      </c>
    </row>
    <row r="295" spans="38:38" x14ac:dyDescent="0.25">
      <c r="AL295" s="47">
        <f t="shared" si="5"/>
        <v>0</v>
      </c>
    </row>
    <row r="296" spans="38:38" x14ac:dyDescent="0.25">
      <c r="AL296" s="47">
        <f t="shared" si="5"/>
        <v>0</v>
      </c>
    </row>
    <row r="297" spans="38:38" x14ac:dyDescent="0.25">
      <c r="AL297" s="47">
        <f t="shared" si="5"/>
        <v>0</v>
      </c>
    </row>
    <row r="298" spans="38:38" x14ac:dyDescent="0.25">
      <c r="AL298" s="47">
        <f t="shared" si="5"/>
        <v>0</v>
      </c>
    </row>
    <row r="299" spans="38:38" x14ac:dyDescent="0.25">
      <c r="AL299" s="47">
        <f t="shared" si="5"/>
        <v>0</v>
      </c>
    </row>
    <row r="300" spans="38:38" x14ac:dyDescent="0.25">
      <c r="AL300" s="47">
        <f t="shared" si="5"/>
        <v>0</v>
      </c>
    </row>
    <row r="301" spans="38:38" x14ac:dyDescent="0.25">
      <c r="AL301" s="47">
        <f t="shared" si="5"/>
        <v>0</v>
      </c>
    </row>
    <row r="302" spans="38:38" x14ac:dyDescent="0.25">
      <c r="AL302" s="47">
        <f t="shared" si="5"/>
        <v>0</v>
      </c>
    </row>
    <row r="303" spans="38:38" x14ac:dyDescent="0.25">
      <c r="AL303" s="47">
        <f t="shared" si="5"/>
        <v>0</v>
      </c>
    </row>
    <row r="304" spans="38:38" x14ac:dyDescent="0.25">
      <c r="AL304" s="47">
        <f t="shared" si="5"/>
        <v>0</v>
      </c>
    </row>
    <row r="305" spans="38:38" x14ac:dyDescent="0.25">
      <c r="AL305" s="47">
        <f t="shared" si="5"/>
        <v>0</v>
      </c>
    </row>
  </sheetData>
  <mergeCells count="27">
    <mergeCell ref="B73:D73"/>
    <mergeCell ref="A72:A73"/>
    <mergeCell ref="A3:C5"/>
    <mergeCell ref="A13:C14"/>
    <mergeCell ref="A37:C38"/>
    <mergeCell ref="A39:A41"/>
    <mergeCell ref="A6:C7"/>
    <mergeCell ref="A17:A20"/>
    <mergeCell ref="A26:A29"/>
    <mergeCell ref="A31:C32"/>
    <mergeCell ref="A33:A35"/>
    <mergeCell ref="A64:C65"/>
    <mergeCell ref="A66:A68"/>
    <mergeCell ref="C55:C56"/>
    <mergeCell ref="B46:C46"/>
    <mergeCell ref="B48:C48"/>
    <mergeCell ref="Y1:AJ1"/>
    <mergeCell ref="AB2:AD2"/>
    <mergeCell ref="AE2:AG2"/>
    <mergeCell ref="AH2:AJ2"/>
    <mergeCell ref="A22:C23"/>
    <mergeCell ref="F3:K3"/>
    <mergeCell ref="M1:W1"/>
    <mergeCell ref="O2:Q2"/>
    <mergeCell ref="R2:T2"/>
    <mergeCell ref="U2:W2"/>
    <mergeCell ref="A1:C2"/>
  </mergeCells>
  <pageMargins left="0.7" right="0.7" top="0.75" bottom="0.75" header="0.3" footer="0.3"/>
  <pageSetup orientation="portrait" horizontalDpi="100" verticalDpi="1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88F03-64A0-4F05-9EF9-074DECA95668}">
  <dimension ref="A1:BQ142"/>
  <sheetViews>
    <sheetView topLeftCell="H1" workbookViewId="0">
      <selection activeCell="H1" sqref="H1"/>
    </sheetView>
  </sheetViews>
  <sheetFormatPr defaultRowHeight="15" x14ac:dyDescent="0.25"/>
  <cols>
    <col min="1" max="1" width="33.7109375" style="47" bestFit="1" customWidth="1"/>
    <col min="2" max="2" width="6.7109375" style="47" bestFit="1" customWidth="1"/>
    <col min="3" max="3" width="7.5703125" style="47" bestFit="1" customWidth="1"/>
    <col min="4" max="4" width="9.140625" style="47"/>
    <col min="5" max="5" width="3.5703125" style="36" customWidth="1"/>
    <col min="6" max="6" width="10" style="47" bestFit="1" customWidth="1"/>
    <col min="7" max="7" width="18.140625" style="47" bestFit="1" customWidth="1"/>
    <col min="8" max="8" width="22.5703125" style="1" bestFit="1" customWidth="1"/>
    <col min="9" max="9" width="10.28515625" style="47" bestFit="1" customWidth="1"/>
    <col min="10" max="10" width="9.7109375" style="47" bestFit="1" customWidth="1"/>
    <col min="11" max="11" width="12.28515625" style="47" bestFit="1" customWidth="1"/>
    <col min="12" max="12" width="27.140625" style="36" customWidth="1"/>
    <col min="13" max="13" width="12.42578125" style="58" bestFit="1" customWidth="1"/>
    <col min="14" max="14" width="18.5703125" style="58" bestFit="1" customWidth="1"/>
    <col min="15" max="16" width="12.28515625" style="58" bestFit="1" customWidth="1"/>
    <col min="17" max="17" width="12.42578125" style="58" bestFit="1" customWidth="1"/>
    <col min="18" max="23" width="12.28515625" style="58" bestFit="1" customWidth="1"/>
    <col min="24" max="24" width="3.42578125" style="36" customWidth="1"/>
    <col min="25" max="25" width="9.140625" style="47"/>
    <col min="26" max="26" width="31.5703125" style="47" bestFit="1" customWidth="1"/>
    <col min="27" max="27" width="15.42578125" style="47" bestFit="1" customWidth="1"/>
    <col min="28" max="28" width="12.28515625" style="47" bestFit="1" customWidth="1"/>
    <col min="29" max="30" width="9.140625" style="47"/>
    <col min="31" max="31" width="12.28515625" style="47" bestFit="1" customWidth="1"/>
    <col min="32" max="33" width="9.140625" style="47"/>
    <col min="34" max="34" width="12.28515625" style="47" bestFit="1" customWidth="1"/>
    <col min="35" max="16384" width="9.140625" style="47"/>
  </cols>
  <sheetData>
    <row r="1" spans="1:69" ht="75" x14ac:dyDescent="0.2">
      <c r="A1" s="369" t="s">
        <v>312</v>
      </c>
      <c r="B1" s="369"/>
      <c r="C1" s="369"/>
      <c r="G1" s="135" t="s">
        <v>628</v>
      </c>
      <c r="H1" s="134">
        <v>46110</v>
      </c>
      <c r="M1" s="370" t="s">
        <v>92</v>
      </c>
      <c r="N1" s="370"/>
      <c r="O1" s="370"/>
      <c r="P1" s="370"/>
      <c r="Q1" s="370"/>
      <c r="R1" s="370"/>
      <c r="S1" s="370"/>
      <c r="T1" s="370"/>
      <c r="U1" s="370"/>
      <c r="V1" s="370"/>
      <c r="W1" s="370"/>
      <c r="Y1" s="361" t="s">
        <v>92</v>
      </c>
      <c r="Z1" s="361"/>
      <c r="AA1" s="361"/>
      <c r="AB1" s="361"/>
      <c r="AC1" s="361"/>
      <c r="AD1" s="361"/>
      <c r="AE1" s="361"/>
      <c r="AF1" s="361"/>
      <c r="AG1" s="361"/>
      <c r="AH1" s="361"/>
      <c r="AI1" s="361"/>
      <c r="AJ1" s="361"/>
      <c r="BP1" s="47" t="s">
        <v>401</v>
      </c>
      <c r="BQ1" s="47">
        <f>I4+AA4</f>
        <v>-3415.83</v>
      </c>
    </row>
    <row r="2" spans="1:69" ht="23.25" x14ac:dyDescent="0.25">
      <c r="A2" s="369"/>
      <c r="B2" s="369"/>
      <c r="C2" s="369"/>
      <c r="M2" s="56"/>
      <c r="N2" s="56"/>
      <c r="O2" s="371" t="s">
        <v>338</v>
      </c>
      <c r="P2" s="371"/>
      <c r="Q2" s="371"/>
      <c r="R2" s="371" t="s">
        <v>339</v>
      </c>
      <c r="S2" s="371"/>
      <c r="T2" s="371"/>
      <c r="U2" s="371" t="s">
        <v>340</v>
      </c>
      <c r="V2" s="371"/>
      <c r="W2" s="371"/>
      <c r="Y2" s="61"/>
      <c r="Z2" s="61"/>
      <c r="AA2" s="61"/>
      <c r="AB2" s="362" t="s">
        <v>338</v>
      </c>
      <c r="AC2" s="362"/>
      <c r="AD2" s="362"/>
      <c r="AE2" s="362" t="s">
        <v>339</v>
      </c>
      <c r="AF2" s="362"/>
      <c r="AG2" s="362"/>
      <c r="AH2" s="362" t="s">
        <v>340</v>
      </c>
      <c r="AI2" s="362"/>
      <c r="AJ2" s="362"/>
      <c r="BQ2" s="47">
        <f>IF(BQ1&lt;0,0,BQ1)</f>
        <v>0</v>
      </c>
    </row>
    <row r="3" spans="1:69" ht="26.25" customHeight="1" x14ac:dyDescent="0.25">
      <c r="A3" s="373" t="s">
        <v>308</v>
      </c>
      <c r="B3" s="373"/>
      <c r="C3" s="373"/>
      <c r="F3" s="387" t="s">
        <v>62</v>
      </c>
      <c r="G3" s="387"/>
      <c r="H3" s="387"/>
      <c r="I3" s="387"/>
      <c r="J3" s="387"/>
      <c r="K3" s="387"/>
      <c r="M3" s="56"/>
      <c r="N3" s="56"/>
      <c r="O3" s="56" t="s">
        <v>96</v>
      </c>
      <c r="P3" s="56" t="s">
        <v>97</v>
      </c>
      <c r="Q3" s="56" t="s">
        <v>98</v>
      </c>
      <c r="R3" s="56" t="s">
        <v>96</v>
      </c>
      <c r="S3" s="56" t="s">
        <v>97</v>
      </c>
      <c r="T3" s="56" t="s">
        <v>98</v>
      </c>
      <c r="U3" s="56" t="s">
        <v>96</v>
      </c>
      <c r="V3" s="56" t="s">
        <v>97</v>
      </c>
      <c r="W3" s="56" t="s">
        <v>98</v>
      </c>
      <c r="Y3" s="61"/>
      <c r="Z3" s="61"/>
      <c r="AA3" s="61"/>
      <c r="AB3" s="61" t="s">
        <v>96</v>
      </c>
      <c r="AC3" s="61" t="s">
        <v>97</v>
      </c>
      <c r="AD3" s="61" t="s">
        <v>98</v>
      </c>
      <c r="AE3" s="61" t="s">
        <v>96</v>
      </c>
      <c r="AF3" s="61" t="s">
        <v>97</v>
      </c>
      <c r="AG3" s="61" t="s">
        <v>98</v>
      </c>
      <c r="AH3" s="61" t="s">
        <v>96</v>
      </c>
      <c r="AI3" s="61" t="s">
        <v>97</v>
      </c>
      <c r="AJ3" s="61" t="s">
        <v>98</v>
      </c>
    </row>
    <row r="4" spans="1:69" ht="26.25" customHeight="1" x14ac:dyDescent="0.25">
      <c r="A4" s="373"/>
      <c r="B4" s="373"/>
      <c r="C4" s="373"/>
      <c r="F4" s="81"/>
      <c r="G4" s="81"/>
      <c r="H4" s="82" t="s">
        <v>2</v>
      </c>
      <c r="I4" s="81">
        <f>SUM(I7:I106)</f>
        <v>9500</v>
      </c>
      <c r="J4" s="81">
        <f>SUM(J7:J106)</f>
        <v>0</v>
      </c>
      <c r="K4" s="81">
        <f>SUM(K7:K106)</f>
        <v>9500</v>
      </c>
      <c r="M4" s="56"/>
      <c r="N4" s="56" t="s">
        <v>2</v>
      </c>
      <c r="O4" s="56">
        <f>SUM(O7:O106)</f>
        <v>7125</v>
      </c>
      <c r="P4" s="56"/>
      <c r="Q4" s="56">
        <f t="shared" ref="Q4:W4" si="0">SUM(Q7:Q106)</f>
        <v>329.40929999999997</v>
      </c>
      <c r="R4" s="56">
        <f t="shared" si="0"/>
        <v>950</v>
      </c>
      <c r="S4" s="56"/>
      <c r="T4" s="56">
        <f t="shared" si="0"/>
        <v>36.886299999999999</v>
      </c>
      <c r="U4" s="56">
        <f t="shared" si="0"/>
        <v>1425</v>
      </c>
      <c r="V4" s="56"/>
      <c r="W4" s="56">
        <f t="shared" si="0"/>
        <v>53.605899999999998</v>
      </c>
      <c r="Y4" s="61"/>
      <c r="Z4" s="61" t="s">
        <v>2</v>
      </c>
      <c r="AA4" s="61">
        <f>AB4+AE4+AH4</f>
        <v>-12915.83</v>
      </c>
      <c r="AB4" s="61">
        <f>SUM(AB6:AB1000)</f>
        <v>-10397.98</v>
      </c>
      <c r="AC4" s="61"/>
      <c r="AD4" s="61">
        <f>SUM(AD6:AD1000)</f>
        <v>-329.40930000000003</v>
      </c>
      <c r="AE4" s="61">
        <f>SUM(AE6:AE1000)</f>
        <v>-1019.54</v>
      </c>
      <c r="AF4" s="61"/>
      <c r="AG4" s="61">
        <f>SUM(AG6:AG1000)</f>
        <v>-36.886299999999999</v>
      </c>
      <c r="AH4" s="61">
        <f>SUM(AH6:AH1000)</f>
        <v>-1498.3100000000002</v>
      </c>
      <c r="AI4" s="61"/>
      <c r="AJ4" s="61">
        <f>SUM(AJ6:AJ1000)</f>
        <v>-53.605900000000005</v>
      </c>
    </row>
    <row r="5" spans="1:69" s="7" customFormat="1" ht="90.75" customHeight="1" thickBot="1" x14ac:dyDescent="0.3">
      <c r="A5" s="373"/>
      <c r="B5" s="373"/>
      <c r="C5" s="373"/>
      <c r="E5" s="10"/>
      <c r="F5" s="83" t="s">
        <v>63</v>
      </c>
      <c r="G5" s="83" t="s">
        <v>60</v>
      </c>
      <c r="H5" s="84" t="s">
        <v>63</v>
      </c>
      <c r="I5" s="83" t="s">
        <v>60</v>
      </c>
      <c r="J5" s="83" t="s">
        <v>61</v>
      </c>
      <c r="K5" s="83" t="s">
        <v>49</v>
      </c>
      <c r="L5" s="10"/>
      <c r="M5" s="57" t="s">
        <v>63</v>
      </c>
      <c r="N5" s="57" t="s">
        <v>60</v>
      </c>
      <c r="O5" s="57" t="s">
        <v>299</v>
      </c>
      <c r="P5" s="57" t="s">
        <v>300</v>
      </c>
      <c r="Q5" s="57" t="s">
        <v>301</v>
      </c>
      <c r="R5" s="57" t="s">
        <v>302</v>
      </c>
      <c r="S5" s="57" t="s">
        <v>303</v>
      </c>
      <c r="T5" s="57" t="s">
        <v>304</v>
      </c>
      <c r="U5" s="57" t="s">
        <v>305</v>
      </c>
      <c r="V5" s="57" t="s">
        <v>306</v>
      </c>
      <c r="W5" s="57" t="s">
        <v>307</v>
      </c>
      <c r="X5" s="10"/>
      <c r="Y5" s="62" t="s">
        <v>63</v>
      </c>
      <c r="Z5" s="62" t="s">
        <v>60</v>
      </c>
      <c r="AA5" s="62" t="s">
        <v>337</v>
      </c>
      <c r="AB5" s="62" t="s">
        <v>299</v>
      </c>
      <c r="AC5" s="62" t="s">
        <v>300</v>
      </c>
      <c r="AD5" s="62" t="s">
        <v>301</v>
      </c>
      <c r="AE5" s="62" t="s">
        <v>302</v>
      </c>
      <c r="AF5" s="62" t="s">
        <v>303</v>
      </c>
      <c r="AG5" s="62" t="s">
        <v>304</v>
      </c>
      <c r="AH5" s="62" t="s">
        <v>305</v>
      </c>
      <c r="AI5" s="62" t="s">
        <v>306</v>
      </c>
      <c r="AJ5" s="62" t="s">
        <v>307</v>
      </c>
    </row>
    <row r="6" spans="1:69" x14ac:dyDescent="0.25">
      <c r="A6" s="377">
        <v>0</v>
      </c>
      <c r="B6" s="378"/>
      <c r="C6" s="379"/>
      <c r="F6" s="85">
        <v>43556</v>
      </c>
      <c r="G6" s="86" t="s">
        <v>64</v>
      </c>
      <c r="H6" s="86" t="s">
        <v>65</v>
      </c>
      <c r="I6" s="86" t="s">
        <v>65</v>
      </c>
      <c r="J6" s="86" t="s">
        <v>65</v>
      </c>
      <c r="K6" s="86">
        <v>0</v>
      </c>
      <c r="M6" s="75">
        <v>43556</v>
      </c>
      <c r="N6" s="60" t="s">
        <v>109</v>
      </c>
      <c r="O6" s="60" t="s">
        <v>65</v>
      </c>
      <c r="P6" s="60"/>
      <c r="Q6" s="60">
        <v>0</v>
      </c>
      <c r="R6" s="60" t="s">
        <v>65</v>
      </c>
      <c r="S6" s="60"/>
      <c r="T6" s="60">
        <v>0</v>
      </c>
      <c r="U6" s="60" t="s">
        <v>65</v>
      </c>
      <c r="V6" s="60"/>
      <c r="W6" s="60">
        <v>0</v>
      </c>
      <c r="Y6" t="s">
        <v>322</v>
      </c>
      <c r="Z6" t="s">
        <v>323</v>
      </c>
      <c r="AA6">
        <v>-8.85</v>
      </c>
      <c r="AB6">
        <v>-6.65</v>
      </c>
      <c r="AC6">
        <v>25.456700000000001</v>
      </c>
      <c r="AD6">
        <v>-0.26119999999999999</v>
      </c>
      <c r="AE6">
        <v>-0.87</v>
      </c>
      <c r="AF6">
        <v>24.7227</v>
      </c>
      <c r="AG6">
        <v>-3.5099999999999999E-2</v>
      </c>
      <c r="AH6">
        <v>-1.33</v>
      </c>
      <c r="AI6">
        <v>25.268599999999999</v>
      </c>
      <c r="AJ6">
        <v>-5.2600000000000001E-2</v>
      </c>
    </row>
    <row r="7" spans="1:69" x14ac:dyDescent="0.25">
      <c r="A7" s="380"/>
      <c r="B7" s="373"/>
      <c r="C7" s="381"/>
      <c r="F7" s="85">
        <v>43787</v>
      </c>
      <c r="G7" s="86" t="s">
        <v>309</v>
      </c>
      <c r="H7" s="86" t="s">
        <v>310</v>
      </c>
      <c r="I7" s="86">
        <v>500</v>
      </c>
      <c r="J7" s="86">
        <v>0</v>
      </c>
      <c r="K7" s="86">
        <v>500</v>
      </c>
      <c r="L7" s="36" t="s">
        <v>827</v>
      </c>
      <c r="M7" s="75">
        <v>43787</v>
      </c>
      <c r="N7" s="60" t="s">
        <v>311</v>
      </c>
      <c r="O7" s="60">
        <v>375</v>
      </c>
      <c r="P7" s="60">
        <v>24.7546</v>
      </c>
      <c r="Q7" s="60">
        <v>15.1486</v>
      </c>
      <c r="R7" s="60">
        <v>50</v>
      </c>
      <c r="S7" s="60">
        <v>24.630500000000001</v>
      </c>
      <c r="T7" s="60">
        <v>2.0299999999999998</v>
      </c>
      <c r="U7" s="60">
        <v>75</v>
      </c>
      <c r="V7" s="60">
        <v>24.9482</v>
      </c>
      <c r="W7" s="60">
        <v>3.0062000000000002</v>
      </c>
      <c r="Y7" t="s">
        <v>374</v>
      </c>
      <c r="Z7" t="s">
        <v>375</v>
      </c>
      <c r="AA7">
        <v>-17.7</v>
      </c>
      <c r="AB7">
        <v>-12.65</v>
      </c>
      <c r="AC7">
        <v>16.695799999999998</v>
      </c>
      <c r="AD7">
        <v>-0.75760000000000005</v>
      </c>
      <c r="AE7">
        <v>-2.0299999999999998</v>
      </c>
      <c r="AF7">
        <v>25.4526</v>
      </c>
      <c r="AG7">
        <v>-7.9699999999999993E-2</v>
      </c>
      <c r="AH7">
        <v>-3.02</v>
      </c>
      <c r="AI7">
        <v>25.9956</v>
      </c>
      <c r="AJ7">
        <v>-0.11609999999999999</v>
      </c>
    </row>
    <row r="8" spans="1:69" x14ac:dyDescent="0.25">
      <c r="A8" s="46" t="s">
        <v>90</v>
      </c>
      <c r="B8" s="45">
        <f>COUNTA(F7:F106)</f>
        <v>10</v>
      </c>
      <c r="C8" s="51"/>
      <c r="F8" s="85">
        <v>43815</v>
      </c>
      <c r="G8" s="86" t="s">
        <v>309</v>
      </c>
      <c r="H8" s="86" t="s">
        <v>310</v>
      </c>
      <c r="I8" s="86">
        <v>500</v>
      </c>
      <c r="J8" s="86">
        <v>0</v>
      </c>
      <c r="K8" s="86">
        <v>500</v>
      </c>
      <c r="L8" s="205" t="s">
        <v>827</v>
      </c>
      <c r="M8" s="75">
        <v>43815</v>
      </c>
      <c r="N8" s="60" t="s">
        <v>311</v>
      </c>
      <c r="O8" s="60">
        <v>375</v>
      </c>
      <c r="P8" s="60">
        <v>25.044899999999998</v>
      </c>
      <c r="Q8" s="60">
        <v>14.973100000000001</v>
      </c>
      <c r="R8" s="60">
        <v>50</v>
      </c>
      <c r="S8" s="60">
        <v>24.563800000000001</v>
      </c>
      <c r="T8" s="60">
        <v>2.0354999999999999</v>
      </c>
      <c r="U8" s="60">
        <v>75</v>
      </c>
      <c r="V8" s="60">
        <v>24.7713</v>
      </c>
      <c r="W8" s="60">
        <v>3.0276000000000001</v>
      </c>
      <c r="Y8" t="s">
        <v>376</v>
      </c>
      <c r="Z8" t="s">
        <v>377</v>
      </c>
      <c r="AA8">
        <v>-4.42</v>
      </c>
      <c r="AB8">
        <v>-3.52</v>
      </c>
      <c r="AC8">
        <v>29.444900000000001</v>
      </c>
      <c r="AD8">
        <v>-0.1195</v>
      </c>
      <c r="AE8">
        <v>-0.36</v>
      </c>
      <c r="AF8">
        <v>27.982199999999999</v>
      </c>
      <c r="AG8">
        <v>-1.2800000000000001E-2</v>
      </c>
      <c r="AH8">
        <v>-0.54</v>
      </c>
      <c r="AI8">
        <v>28.5108</v>
      </c>
      <c r="AJ8">
        <v>-1.89E-2</v>
      </c>
    </row>
    <row r="9" spans="1:69" ht="45" x14ac:dyDescent="0.25">
      <c r="A9" s="46" t="s">
        <v>159</v>
      </c>
      <c r="B9" s="45">
        <f>I4</f>
        <v>9500</v>
      </c>
      <c r="C9" s="13"/>
      <c r="F9" s="85">
        <v>43899</v>
      </c>
      <c r="G9" s="86" t="s">
        <v>309</v>
      </c>
      <c r="H9" s="86" t="s">
        <v>310</v>
      </c>
      <c r="I9" s="86">
        <v>1000</v>
      </c>
      <c r="J9" s="86">
        <v>0</v>
      </c>
      <c r="K9" s="86">
        <v>1000</v>
      </c>
      <c r="L9" s="205" t="s">
        <v>827</v>
      </c>
      <c r="M9" s="75">
        <v>43899</v>
      </c>
      <c r="N9" s="60" t="s">
        <v>311</v>
      </c>
      <c r="O9" s="60">
        <v>750</v>
      </c>
      <c r="P9" s="60">
        <v>21.4983</v>
      </c>
      <c r="Q9" s="60">
        <v>34.886400000000002</v>
      </c>
      <c r="R9" s="60">
        <v>100</v>
      </c>
      <c r="S9" s="60">
        <v>25.540099999999999</v>
      </c>
      <c r="T9" s="60">
        <v>3.9154</v>
      </c>
      <c r="U9" s="60">
        <v>150</v>
      </c>
      <c r="V9" s="60">
        <v>26.5002</v>
      </c>
      <c r="W9" s="60">
        <v>5.6603000000000003</v>
      </c>
      <c r="Y9" t="s">
        <v>399</v>
      </c>
      <c r="Z9" t="s">
        <v>400</v>
      </c>
      <c r="AA9">
        <v>-12884.86</v>
      </c>
      <c r="AB9">
        <v>-10375.16</v>
      </c>
      <c r="AC9">
        <v>31.605499999999999</v>
      </c>
      <c r="AD9">
        <v>-328.27100000000002</v>
      </c>
      <c r="AE9">
        <v>-1016.28</v>
      </c>
      <c r="AF9">
        <v>27.647400000000001</v>
      </c>
      <c r="AG9">
        <v>-36.758699999999997</v>
      </c>
      <c r="AH9">
        <v>-1493.42</v>
      </c>
      <c r="AI9">
        <v>27.957100000000001</v>
      </c>
      <c r="AJ9">
        <v>-53.418300000000002</v>
      </c>
      <c r="AK9" s="205" t="s">
        <v>827</v>
      </c>
    </row>
    <row r="10" spans="1:69" x14ac:dyDescent="0.25">
      <c r="A10" s="46" t="s">
        <v>160</v>
      </c>
      <c r="B10" s="45">
        <f>J4</f>
        <v>0</v>
      </c>
      <c r="C10" s="13"/>
      <c r="F10" s="85">
        <v>43902</v>
      </c>
      <c r="G10" s="86" t="s">
        <v>309</v>
      </c>
      <c r="H10" s="86" t="s">
        <v>352</v>
      </c>
      <c r="I10" s="86">
        <v>2000</v>
      </c>
      <c r="J10" s="86">
        <v>0</v>
      </c>
      <c r="K10" s="86">
        <v>2000</v>
      </c>
      <c r="L10" s="205" t="s">
        <v>827</v>
      </c>
      <c r="M10" s="75">
        <v>43902</v>
      </c>
      <c r="N10" s="60" t="s">
        <v>309</v>
      </c>
      <c r="O10" s="60">
        <v>1500</v>
      </c>
      <c r="P10" s="60">
        <v>19.6142</v>
      </c>
      <c r="Q10" s="60">
        <v>76.475200000000001</v>
      </c>
      <c r="R10" s="60">
        <v>200</v>
      </c>
      <c r="S10" s="60">
        <v>25.308</v>
      </c>
      <c r="T10" s="60">
        <v>7.9025999999999996</v>
      </c>
      <c r="U10" s="60">
        <v>300</v>
      </c>
      <c r="V10" s="60">
        <v>26.237300000000001</v>
      </c>
      <c r="W10" s="60">
        <v>11.434100000000001</v>
      </c>
    </row>
    <row r="11" spans="1:69" ht="15.75" thickBot="1" x14ac:dyDescent="0.3">
      <c r="A11" s="37" t="s">
        <v>161</v>
      </c>
      <c r="B11" s="11">
        <f>K4</f>
        <v>9500</v>
      </c>
      <c r="C11" s="14"/>
      <c r="F11" s="85">
        <v>43906</v>
      </c>
      <c r="G11" s="86" t="s">
        <v>309</v>
      </c>
      <c r="H11" s="86" t="s">
        <v>352</v>
      </c>
      <c r="I11" s="86">
        <v>2000</v>
      </c>
      <c r="J11" s="86">
        <v>0</v>
      </c>
      <c r="K11" s="86">
        <v>2000</v>
      </c>
      <c r="L11" s="36" t="s">
        <v>827</v>
      </c>
      <c r="M11" s="75">
        <v>43906</v>
      </c>
      <c r="N11" s="60" t="s">
        <v>309</v>
      </c>
      <c r="O11" s="60">
        <v>1500</v>
      </c>
      <c r="P11" s="60">
        <v>18.857399999999998</v>
      </c>
      <c r="Q11" s="60">
        <v>79.544300000000007</v>
      </c>
      <c r="R11" s="60">
        <v>200</v>
      </c>
      <c r="S11" s="60">
        <v>25.096499999999999</v>
      </c>
      <c r="T11" s="60">
        <v>7.9691999999999998</v>
      </c>
      <c r="U11" s="60">
        <v>300</v>
      </c>
      <c r="V11" s="60">
        <v>26.2318</v>
      </c>
      <c r="W11" s="60">
        <v>11.436500000000001</v>
      </c>
    </row>
    <row r="12" spans="1:69" ht="15.75" thickBot="1" x14ac:dyDescent="0.3">
      <c r="F12" s="85">
        <v>43908</v>
      </c>
      <c r="G12" s="86" t="s">
        <v>309</v>
      </c>
      <c r="H12" s="86" t="s">
        <v>352</v>
      </c>
      <c r="I12" s="86">
        <v>1000</v>
      </c>
      <c r="J12" s="86">
        <v>0</v>
      </c>
      <c r="K12" s="86">
        <v>1000</v>
      </c>
      <c r="L12" s="205" t="s">
        <v>827</v>
      </c>
      <c r="M12" s="75">
        <v>43908</v>
      </c>
      <c r="N12" s="60" t="s">
        <v>309</v>
      </c>
      <c r="O12" s="60">
        <v>750</v>
      </c>
      <c r="P12" s="60">
        <v>17.496700000000001</v>
      </c>
      <c r="Q12" s="60">
        <v>42.865200000000002</v>
      </c>
      <c r="R12" s="60">
        <v>100</v>
      </c>
      <c r="S12" s="60">
        <v>24.815799999999999</v>
      </c>
      <c r="T12" s="60">
        <v>4.0296000000000003</v>
      </c>
      <c r="U12" s="60">
        <v>150</v>
      </c>
      <c r="V12" s="60">
        <v>26.050599999999999</v>
      </c>
      <c r="W12" s="60">
        <v>5.758</v>
      </c>
    </row>
    <row r="13" spans="1:69" x14ac:dyDescent="0.25">
      <c r="A13" s="363" t="s">
        <v>158</v>
      </c>
      <c r="B13" s="364"/>
      <c r="C13" s="365"/>
      <c r="F13" s="85">
        <v>44123</v>
      </c>
      <c r="G13" s="86" t="s">
        <v>309</v>
      </c>
      <c r="H13" s="86" t="s">
        <v>310</v>
      </c>
      <c r="I13" s="86">
        <v>500</v>
      </c>
      <c r="J13" s="86">
        <v>0</v>
      </c>
      <c r="K13" s="86">
        <v>500</v>
      </c>
      <c r="L13" s="36" t="s">
        <v>827</v>
      </c>
      <c r="M13" s="75" t="s">
        <v>378</v>
      </c>
      <c r="N13" s="60" t="s">
        <v>311</v>
      </c>
      <c r="O13" s="60">
        <v>375</v>
      </c>
      <c r="P13" s="60">
        <v>24.510999999999999</v>
      </c>
      <c r="Q13" s="60">
        <v>15.299200000000001</v>
      </c>
      <c r="R13" s="60">
        <v>50</v>
      </c>
      <c r="S13" s="60">
        <v>27.464200000000002</v>
      </c>
      <c r="T13" s="60">
        <v>1.8205</v>
      </c>
      <c r="U13" s="60">
        <v>75</v>
      </c>
      <c r="V13" s="60">
        <v>27.782599999999999</v>
      </c>
      <c r="W13" s="60">
        <v>2.6995</v>
      </c>
      <c r="Y13"/>
      <c r="Z13"/>
      <c r="AA13"/>
      <c r="AB13"/>
      <c r="AC13"/>
      <c r="AD13"/>
      <c r="AE13"/>
      <c r="AF13"/>
      <c r="AG13"/>
      <c r="AH13"/>
      <c r="AI13"/>
      <c r="AJ13"/>
    </row>
    <row r="14" spans="1:69" x14ac:dyDescent="0.25">
      <c r="A14" s="366"/>
      <c r="B14" s="367"/>
      <c r="C14" s="368"/>
      <c r="F14" s="85">
        <v>44203</v>
      </c>
      <c r="G14" s="86" t="s">
        <v>309</v>
      </c>
      <c r="H14" s="86" t="s">
        <v>310</v>
      </c>
      <c r="I14" s="86">
        <v>500</v>
      </c>
      <c r="J14" s="86">
        <v>0</v>
      </c>
      <c r="K14" s="86">
        <v>500</v>
      </c>
      <c r="L14" s="205" t="s">
        <v>827</v>
      </c>
      <c r="M14" s="75" t="s">
        <v>379</v>
      </c>
      <c r="N14" s="58" t="s">
        <v>311</v>
      </c>
      <c r="O14" s="60">
        <v>375</v>
      </c>
      <c r="P14" s="60">
        <v>29.444900000000001</v>
      </c>
      <c r="Q14" s="60">
        <v>12.7356</v>
      </c>
      <c r="R14" s="60">
        <v>50</v>
      </c>
      <c r="S14" s="60">
        <v>27.982199999999999</v>
      </c>
      <c r="T14" s="60">
        <v>1.7867999999999999</v>
      </c>
      <c r="U14" s="60">
        <v>75</v>
      </c>
      <c r="V14" s="60">
        <v>28.5108</v>
      </c>
      <c r="W14" s="60">
        <v>2.6305000000000001</v>
      </c>
    </row>
    <row r="15" spans="1:69" x14ac:dyDescent="0.25">
      <c r="A15" s="46"/>
      <c r="C15" s="48"/>
      <c r="F15" s="85">
        <v>44216</v>
      </c>
      <c r="G15" s="86" t="s">
        <v>309</v>
      </c>
      <c r="H15" s="86" t="s">
        <v>310</v>
      </c>
      <c r="I15" s="86">
        <v>500</v>
      </c>
      <c r="J15" s="86">
        <v>0</v>
      </c>
      <c r="K15" s="86">
        <v>500</v>
      </c>
      <c r="L15" s="36" t="s">
        <v>827</v>
      </c>
      <c r="M15" s="75" t="s">
        <v>397</v>
      </c>
      <c r="N15" s="58" t="s">
        <v>311</v>
      </c>
      <c r="O15" s="60">
        <v>375</v>
      </c>
      <c r="P15" s="60">
        <v>30.407</v>
      </c>
      <c r="Q15" s="60">
        <v>12.332599999999999</v>
      </c>
      <c r="R15" s="60">
        <v>50</v>
      </c>
      <c r="S15" s="60">
        <v>27.846399999999999</v>
      </c>
      <c r="T15" s="60">
        <v>1.7955000000000001</v>
      </c>
      <c r="U15" s="60">
        <v>75</v>
      </c>
      <c r="V15" s="60">
        <v>28.474599999999999</v>
      </c>
      <c r="W15" s="60">
        <v>2.6339000000000001</v>
      </c>
    </row>
    <row r="16" spans="1:69" ht="15.75" thickBot="1" x14ac:dyDescent="0.3">
      <c r="A16" s="46" t="s">
        <v>90</v>
      </c>
      <c r="B16" s="45">
        <f>COUNTA(M7:M116)</f>
        <v>10</v>
      </c>
      <c r="C16" s="48"/>
      <c r="F16" s="85">
        <v>44228</v>
      </c>
      <c r="G16" s="86" t="s">
        <v>309</v>
      </c>
      <c r="H16" s="86" t="s">
        <v>310</v>
      </c>
      <c r="I16" s="86">
        <v>1000</v>
      </c>
      <c r="J16" s="86">
        <v>0</v>
      </c>
      <c r="K16" s="86">
        <v>1000</v>
      </c>
      <c r="L16" s="36" t="s">
        <v>827</v>
      </c>
      <c r="M16" s="75" t="s">
        <v>398</v>
      </c>
      <c r="N16" s="58" t="s">
        <v>311</v>
      </c>
      <c r="O16" s="60">
        <v>750</v>
      </c>
      <c r="P16" s="60">
        <v>29.822099999999999</v>
      </c>
      <c r="Q16" s="60">
        <v>25.149100000000001</v>
      </c>
      <c r="R16" s="60">
        <v>100</v>
      </c>
      <c r="S16" s="60">
        <v>27.7681</v>
      </c>
      <c r="T16" s="60">
        <v>3.6012</v>
      </c>
      <c r="U16" s="60">
        <v>150</v>
      </c>
      <c r="V16" s="60">
        <v>28.198899999999998</v>
      </c>
      <c r="W16" s="60">
        <v>5.3193000000000001</v>
      </c>
    </row>
    <row r="17" spans="1:29" x14ac:dyDescent="0.25">
      <c r="A17" s="374" t="s">
        <v>91</v>
      </c>
      <c r="B17" s="49" t="str">
        <f>O2</f>
        <v>UTI-E</v>
      </c>
      <c r="C17" s="50">
        <f>O4</f>
        <v>7125</v>
      </c>
      <c r="F17" s="8"/>
      <c r="M17" s="75"/>
      <c r="O17" s="60"/>
      <c r="P17" s="60"/>
      <c r="Q17" s="60"/>
      <c r="R17" s="60"/>
      <c r="S17" s="60"/>
      <c r="T17" s="60"/>
      <c r="U17" s="60"/>
      <c r="V17" s="60"/>
      <c r="W17" s="60"/>
    </row>
    <row r="18" spans="1:29" x14ac:dyDescent="0.25">
      <c r="A18" s="375"/>
      <c r="B18" s="45" t="str">
        <f>R2</f>
        <v>UTI-C</v>
      </c>
      <c r="C18" s="51">
        <f>R4</f>
        <v>950</v>
      </c>
      <c r="F18" s="8"/>
      <c r="M18" s="75"/>
    </row>
    <row r="19" spans="1:29" x14ac:dyDescent="0.25">
      <c r="A19" s="375"/>
      <c r="B19" s="45" t="str">
        <f>U2</f>
        <v>UTI-G</v>
      </c>
      <c r="C19" s="51">
        <f>U4</f>
        <v>1425</v>
      </c>
      <c r="F19" s="8"/>
      <c r="M19" s="75"/>
    </row>
    <row r="20" spans="1:29" ht="15.75" thickBot="1" x14ac:dyDescent="0.3">
      <c r="A20" s="376"/>
      <c r="B20" s="11" t="s">
        <v>2</v>
      </c>
      <c r="C20" s="12">
        <f>SUM(C17:C19)</f>
        <v>9500</v>
      </c>
      <c r="F20" s="8"/>
      <c r="M20" s="75"/>
    </row>
    <row r="21" spans="1:29" ht="15.75" thickBot="1" x14ac:dyDescent="0.3">
      <c r="F21" s="8"/>
      <c r="M21" s="75"/>
    </row>
    <row r="22" spans="1:29" x14ac:dyDescent="0.25">
      <c r="A22" s="363" t="s">
        <v>158</v>
      </c>
      <c r="B22" s="364"/>
      <c r="C22" s="365"/>
      <c r="F22" s="8"/>
      <c r="M22" s="75"/>
    </row>
    <row r="23" spans="1:29" x14ac:dyDescent="0.25">
      <c r="A23" s="366"/>
      <c r="B23" s="367"/>
      <c r="C23" s="368"/>
      <c r="F23" s="8"/>
      <c r="M23" s="75"/>
    </row>
    <row r="24" spans="1:29" x14ac:dyDescent="0.25">
      <c r="A24" s="46"/>
      <c r="C24" s="48"/>
      <c r="F24" s="8"/>
      <c r="M24" s="75"/>
    </row>
    <row r="25" spans="1:29" ht="15.75" thickBot="1" x14ac:dyDescent="0.3">
      <c r="A25" s="46" t="s">
        <v>341</v>
      </c>
      <c r="B25" s="45">
        <f>COUNTA(Y6:Y1000)</f>
        <v>4</v>
      </c>
      <c r="C25" s="48"/>
      <c r="F25" s="8"/>
      <c r="M25" s="75"/>
    </row>
    <row r="26" spans="1:29" x14ac:dyDescent="0.25">
      <c r="A26" s="374" t="s">
        <v>332</v>
      </c>
      <c r="B26" s="49" t="str">
        <f>AB2</f>
        <v>UTI-E</v>
      </c>
      <c r="C26" s="50">
        <f>AB4</f>
        <v>-10397.98</v>
      </c>
      <c r="F26" s="8"/>
      <c r="M26" s="75"/>
    </row>
    <row r="27" spans="1:29" x14ac:dyDescent="0.25">
      <c r="A27" s="375"/>
      <c r="B27" s="45" t="str">
        <f>AE2</f>
        <v>UTI-C</v>
      </c>
      <c r="C27" s="51">
        <f>AE4</f>
        <v>-1019.54</v>
      </c>
      <c r="F27" s="8"/>
      <c r="M27" s="75"/>
    </row>
    <row r="28" spans="1:29" x14ac:dyDescent="0.25">
      <c r="A28" s="375"/>
      <c r="B28" s="45" t="str">
        <f>AH2</f>
        <v>UTI-G</v>
      </c>
      <c r="C28" s="51">
        <f>AH4</f>
        <v>-1498.3100000000002</v>
      </c>
      <c r="F28" s="8"/>
      <c r="M28" s="75"/>
    </row>
    <row r="29" spans="1:29" ht="15.75" thickBot="1" x14ac:dyDescent="0.3">
      <c r="A29" s="376"/>
      <c r="B29" s="11" t="s">
        <v>2</v>
      </c>
      <c r="C29" s="12">
        <f>SUM(C26:C28)</f>
        <v>-12915.83</v>
      </c>
      <c r="F29" s="8"/>
      <c r="M29" s="75"/>
    </row>
    <row r="30" spans="1:29" ht="15.75" thickBot="1" x14ac:dyDescent="0.3">
      <c r="F30" s="8"/>
      <c r="M30" s="75"/>
    </row>
    <row r="31" spans="1:29" x14ac:dyDescent="0.25">
      <c r="A31" s="363" t="s">
        <v>333</v>
      </c>
      <c r="B31" s="364"/>
      <c r="C31" s="365"/>
      <c r="F31" s="8"/>
      <c r="M31" s="75"/>
    </row>
    <row r="32" spans="1:29" ht="15.75" thickBot="1" x14ac:dyDescent="0.3">
      <c r="A32" s="366"/>
      <c r="B32" s="367"/>
      <c r="C32" s="368"/>
      <c r="F32" s="8"/>
      <c r="M32" s="75"/>
      <c r="Y32" s="1"/>
      <c r="Z32" s="1"/>
      <c r="AA32" s="1"/>
      <c r="AB32" s="1"/>
      <c r="AC32" s="1"/>
    </row>
    <row r="33" spans="1:29" ht="15" customHeight="1" x14ac:dyDescent="0.25">
      <c r="A33" s="374" t="s">
        <v>334</v>
      </c>
      <c r="B33" s="49" t="s">
        <v>338</v>
      </c>
      <c r="C33" s="50">
        <f>Q4-AD4</f>
        <v>658.81860000000006</v>
      </c>
      <c r="F33" s="8"/>
      <c r="M33" s="75"/>
      <c r="Y33" s="1"/>
      <c r="Z33" s="1"/>
      <c r="AA33" s="1"/>
      <c r="AB33" s="1"/>
      <c r="AC33" s="1"/>
    </row>
    <row r="34" spans="1:29" ht="15" customHeight="1" x14ac:dyDescent="0.25">
      <c r="A34" s="375"/>
      <c r="B34" s="45" t="s">
        <v>339</v>
      </c>
      <c r="C34" s="51">
        <f>T4-AG4</f>
        <v>73.772599999999997</v>
      </c>
      <c r="F34" s="8"/>
      <c r="M34" s="75"/>
      <c r="Y34" s="1"/>
      <c r="Z34" s="1"/>
      <c r="AA34" s="1"/>
      <c r="AB34" s="1"/>
      <c r="AC34" s="1"/>
    </row>
    <row r="35" spans="1:29" ht="15.75" customHeight="1" thickBot="1" x14ac:dyDescent="0.3">
      <c r="A35" s="376"/>
      <c r="B35" s="11" t="s">
        <v>340</v>
      </c>
      <c r="C35" s="12">
        <f>W4-AJ4</f>
        <v>107.21180000000001</v>
      </c>
      <c r="F35" s="43"/>
      <c r="G35" s="1"/>
      <c r="I35" s="1"/>
      <c r="J35" s="1"/>
      <c r="K35" s="1"/>
      <c r="M35" s="75"/>
      <c r="N35" s="59"/>
      <c r="O35" s="59"/>
      <c r="P35" s="59"/>
      <c r="Q35" s="59"/>
      <c r="R35" s="59"/>
      <c r="S35" s="59"/>
      <c r="T35" s="59"/>
      <c r="U35" s="59"/>
      <c r="V35" s="59"/>
      <c r="W35" s="59"/>
    </row>
    <row r="36" spans="1:29" ht="24" thickBot="1" x14ac:dyDescent="0.3">
      <c r="A36" s="68"/>
      <c r="B36" s="45"/>
      <c r="C36" s="45"/>
      <c r="F36" s="43"/>
      <c r="G36" s="1"/>
      <c r="I36" s="1"/>
      <c r="J36" s="1"/>
      <c r="K36" s="1"/>
      <c r="M36" s="75"/>
      <c r="N36" s="59"/>
      <c r="O36" s="59"/>
      <c r="P36" s="59"/>
      <c r="Q36" s="59"/>
      <c r="R36" s="59"/>
      <c r="S36" s="59"/>
      <c r="T36" s="59"/>
      <c r="U36" s="59"/>
      <c r="V36" s="59"/>
      <c r="W36" s="59"/>
    </row>
    <row r="37" spans="1:29" x14ac:dyDescent="0.25">
      <c r="A37" s="363" t="s">
        <v>335</v>
      </c>
      <c r="B37" s="364"/>
      <c r="C37" s="365"/>
      <c r="F37" s="43"/>
      <c r="G37" s="1"/>
      <c r="I37" s="1"/>
      <c r="J37" s="1"/>
      <c r="K37" s="1"/>
      <c r="M37" s="75"/>
      <c r="N37" s="59"/>
      <c r="O37" s="59"/>
      <c r="P37" s="59"/>
      <c r="Q37" s="59"/>
      <c r="R37" s="59"/>
      <c r="S37" s="59"/>
      <c r="T37" s="59"/>
      <c r="U37" s="59"/>
      <c r="V37" s="59"/>
      <c r="W37" s="59"/>
    </row>
    <row r="38" spans="1:29" ht="15.75" thickBot="1" x14ac:dyDescent="0.3">
      <c r="A38" s="366"/>
      <c r="B38" s="367"/>
      <c r="C38" s="368"/>
      <c r="F38" s="43"/>
      <c r="G38" s="1"/>
      <c r="I38" s="1"/>
      <c r="J38" s="1"/>
      <c r="K38" s="1"/>
      <c r="M38" s="75"/>
      <c r="N38" s="59"/>
      <c r="O38" s="59"/>
      <c r="P38" s="59"/>
      <c r="Q38" s="59"/>
      <c r="R38" s="59"/>
      <c r="S38" s="59"/>
      <c r="T38" s="59"/>
      <c r="U38" s="59"/>
      <c r="V38" s="59"/>
      <c r="W38" s="59"/>
    </row>
    <row r="39" spans="1:29" ht="15" customHeight="1" x14ac:dyDescent="0.25">
      <c r="A39" s="374" t="s">
        <v>336</v>
      </c>
      <c r="B39" s="49" t="s">
        <v>338</v>
      </c>
      <c r="C39" s="50">
        <f>C17+C26</f>
        <v>-3272.9799999999996</v>
      </c>
      <c r="F39" s="43"/>
      <c r="G39" s="1"/>
      <c r="I39" s="1"/>
      <c r="J39" s="1"/>
      <c r="K39" s="1"/>
      <c r="M39" s="75"/>
      <c r="N39" s="59"/>
      <c r="O39" s="59"/>
      <c r="P39" s="59"/>
      <c r="Q39" s="59"/>
      <c r="R39" s="59"/>
      <c r="S39" s="59"/>
      <c r="T39" s="59"/>
      <c r="U39" s="59"/>
      <c r="V39" s="59"/>
      <c r="W39" s="59"/>
    </row>
    <row r="40" spans="1:29" ht="15" customHeight="1" x14ac:dyDescent="0.25">
      <c r="A40" s="375"/>
      <c r="B40" s="45" t="s">
        <v>339</v>
      </c>
      <c r="C40" s="51">
        <f>C18+C27</f>
        <v>-69.539999999999964</v>
      </c>
      <c r="F40" s="43"/>
      <c r="G40" s="1"/>
      <c r="I40" s="1"/>
      <c r="J40" s="1"/>
      <c r="K40" s="1"/>
      <c r="M40" s="75"/>
      <c r="N40" s="59"/>
      <c r="O40" s="59"/>
      <c r="P40" s="59"/>
      <c r="Q40" s="59"/>
      <c r="R40" s="59"/>
      <c r="S40" s="59"/>
      <c r="T40" s="59"/>
      <c r="U40" s="59"/>
      <c r="V40" s="59"/>
      <c r="W40" s="59"/>
    </row>
    <row r="41" spans="1:29" ht="15.75" customHeight="1" thickBot="1" x14ac:dyDescent="0.3">
      <c r="A41" s="376"/>
      <c r="B41" s="11" t="s">
        <v>340</v>
      </c>
      <c r="C41" s="12">
        <f>U4-AH4</f>
        <v>2923.3100000000004</v>
      </c>
      <c r="F41" s="43"/>
      <c r="G41" s="1"/>
      <c r="I41" s="1"/>
      <c r="J41" s="1"/>
      <c r="K41" s="1"/>
      <c r="M41" s="75"/>
      <c r="N41" s="59"/>
      <c r="O41" s="59"/>
      <c r="P41" s="59"/>
      <c r="Q41" s="59"/>
      <c r="R41" s="59"/>
      <c r="S41" s="59"/>
      <c r="T41" s="59"/>
      <c r="U41" s="59"/>
      <c r="V41" s="59"/>
      <c r="W41" s="59"/>
    </row>
    <row r="42" spans="1:29" x14ac:dyDescent="0.25">
      <c r="F42" s="43"/>
      <c r="G42" s="1"/>
      <c r="I42" s="1"/>
      <c r="J42" s="1"/>
      <c r="K42" s="1"/>
      <c r="M42" s="75"/>
      <c r="N42" s="59"/>
      <c r="O42" s="59"/>
      <c r="P42" s="59"/>
      <c r="Q42" s="59"/>
      <c r="R42" s="59"/>
      <c r="S42" s="59"/>
      <c r="T42" s="59"/>
      <c r="U42" s="59"/>
      <c r="V42" s="59"/>
      <c r="W42" s="59"/>
    </row>
    <row r="43" spans="1:29" x14ac:dyDescent="0.25">
      <c r="F43" s="43"/>
      <c r="G43" s="1"/>
      <c r="I43" s="1"/>
      <c r="J43" s="1"/>
      <c r="K43" s="1"/>
      <c r="M43" s="75"/>
      <c r="N43" s="59"/>
      <c r="O43" s="59"/>
      <c r="P43" s="59"/>
      <c r="Q43" s="59"/>
      <c r="R43" s="59"/>
      <c r="S43" s="59"/>
      <c r="T43" s="59"/>
      <c r="U43" s="59"/>
      <c r="V43" s="59"/>
      <c r="W43" s="59"/>
    </row>
    <row r="44" spans="1:29" x14ac:dyDescent="0.25">
      <c r="F44" s="43"/>
      <c r="G44" s="1"/>
      <c r="I44" s="1"/>
      <c r="J44" s="1"/>
      <c r="K44" s="1"/>
      <c r="M44" s="75"/>
      <c r="N44" s="59"/>
      <c r="O44" s="59"/>
      <c r="P44" s="59"/>
      <c r="Q44" s="59"/>
      <c r="R44" s="59"/>
      <c r="S44" s="59"/>
      <c r="T44" s="59"/>
      <c r="U44" s="59"/>
      <c r="V44" s="59"/>
      <c r="W44" s="59"/>
    </row>
    <row r="45" spans="1:29" x14ac:dyDescent="0.25">
      <c r="F45" s="43"/>
      <c r="G45" s="1"/>
      <c r="I45" s="1"/>
      <c r="J45" s="1"/>
      <c r="K45" s="1"/>
      <c r="M45" s="75"/>
      <c r="N45" s="59"/>
      <c r="O45" s="59"/>
      <c r="P45" s="59"/>
      <c r="Q45" s="59"/>
      <c r="R45" s="59"/>
      <c r="S45" s="59"/>
      <c r="T45" s="59"/>
      <c r="U45" s="59"/>
      <c r="V45" s="59"/>
      <c r="W45" s="59"/>
    </row>
    <row r="46" spans="1:29" ht="15.75" thickBot="1" x14ac:dyDescent="0.3">
      <c r="F46" s="43"/>
      <c r="G46" s="1"/>
      <c r="I46" s="1"/>
      <c r="J46" s="1"/>
      <c r="K46" s="1"/>
      <c r="M46" s="75"/>
      <c r="N46" s="59"/>
      <c r="O46" s="59"/>
      <c r="P46" s="59"/>
      <c r="Q46" s="59"/>
      <c r="R46" s="59"/>
      <c r="S46" s="59"/>
      <c r="T46" s="59"/>
      <c r="U46" s="59"/>
      <c r="V46" s="59"/>
      <c r="W46" s="59"/>
    </row>
    <row r="47" spans="1:29" ht="30" x14ac:dyDescent="0.25">
      <c r="A47" s="38" t="s">
        <v>162</v>
      </c>
      <c r="B47" s="383" t="str">
        <f>IF(B8=B16,"YES","No, Need to check part 1 and 2 total entries")</f>
        <v>YES</v>
      </c>
      <c r="C47" s="384"/>
      <c r="F47" s="43"/>
      <c r="G47" s="1"/>
      <c r="I47" s="1"/>
      <c r="J47" s="1"/>
      <c r="K47" s="1"/>
      <c r="M47" s="75"/>
      <c r="N47" s="59"/>
      <c r="O47" s="59"/>
      <c r="P47" s="59"/>
      <c r="Q47" s="59"/>
      <c r="R47" s="59"/>
      <c r="S47" s="59"/>
      <c r="T47" s="59"/>
      <c r="U47" s="59"/>
      <c r="V47" s="59"/>
      <c r="W47" s="59"/>
    </row>
    <row r="48" spans="1:29" x14ac:dyDescent="0.25">
      <c r="A48" s="39"/>
      <c r="B48" s="40"/>
      <c r="C48" s="41"/>
      <c r="F48" s="43"/>
      <c r="G48" s="1"/>
      <c r="I48" s="1"/>
      <c r="J48" s="1"/>
      <c r="K48" s="1"/>
      <c r="M48" s="75"/>
      <c r="N48" s="59"/>
      <c r="O48" s="59"/>
      <c r="P48" s="59"/>
      <c r="Q48" s="59"/>
      <c r="R48" s="59"/>
      <c r="S48" s="59"/>
      <c r="T48" s="59"/>
      <c r="U48" s="59"/>
      <c r="V48" s="59"/>
      <c r="W48" s="59"/>
    </row>
    <row r="49" spans="1:23" ht="69" customHeight="1" thickBot="1" x14ac:dyDescent="0.3">
      <c r="A49" s="42" t="s">
        <v>163</v>
      </c>
      <c r="B49" s="385" t="str">
        <f>IF(B11=C20,"YES","No, Need to check part 1 and 2 total entries")</f>
        <v>YES</v>
      </c>
      <c r="C49" s="386"/>
      <c r="F49" s="43"/>
      <c r="G49" s="1"/>
      <c r="I49" s="1"/>
      <c r="J49" s="1"/>
      <c r="K49" s="1"/>
      <c r="M49" s="75"/>
      <c r="N49" s="59"/>
      <c r="O49" s="59"/>
      <c r="P49" s="59"/>
      <c r="Q49" s="59"/>
      <c r="R49" s="59"/>
      <c r="S49" s="59"/>
      <c r="T49" s="59"/>
      <c r="U49" s="59"/>
      <c r="V49" s="59"/>
      <c r="W49" s="59"/>
    </row>
    <row r="50" spans="1:23" x14ac:dyDescent="0.25">
      <c r="F50" s="43"/>
      <c r="G50" s="1"/>
      <c r="I50" s="1"/>
      <c r="J50" s="1"/>
      <c r="K50" s="1"/>
      <c r="M50" s="75"/>
      <c r="N50" s="59"/>
      <c r="O50" s="59"/>
      <c r="P50" s="59"/>
      <c r="Q50" s="59"/>
      <c r="R50" s="59"/>
      <c r="S50" s="59"/>
      <c r="T50" s="59"/>
      <c r="U50" s="59"/>
      <c r="V50" s="59"/>
      <c r="W50" s="59"/>
    </row>
    <row r="51" spans="1:23" x14ac:dyDescent="0.25">
      <c r="A51" s="40" t="s">
        <v>602</v>
      </c>
      <c r="B51" s="40">
        <f>IF(B47="yes",0,1)</f>
        <v>0</v>
      </c>
      <c r="C51" s="40">
        <f>IF(B49="yes",0,1)</f>
        <v>0</v>
      </c>
      <c r="D51" s="40">
        <f>B51+C51</f>
        <v>0</v>
      </c>
      <c r="F51" s="43"/>
      <c r="G51" s="1"/>
      <c r="I51" s="1"/>
      <c r="J51" s="1"/>
      <c r="K51" s="1"/>
      <c r="M51" s="75"/>
      <c r="N51" s="59"/>
      <c r="O51" s="59"/>
      <c r="P51" s="59"/>
      <c r="Q51" s="59"/>
      <c r="R51" s="59"/>
      <c r="S51" s="59"/>
      <c r="T51" s="59"/>
      <c r="U51" s="59"/>
      <c r="V51" s="59"/>
      <c r="W51" s="59"/>
    </row>
    <row r="52" spans="1:23" x14ac:dyDescent="0.25">
      <c r="F52" s="43"/>
      <c r="G52" s="1"/>
      <c r="I52" s="1"/>
      <c r="J52" s="1"/>
      <c r="K52" s="1"/>
      <c r="M52" s="75"/>
      <c r="N52" s="59"/>
      <c r="O52" s="59"/>
      <c r="P52" s="59"/>
      <c r="Q52" s="59"/>
      <c r="R52" s="59"/>
      <c r="S52" s="59"/>
      <c r="T52" s="59"/>
      <c r="U52" s="59"/>
      <c r="V52" s="59"/>
      <c r="W52" s="59"/>
    </row>
    <row r="53" spans="1:23" x14ac:dyDescent="0.25">
      <c r="F53" s="43"/>
      <c r="G53" s="1"/>
      <c r="I53" s="1"/>
      <c r="J53" s="1"/>
      <c r="K53" s="1"/>
      <c r="M53" s="75"/>
      <c r="N53" s="59"/>
      <c r="O53" s="59"/>
      <c r="P53" s="59"/>
      <c r="Q53" s="59"/>
      <c r="R53" s="59"/>
      <c r="S53" s="59"/>
      <c r="T53" s="59"/>
      <c r="U53" s="59"/>
      <c r="V53" s="59"/>
      <c r="W53" s="59"/>
    </row>
    <row r="54" spans="1:23" x14ac:dyDescent="0.25">
      <c r="F54" s="43"/>
      <c r="G54" s="1"/>
      <c r="I54" s="1"/>
      <c r="J54" s="1"/>
      <c r="K54" s="1"/>
      <c r="M54" s="75"/>
      <c r="N54" s="59"/>
      <c r="O54" s="59"/>
      <c r="P54" s="59"/>
      <c r="Q54" s="59"/>
      <c r="R54" s="59"/>
      <c r="S54" s="59"/>
      <c r="T54" s="59"/>
      <c r="U54" s="59"/>
      <c r="V54" s="59"/>
      <c r="W54" s="59"/>
    </row>
    <row r="55" spans="1:23" x14ac:dyDescent="0.25">
      <c r="F55" s="43"/>
      <c r="G55" s="1"/>
      <c r="I55" s="1"/>
      <c r="J55" s="1"/>
      <c r="K55" s="1"/>
      <c r="M55" s="75"/>
      <c r="N55" s="59"/>
      <c r="O55" s="59"/>
      <c r="P55" s="59"/>
      <c r="Q55" s="59"/>
      <c r="R55" s="59"/>
      <c r="S55" s="59"/>
      <c r="T55" s="59"/>
      <c r="U55" s="59"/>
      <c r="V55" s="59"/>
      <c r="W55" s="59"/>
    </row>
    <row r="56" spans="1:23" x14ac:dyDescent="0.25">
      <c r="F56" s="43"/>
      <c r="G56" s="1"/>
      <c r="I56" s="1"/>
      <c r="J56" s="1"/>
      <c r="K56" s="1"/>
      <c r="M56" s="75"/>
      <c r="N56" s="59"/>
      <c r="O56" s="59"/>
      <c r="P56" s="59"/>
      <c r="Q56" s="59"/>
      <c r="R56" s="59"/>
      <c r="S56" s="59"/>
      <c r="T56" s="59"/>
      <c r="U56" s="59"/>
      <c r="V56" s="59"/>
      <c r="W56" s="59"/>
    </row>
    <row r="57" spans="1:23" x14ac:dyDescent="0.25">
      <c r="F57" s="43"/>
      <c r="G57" s="1"/>
      <c r="I57" s="1"/>
      <c r="J57" s="1"/>
      <c r="K57" s="1"/>
      <c r="M57" s="75"/>
      <c r="N57" s="59"/>
      <c r="O57" s="59"/>
      <c r="P57" s="59"/>
      <c r="Q57" s="59"/>
      <c r="R57" s="59"/>
      <c r="S57" s="59"/>
      <c r="T57" s="59"/>
      <c r="U57" s="59"/>
      <c r="V57" s="59"/>
      <c r="W57" s="59"/>
    </row>
    <row r="58" spans="1:23" x14ac:dyDescent="0.25">
      <c r="F58" s="43"/>
      <c r="G58" s="1"/>
      <c r="I58" s="1"/>
      <c r="J58" s="1"/>
      <c r="K58" s="1"/>
      <c r="M58" s="75"/>
      <c r="N58" s="59"/>
      <c r="O58" s="59"/>
      <c r="P58" s="59"/>
      <c r="Q58" s="59"/>
      <c r="R58" s="59"/>
      <c r="S58" s="59"/>
      <c r="T58" s="59"/>
      <c r="U58" s="59"/>
      <c r="V58" s="59"/>
      <c r="W58" s="59"/>
    </row>
    <row r="59" spans="1:23" x14ac:dyDescent="0.25">
      <c r="F59" s="43"/>
      <c r="G59" s="1"/>
      <c r="I59" s="1"/>
      <c r="J59" s="1"/>
      <c r="K59" s="1"/>
      <c r="M59" s="75"/>
      <c r="N59" s="59"/>
      <c r="O59" s="59"/>
      <c r="P59" s="59"/>
      <c r="Q59" s="59"/>
      <c r="R59" s="59"/>
      <c r="S59" s="59"/>
      <c r="T59" s="59"/>
      <c r="U59" s="59"/>
      <c r="V59" s="59"/>
      <c r="W59" s="59"/>
    </row>
    <row r="60" spans="1:23" x14ac:dyDescent="0.25">
      <c r="F60" s="43"/>
      <c r="G60" s="1"/>
      <c r="I60" s="1"/>
      <c r="J60" s="1"/>
      <c r="K60" s="1"/>
      <c r="M60" s="75"/>
      <c r="N60" s="59"/>
      <c r="O60" s="59"/>
      <c r="P60" s="59"/>
      <c r="Q60" s="59"/>
      <c r="R60" s="59"/>
      <c r="S60" s="59"/>
      <c r="T60" s="59"/>
      <c r="U60" s="59"/>
      <c r="V60" s="59"/>
      <c r="W60" s="59"/>
    </row>
    <row r="61" spans="1:23" x14ac:dyDescent="0.25">
      <c r="F61" s="43"/>
      <c r="G61" s="1"/>
      <c r="I61" s="1"/>
      <c r="J61" s="1"/>
      <c r="K61" s="1"/>
      <c r="M61" s="75"/>
      <c r="N61" s="59"/>
      <c r="O61" s="59"/>
      <c r="P61" s="59"/>
      <c r="Q61" s="59"/>
      <c r="R61" s="59"/>
      <c r="S61" s="59"/>
      <c r="T61" s="59"/>
      <c r="U61" s="59"/>
      <c r="V61" s="59"/>
      <c r="W61" s="59"/>
    </row>
    <row r="62" spans="1:23" x14ac:dyDescent="0.25">
      <c r="F62" s="43"/>
      <c r="G62" s="1"/>
      <c r="I62" s="1"/>
      <c r="J62" s="1"/>
      <c r="K62" s="1"/>
      <c r="M62" s="75"/>
      <c r="N62" s="59"/>
      <c r="O62" s="59"/>
      <c r="P62" s="59"/>
      <c r="Q62" s="59"/>
      <c r="R62" s="59"/>
      <c r="S62" s="59"/>
      <c r="T62" s="59"/>
      <c r="U62" s="59"/>
      <c r="V62" s="59"/>
      <c r="W62" s="59"/>
    </row>
    <row r="63" spans="1:23" x14ac:dyDescent="0.25">
      <c r="F63" s="43"/>
      <c r="G63" s="1"/>
      <c r="I63" s="1"/>
      <c r="J63" s="1"/>
      <c r="K63" s="1"/>
      <c r="M63" s="75"/>
      <c r="N63" s="59"/>
      <c r="O63" s="59"/>
      <c r="P63" s="59"/>
      <c r="Q63" s="59"/>
      <c r="R63" s="59"/>
      <c r="S63" s="59"/>
      <c r="T63" s="59"/>
      <c r="U63" s="59"/>
      <c r="V63" s="59"/>
      <c r="W63" s="59"/>
    </row>
    <row r="64" spans="1:23" x14ac:dyDescent="0.25">
      <c r="F64" s="43"/>
      <c r="G64" s="1"/>
      <c r="I64" s="1"/>
      <c r="J64" s="1"/>
      <c r="K64" s="1"/>
      <c r="M64" s="75"/>
      <c r="N64" s="59"/>
      <c r="O64" s="59"/>
      <c r="P64" s="59"/>
      <c r="Q64" s="59"/>
      <c r="R64" s="59"/>
      <c r="S64" s="59"/>
      <c r="T64" s="59"/>
      <c r="U64" s="59"/>
      <c r="V64" s="59"/>
      <c r="W64" s="59"/>
    </row>
    <row r="65" spans="6:23" x14ac:dyDescent="0.25">
      <c r="F65" s="43"/>
      <c r="G65" s="1"/>
      <c r="I65" s="1"/>
      <c r="J65" s="1"/>
      <c r="K65" s="1"/>
      <c r="M65" s="75"/>
      <c r="N65" s="59"/>
      <c r="O65" s="59"/>
      <c r="P65" s="59"/>
      <c r="Q65" s="59"/>
      <c r="R65" s="59"/>
      <c r="S65" s="59"/>
      <c r="T65" s="59"/>
      <c r="U65" s="59"/>
      <c r="V65" s="59"/>
      <c r="W65" s="59"/>
    </row>
    <row r="66" spans="6:23" x14ac:dyDescent="0.25">
      <c r="F66" s="43"/>
      <c r="G66" s="1"/>
      <c r="I66" s="1"/>
      <c r="J66" s="1"/>
      <c r="K66" s="1"/>
      <c r="M66" s="75"/>
      <c r="N66" s="59"/>
      <c r="O66" s="59"/>
      <c r="P66" s="59"/>
      <c r="Q66" s="59"/>
      <c r="R66" s="59"/>
      <c r="S66" s="59"/>
      <c r="T66" s="59"/>
      <c r="U66" s="59"/>
      <c r="V66" s="59"/>
      <c r="W66" s="59"/>
    </row>
    <row r="67" spans="6:23" x14ac:dyDescent="0.25">
      <c r="F67" s="43"/>
      <c r="G67" s="1"/>
      <c r="I67" s="1"/>
      <c r="J67" s="1"/>
      <c r="K67" s="1"/>
      <c r="M67" s="75"/>
      <c r="N67" s="59"/>
      <c r="O67" s="59"/>
      <c r="P67" s="59"/>
      <c r="Q67" s="59"/>
      <c r="R67" s="59"/>
      <c r="S67" s="59"/>
      <c r="T67" s="59"/>
      <c r="U67" s="59"/>
      <c r="V67" s="59"/>
      <c r="W67" s="59"/>
    </row>
    <row r="68" spans="6:23" x14ac:dyDescent="0.25">
      <c r="F68" s="43"/>
      <c r="G68" s="1"/>
      <c r="I68" s="1"/>
      <c r="J68" s="1"/>
      <c r="K68" s="1"/>
      <c r="M68" s="75"/>
      <c r="N68" s="59"/>
      <c r="O68" s="59"/>
      <c r="P68" s="59"/>
      <c r="Q68" s="59"/>
      <c r="R68" s="59"/>
      <c r="S68" s="59"/>
      <c r="T68" s="59"/>
      <c r="U68" s="59"/>
      <c r="V68" s="59"/>
      <c r="W68" s="59"/>
    </row>
    <row r="69" spans="6:23" x14ac:dyDescent="0.25">
      <c r="F69" s="43"/>
      <c r="G69" s="1"/>
      <c r="I69" s="1"/>
      <c r="J69" s="1"/>
      <c r="K69" s="1"/>
      <c r="M69" s="75"/>
      <c r="N69" s="59"/>
      <c r="O69" s="59"/>
      <c r="P69" s="59"/>
      <c r="Q69" s="59"/>
      <c r="R69" s="59"/>
      <c r="S69" s="59"/>
      <c r="T69" s="59"/>
      <c r="U69" s="59"/>
      <c r="V69" s="59"/>
      <c r="W69" s="59"/>
    </row>
    <row r="70" spans="6:23" x14ac:dyDescent="0.25">
      <c r="F70" s="43"/>
      <c r="G70" s="1"/>
      <c r="I70" s="1"/>
      <c r="J70" s="1"/>
      <c r="K70" s="1"/>
      <c r="M70" s="75"/>
      <c r="N70" s="59"/>
      <c r="O70" s="59"/>
      <c r="P70" s="59"/>
      <c r="Q70" s="59"/>
      <c r="R70" s="59"/>
      <c r="S70" s="59"/>
      <c r="T70" s="59"/>
      <c r="U70" s="59"/>
      <c r="V70" s="59"/>
      <c r="W70" s="59"/>
    </row>
    <row r="71" spans="6:23" x14ac:dyDescent="0.25">
      <c r="F71" s="43"/>
      <c r="G71" s="1"/>
      <c r="I71" s="1"/>
      <c r="J71" s="1"/>
      <c r="K71" s="1"/>
      <c r="M71" s="75"/>
      <c r="N71" s="59"/>
      <c r="O71" s="59"/>
      <c r="P71" s="59"/>
      <c r="Q71" s="59"/>
      <c r="R71" s="59"/>
      <c r="S71" s="59"/>
      <c r="T71" s="59"/>
      <c r="U71" s="59"/>
      <c r="V71" s="59"/>
      <c r="W71" s="59"/>
    </row>
    <row r="72" spans="6:23" x14ac:dyDescent="0.25">
      <c r="F72" s="43"/>
      <c r="G72" s="1"/>
      <c r="I72" s="1"/>
      <c r="J72" s="1"/>
      <c r="K72" s="1"/>
      <c r="M72" s="75"/>
      <c r="N72" s="59"/>
      <c r="O72" s="59"/>
      <c r="P72" s="59"/>
      <c r="Q72" s="59"/>
      <c r="R72" s="59"/>
      <c r="S72" s="59"/>
      <c r="T72" s="59"/>
      <c r="U72" s="59"/>
      <c r="V72" s="59"/>
      <c r="W72" s="59"/>
    </row>
    <row r="73" spans="6:23" x14ac:dyDescent="0.25">
      <c r="F73" s="43"/>
      <c r="G73" s="1"/>
      <c r="I73" s="1"/>
      <c r="J73" s="1"/>
      <c r="K73" s="1"/>
      <c r="M73" s="75"/>
      <c r="N73" s="59"/>
      <c r="O73" s="59"/>
      <c r="P73" s="59"/>
      <c r="Q73" s="59"/>
      <c r="R73" s="59"/>
      <c r="S73" s="59"/>
      <c r="T73" s="59"/>
      <c r="U73" s="59"/>
      <c r="V73" s="59"/>
      <c r="W73" s="59"/>
    </row>
    <row r="74" spans="6:23" x14ac:dyDescent="0.25">
      <c r="F74" s="43"/>
      <c r="G74" s="1"/>
      <c r="I74" s="1"/>
      <c r="J74" s="1"/>
      <c r="K74" s="1"/>
      <c r="M74" s="75"/>
      <c r="N74" s="59"/>
      <c r="O74" s="59"/>
      <c r="P74" s="59"/>
      <c r="Q74" s="59"/>
      <c r="R74" s="59"/>
      <c r="S74" s="59"/>
      <c r="T74" s="59"/>
      <c r="U74" s="59"/>
      <c r="V74" s="59"/>
      <c r="W74" s="59"/>
    </row>
    <row r="75" spans="6:23" x14ac:dyDescent="0.25">
      <c r="F75" s="43"/>
      <c r="G75" s="1"/>
      <c r="I75" s="1"/>
      <c r="J75" s="1"/>
      <c r="K75" s="1"/>
      <c r="M75" s="75"/>
      <c r="N75" s="59"/>
      <c r="O75" s="59"/>
      <c r="P75" s="59"/>
      <c r="Q75" s="59"/>
      <c r="R75" s="59"/>
      <c r="S75" s="59"/>
      <c r="T75" s="59"/>
      <c r="U75" s="59"/>
      <c r="V75" s="59"/>
      <c r="W75" s="59"/>
    </row>
    <row r="76" spans="6:23" x14ac:dyDescent="0.25">
      <c r="F76" s="43"/>
      <c r="G76" s="1"/>
      <c r="I76" s="1"/>
      <c r="J76" s="1"/>
      <c r="K76" s="1"/>
      <c r="M76" s="75"/>
      <c r="N76" s="59"/>
      <c r="O76" s="59"/>
      <c r="P76" s="59"/>
      <c r="Q76" s="59"/>
      <c r="R76" s="59"/>
      <c r="S76" s="59"/>
      <c r="T76" s="59"/>
      <c r="U76" s="59"/>
      <c r="V76" s="59"/>
      <c r="W76" s="59"/>
    </row>
    <row r="77" spans="6:23" x14ac:dyDescent="0.25">
      <c r="F77" s="43"/>
      <c r="G77" s="1"/>
      <c r="I77" s="1"/>
      <c r="J77" s="1"/>
      <c r="K77" s="1"/>
      <c r="M77" s="75"/>
      <c r="N77" s="59"/>
      <c r="O77" s="59"/>
      <c r="P77" s="59"/>
      <c r="Q77" s="59"/>
      <c r="R77" s="59"/>
      <c r="S77" s="59"/>
      <c r="T77" s="59"/>
      <c r="U77" s="59"/>
      <c r="V77" s="59"/>
      <c r="W77" s="59"/>
    </row>
    <row r="78" spans="6:23" x14ac:dyDescent="0.25">
      <c r="F78" s="43"/>
      <c r="G78" s="1"/>
      <c r="I78" s="1"/>
      <c r="J78" s="1"/>
      <c r="K78" s="1"/>
      <c r="M78" s="75"/>
      <c r="N78" s="59"/>
      <c r="O78" s="59"/>
      <c r="P78" s="59"/>
      <c r="Q78" s="59"/>
      <c r="R78" s="59"/>
      <c r="S78" s="59"/>
      <c r="T78" s="59"/>
      <c r="U78" s="59"/>
      <c r="V78" s="59"/>
      <c r="W78" s="59"/>
    </row>
    <row r="79" spans="6:23" x14ac:dyDescent="0.25">
      <c r="M79" s="75"/>
    </row>
    <row r="80" spans="6:23" x14ac:dyDescent="0.25">
      <c r="M80" s="75"/>
    </row>
    <row r="81" spans="13:13" x14ac:dyDescent="0.25">
      <c r="M81" s="75"/>
    </row>
    <row r="82" spans="13:13" x14ac:dyDescent="0.25">
      <c r="M82" s="75"/>
    </row>
    <row r="83" spans="13:13" x14ac:dyDescent="0.25">
      <c r="M83" s="75"/>
    </row>
    <row r="84" spans="13:13" x14ac:dyDescent="0.25">
      <c r="M84" s="75"/>
    </row>
    <row r="85" spans="13:13" x14ac:dyDescent="0.25">
      <c r="M85" s="75"/>
    </row>
    <row r="86" spans="13:13" x14ac:dyDescent="0.25">
      <c r="M86" s="75"/>
    </row>
    <row r="87" spans="13:13" x14ac:dyDescent="0.25">
      <c r="M87" s="75"/>
    </row>
    <row r="88" spans="13:13" x14ac:dyDescent="0.25">
      <c r="M88" s="75"/>
    </row>
    <row r="89" spans="13:13" x14ac:dyDescent="0.25">
      <c r="M89" s="75"/>
    </row>
    <row r="90" spans="13:13" x14ac:dyDescent="0.25">
      <c r="M90" s="75"/>
    </row>
    <row r="91" spans="13:13" x14ac:dyDescent="0.25">
      <c r="M91" s="75"/>
    </row>
    <row r="92" spans="13:13" x14ac:dyDescent="0.25">
      <c r="M92" s="75"/>
    </row>
    <row r="93" spans="13:13" x14ac:dyDescent="0.25">
      <c r="M93" s="75"/>
    </row>
    <row r="94" spans="13:13" x14ac:dyDescent="0.25">
      <c r="M94" s="75"/>
    </row>
    <row r="95" spans="13:13" x14ac:dyDescent="0.25">
      <c r="M95" s="75"/>
    </row>
    <row r="96" spans="13:13" x14ac:dyDescent="0.25">
      <c r="M96" s="75"/>
    </row>
    <row r="97" spans="13:13" x14ac:dyDescent="0.25">
      <c r="M97" s="75"/>
    </row>
    <row r="98" spans="13:13" x14ac:dyDescent="0.25">
      <c r="M98" s="75"/>
    </row>
    <row r="99" spans="13:13" x14ac:dyDescent="0.25">
      <c r="M99" s="75"/>
    </row>
    <row r="100" spans="13:13" x14ac:dyDescent="0.25">
      <c r="M100" s="75"/>
    </row>
    <row r="101" spans="13:13" x14ac:dyDescent="0.25">
      <c r="M101" s="75"/>
    </row>
    <row r="102" spans="13:13" x14ac:dyDescent="0.25">
      <c r="M102" s="75"/>
    </row>
    <row r="103" spans="13:13" x14ac:dyDescent="0.25">
      <c r="M103" s="75"/>
    </row>
    <row r="104" spans="13:13" x14ac:dyDescent="0.25">
      <c r="M104" s="75"/>
    </row>
    <row r="105" spans="13:13" x14ac:dyDescent="0.25">
      <c r="M105" s="75"/>
    </row>
    <row r="106" spans="13:13" x14ac:dyDescent="0.25">
      <c r="M106" s="75"/>
    </row>
    <row r="107" spans="13:13" x14ac:dyDescent="0.25">
      <c r="M107" s="75"/>
    </row>
    <row r="108" spans="13:13" x14ac:dyDescent="0.25">
      <c r="M108" s="75"/>
    </row>
    <row r="109" spans="13:13" x14ac:dyDescent="0.25">
      <c r="M109" s="75"/>
    </row>
    <row r="110" spans="13:13" x14ac:dyDescent="0.25">
      <c r="M110" s="75"/>
    </row>
    <row r="111" spans="13:13" x14ac:dyDescent="0.25">
      <c r="M111" s="75"/>
    </row>
    <row r="112" spans="13:13" x14ac:dyDescent="0.25">
      <c r="M112" s="75"/>
    </row>
    <row r="113" spans="13:13" x14ac:dyDescent="0.25">
      <c r="M113" s="75"/>
    </row>
    <row r="114" spans="13:13" x14ac:dyDescent="0.25">
      <c r="M114" s="75"/>
    </row>
    <row r="115" spans="13:13" x14ac:dyDescent="0.25">
      <c r="M115" s="75"/>
    </row>
    <row r="116" spans="13:13" x14ac:dyDescent="0.25">
      <c r="M116" s="75"/>
    </row>
    <row r="117" spans="13:13" x14ac:dyDescent="0.25">
      <c r="M117" s="75"/>
    </row>
    <row r="118" spans="13:13" x14ac:dyDescent="0.25">
      <c r="M118" s="75"/>
    </row>
    <row r="119" spans="13:13" x14ac:dyDescent="0.25">
      <c r="M119" s="75"/>
    </row>
    <row r="120" spans="13:13" x14ac:dyDescent="0.25">
      <c r="M120" s="75"/>
    </row>
    <row r="121" spans="13:13" x14ac:dyDescent="0.25">
      <c r="M121" s="75"/>
    </row>
    <row r="122" spans="13:13" x14ac:dyDescent="0.25">
      <c r="M122" s="75"/>
    </row>
    <row r="123" spans="13:13" x14ac:dyDescent="0.25">
      <c r="M123" s="75"/>
    </row>
    <row r="124" spans="13:13" x14ac:dyDescent="0.25">
      <c r="M124" s="75"/>
    </row>
    <row r="125" spans="13:13" x14ac:dyDescent="0.25">
      <c r="M125" s="75"/>
    </row>
    <row r="126" spans="13:13" x14ac:dyDescent="0.25">
      <c r="M126" s="75"/>
    </row>
    <row r="127" spans="13:13" x14ac:dyDescent="0.25">
      <c r="M127" s="75"/>
    </row>
    <row r="128" spans="13:13" x14ac:dyDescent="0.25">
      <c r="M128" s="75"/>
    </row>
    <row r="129" spans="13:13" x14ac:dyDescent="0.25">
      <c r="M129" s="75"/>
    </row>
    <row r="130" spans="13:13" x14ac:dyDescent="0.25">
      <c r="M130" s="75"/>
    </row>
    <row r="131" spans="13:13" x14ac:dyDescent="0.25">
      <c r="M131" s="75"/>
    </row>
    <row r="132" spans="13:13" x14ac:dyDescent="0.25">
      <c r="M132" s="75"/>
    </row>
    <row r="133" spans="13:13" x14ac:dyDescent="0.25">
      <c r="M133" s="75"/>
    </row>
    <row r="134" spans="13:13" x14ac:dyDescent="0.25">
      <c r="M134" s="75"/>
    </row>
    <row r="135" spans="13:13" x14ac:dyDescent="0.25">
      <c r="M135" s="75"/>
    </row>
    <row r="136" spans="13:13" x14ac:dyDescent="0.25">
      <c r="M136" s="75"/>
    </row>
    <row r="137" spans="13:13" x14ac:dyDescent="0.25">
      <c r="M137" s="75"/>
    </row>
    <row r="138" spans="13:13" x14ac:dyDescent="0.25">
      <c r="M138" s="75"/>
    </row>
    <row r="139" spans="13:13" x14ac:dyDescent="0.25">
      <c r="M139" s="75"/>
    </row>
    <row r="140" spans="13:13" x14ac:dyDescent="0.25">
      <c r="M140" s="75"/>
    </row>
    <row r="141" spans="13:13" x14ac:dyDescent="0.25">
      <c r="M141" s="75"/>
    </row>
    <row r="142" spans="13:13" x14ac:dyDescent="0.25">
      <c r="M142" s="75"/>
    </row>
  </sheetData>
  <mergeCells count="22">
    <mergeCell ref="B47:C47"/>
    <mergeCell ref="B49:C49"/>
    <mergeCell ref="A26:A29"/>
    <mergeCell ref="A31:C32"/>
    <mergeCell ref="A33:A35"/>
    <mergeCell ref="A37:C38"/>
    <mergeCell ref="A39:A41"/>
    <mergeCell ref="Y1:AJ1"/>
    <mergeCell ref="AB2:AD2"/>
    <mergeCell ref="AE2:AG2"/>
    <mergeCell ref="AH2:AJ2"/>
    <mergeCell ref="A22:C23"/>
    <mergeCell ref="A3:C5"/>
    <mergeCell ref="F3:K3"/>
    <mergeCell ref="A1:C2"/>
    <mergeCell ref="M1:W1"/>
    <mergeCell ref="O2:Q2"/>
    <mergeCell ref="R2:T2"/>
    <mergeCell ref="U2:W2"/>
    <mergeCell ref="A6:C7"/>
    <mergeCell ref="A13:C14"/>
    <mergeCell ref="A17:A2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146F9-79EC-43FD-8144-D24036238BB3}">
  <dimension ref="A1:O23"/>
  <sheetViews>
    <sheetView workbookViewId="0">
      <selection activeCell="E10" sqref="E10"/>
    </sheetView>
  </sheetViews>
  <sheetFormatPr defaultRowHeight="15" x14ac:dyDescent="0.25"/>
  <cols>
    <col min="1" max="1" width="58.140625" style="1" bestFit="1" customWidth="1"/>
    <col min="2" max="2" width="11.5703125" style="1" bestFit="1" customWidth="1"/>
    <col min="3" max="3" width="34.5703125" style="1" bestFit="1" customWidth="1"/>
    <col min="4" max="4" width="15.42578125" style="1" customWidth="1"/>
    <col min="5" max="5" width="6.140625" style="1" customWidth="1"/>
    <col min="6" max="6" width="36" style="1" bestFit="1" customWidth="1"/>
    <col min="7" max="7" width="11.140625" style="1" customWidth="1"/>
    <col min="8" max="8" width="16" style="1" customWidth="1"/>
    <col min="9" max="9" width="11.28515625" style="1" customWidth="1"/>
    <col min="10" max="10" width="22.140625" style="1" bestFit="1" customWidth="1"/>
    <col min="11" max="11" width="17" style="1" customWidth="1"/>
    <col min="12" max="16384" width="9.140625" style="1"/>
  </cols>
  <sheetData>
    <row r="1" spans="1:15" ht="18.75" x14ac:dyDescent="0.2">
      <c r="A1" s="24" t="s">
        <v>230</v>
      </c>
      <c r="B1" s="29">
        <v>41541</v>
      </c>
      <c r="F1" s="135" t="s">
        <v>628</v>
      </c>
      <c r="G1" s="134">
        <v>46110</v>
      </c>
      <c r="O1" s="31"/>
    </row>
    <row r="2" spans="1:15" ht="29.25" thickBot="1" x14ac:dyDescent="0.3">
      <c r="A2" s="17" t="s">
        <v>231</v>
      </c>
      <c r="B2" s="32">
        <v>53751</v>
      </c>
      <c r="E2" s="21"/>
      <c r="J2" s="21"/>
      <c r="K2" s="21"/>
    </row>
    <row r="3" spans="1:15" ht="21.75" thickBot="1" x14ac:dyDescent="0.3">
      <c r="E3" s="22"/>
    </row>
    <row r="4" spans="1:15" ht="18.75" x14ac:dyDescent="0.25">
      <c r="A4" s="30"/>
      <c r="B4" s="25" t="s">
        <v>14</v>
      </c>
      <c r="C4" s="25" t="s">
        <v>57</v>
      </c>
      <c r="D4" s="26" t="s">
        <v>226</v>
      </c>
      <c r="F4" s="212" t="s">
        <v>836</v>
      </c>
      <c r="G4" s="23"/>
      <c r="H4" s="23"/>
      <c r="I4" s="23"/>
    </row>
    <row r="5" spans="1:15" ht="19.5" thickBot="1" x14ac:dyDescent="0.3">
      <c r="A5" s="27" t="s">
        <v>228</v>
      </c>
      <c r="B5" s="20">
        <f ca="1">DATEDIF(B1,TODAY(),"Y")</f>
        <v>12</v>
      </c>
      <c r="C5" s="20">
        <f ca="1">DATEDIF(B1,TODAY(),"YM")</f>
        <v>6</v>
      </c>
      <c r="D5" s="28">
        <f ca="1">DATEDIF(B1,TODAY(),"MD")</f>
        <v>30</v>
      </c>
      <c r="F5" s="213">
        <f ca="1">TODAY()-B1</f>
        <v>4594</v>
      </c>
      <c r="G5" s="23"/>
      <c r="H5" s="23"/>
      <c r="I5" s="23"/>
    </row>
    <row r="6" spans="1:15" ht="19.5" thickBot="1" x14ac:dyDescent="0.3">
      <c r="A6" s="17" t="s">
        <v>227</v>
      </c>
      <c r="B6" s="18">
        <f>DATEDIF(B1,B2,"Y")</f>
        <v>33</v>
      </c>
      <c r="C6" s="18">
        <f>DATEDIF(B1,B2,"YM")</f>
        <v>5</v>
      </c>
      <c r="D6" s="19">
        <f>DATEDIF(B1,B2,"MD")</f>
        <v>4</v>
      </c>
      <c r="F6" s="23"/>
      <c r="G6" s="23"/>
      <c r="H6" s="23"/>
      <c r="I6" s="23"/>
    </row>
    <row r="7" spans="1:15" ht="21.75" thickBot="1" x14ac:dyDescent="0.3">
      <c r="E7" s="22"/>
      <c r="F7" s="23"/>
      <c r="G7" s="23"/>
      <c r="H7" s="23"/>
      <c r="I7" s="23"/>
    </row>
    <row r="8" spans="1:15" ht="19.5" thickBot="1" x14ac:dyDescent="0.3">
      <c r="A8" s="33" t="s">
        <v>234</v>
      </c>
      <c r="C8" s="24" t="s">
        <v>229</v>
      </c>
      <c r="D8" s="26">
        <v>38000</v>
      </c>
      <c r="F8" s="24" t="s">
        <v>232</v>
      </c>
      <c r="G8" s="34">
        <f ca="1">ROUND(IF(A9&gt;(D8+D9)*15*(B5+IF(C5&lt;6,0,1))/26,(D8+D9)*15*(B5+IF(C5&lt;6,0,1))/26,A9),0)</f>
        <v>456000</v>
      </c>
    </row>
    <row r="9" spans="1:15" ht="19.5" thickBot="1" x14ac:dyDescent="0.3">
      <c r="A9" s="33">
        <v>2000000</v>
      </c>
      <c r="C9" s="17" t="s">
        <v>10</v>
      </c>
      <c r="D9" s="343">
        <f>E9*D8/100</f>
        <v>22800</v>
      </c>
      <c r="E9" s="84">
        <v>60</v>
      </c>
      <c r="F9" s="344" t="s">
        <v>233</v>
      </c>
      <c r="G9" s="35">
        <f>ROUND(IF(A9&gt;(D8+D9)*15*(B6+IF(C6&lt;6,0,1))/26,(D8+D9)*15*(B6+IF(C6&lt;6,0,1))/26,A9),0)</f>
        <v>1157538</v>
      </c>
      <c r="I9" s="31"/>
      <c r="L9" s="31"/>
    </row>
    <row r="10" spans="1:15" ht="19.5" thickBot="1" x14ac:dyDescent="0.3">
      <c r="F10" s="100"/>
      <c r="G10" s="23"/>
      <c r="H10" s="23"/>
    </row>
    <row r="11" spans="1:15" ht="19.5" thickBot="1" x14ac:dyDescent="0.3">
      <c r="C11" s="33" t="s">
        <v>684</v>
      </c>
      <c r="D11" s="33">
        <f>GETPIVOTDATA("Leave Earned / Cash Payment or Deductable PL2",'Leave Balance'!$Q$5)</f>
        <v>174</v>
      </c>
      <c r="E11" s="23"/>
      <c r="F11" s="23"/>
      <c r="G11" s="23"/>
      <c r="H11" s="23"/>
      <c r="I11" s="31"/>
    </row>
    <row r="12" spans="1:15" ht="19.5" thickBot="1" x14ac:dyDescent="0.3">
      <c r="C12" s="33" t="s">
        <v>833</v>
      </c>
      <c r="D12" s="210">
        <f>D8/28</f>
        <v>1357.1428571428571</v>
      </c>
    </row>
    <row r="13" spans="1:15" ht="19.5" thickBot="1" x14ac:dyDescent="0.3">
      <c r="C13" s="33" t="s">
        <v>834</v>
      </c>
      <c r="D13" s="210">
        <f>D12*E9/100</f>
        <v>814.28571428571422</v>
      </c>
    </row>
    <row r="14" spans="1:15" ht="19.5" thickBot="1" x14ac:dyDescent="0.3">
      <c r="C14" s="33" t="s">
        <v>2</v>
      </c>
      <c r="D14" s="210">
        <f>D12+D13</f>
        <v>2171.4285714285716</v>
      </c>
    </row>
    <row r="15" spans="1:15" ht="19.5" thickBot="1" x14ac:dyDescent="0.3">
      <c r="C15" s="33" t="s">
        <v>835</v>
      </c>
      <c r="D15" s="210">
        <f>D14*D11</f>
        <v>377828.57142857148</v>
      </c>
    </row>
    <row r="19" spans="1:2" x14ac:dyDescent="0.25">
      <c r="A19" s="1" t="s">
        <v>837</v>
      </c>
      <c r="B19" s="1">
        <f>MAX(Pivots!H:H)</f>
        <v>6839</v>
      </c>
    </row>
    <row r="20" spans="1:2" x14ac:dyDescent="0.25">
      <c r="A20" s="1" t="s">
        <v>838</v>
      </c>
      <c r="B20" s="44">
        <f>D15</f>
        <v>377828.57142857148</v>
      </c>
    </row>
    <row r="21" spans="1:2" x14ac:dyDescent="0.25">
      <c r="A21" s="1" t="s">
        <v>839</v>
      </c>
      <c r="B21" s="44">
        <f ca="1">G8</f>
        <v>456000</v>
      </c>
    </row>
    <row r="22" spans="1:2" x14ac:dyDescent="0.25">
      <c r="A22" s="1" t="s">
        <v>840</v>
      </c>
      <c r="B22" s="1">
        <f ca="1">SUM(B19:B21)</f>
        <v>840667.57142857148</v>
      </c>
    </row>
    <row r="23" spans="1:2" x14ac:dyDescent="0.25">
      <c r="A23" s="1" t="s">
        <v>841</v>
      </c>
      <c r="B23" s="1">
        <f ca="1">B22/F5</f>
        <v>182.99250575284535</v>
      </c>
    </row>
  </sheetData>
  <pageMargins left="0.7" right="0.7" top="0.75" bottom="0.75" header="0.3" footer="0.3"/>
  <pageSetup orientation="portrait" horizontalDpi="100" verticalDpi="1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4577E-1DAA-4736-9B18-1F144E241809}">
  <dimension ref="B1:AN134"/>
  <sheetViews>
    <sheetView zoomScaleNormal="100" workbookViewId="0">
      <selection activeCell="I2" sqref="I2"/>
    </sheetView>
  </sheetViews>
  <sheetFormatPr defaultRowHeight="11.25" x14ac:dyDescent="0.25"/>
  <cols>
    <col min="1" max="1" width="9.140625" style="240"/>
    <col min="2" max="2" width="8.42578125" style="240" bestFit="1" customWidth="1"/>
    <col min="3" max="3" width="4.42578125" style="240" bestFit="1" customWidth="1"/>
    <col min="4" max="4" width="4.85546875" style="240" bestFit="1" customWidth="1"/>
    <col min="5" max="5" width="17" style="240" bestFit="1" customWidth="1"/>
    <col min="6" max="6" width="30.5703125" style="262" bestFit="1" customWidth="1"/>
    <col min="7" max="7" width="13" style="240" customWidth="1"/>
    <col min="8" max="8" width="34.7109375" style="240" bestFit="1" customWidth="1"/>
    <col min="9" max="9" width="12.140625" style="240" bestFit="1" customWidth="1"/>
    <col min="10" max="10" width="55.28515625" style="240" bestFit="1" customWidth="1"/>
    <col min="11" max="12" width="9.140625" style="240"/>
    <col min="13" max="13" width="8.42578125" style="240" bestFit="1" customWidth="1"/>
    <col min="14" max="14" width="5.85546875" style="240" customWidth="1"/>
    <col min="15" max="15" width="4.5703125" style="240" customWidth="1"/>
    <col min="16" max="16" width="19.42578125" style="240" customWidth="1"/>
    <col min="17" max="17" width="8.7109375" style="240" customWidth="1"/>
    <col min="18" max="18" width="12" style="240" customWidth="1"/>
    <col min="19" max="19" width="20.7109375" style="240" customWidth="1"/>
    <col min="20" max="20" width="9.42578125" style="240" customWidth="1"/>
    <col min="21" max="21" width="8.28515625" style="240" customWidth="1"/>
    <col min="22" max="22" width="16.140625" style="240" customWidth="1"/>
    <col min="23" max="23" width="11" style="240" customWidth="1"/>
    <col min="24" max="24" width="12.7109375" style="240" customWidth="1"/>
    <col min="25" max="25" width="11.7109375" style="240" customWidth="1"/>
    <col min="26" max="26" width="10.85546875" style="240" customWidth="1"/>
    <col min="27" max="27" width="13.42578125" style="240" customWidth="1"/>
    <col min="28" max="32" width="9.140625" style="240"/>
    <col min="33" max="33" width="12.85546875" style="240" bestFit="1" customWidth="1"/>
    <col min="34" max="34" width="30" style="240" bestFit="1" customWidth="1"/>
    <col min="35" max="35" width="14" style="240" bestFit="1" customWidth="1"/>
    <col min="36" max="36" width="18.140625" style="240" bestFit="1" customWidth="1"/>
    <col min="37" max="37" width="14" style="240" bestFit="1" customWidth="1"/>
    <col min="38" max="38" width="6.28515625" style="240" bestFit="1" customWidth="1"/>
    <col min="39" max="39" width="10.5703125" style="240" bestFit="1" customWidth="1"/>
    <col min="40" max="40" width="12.7109375" style="240" bestFit="1" customWidth="1"/>
    <col min="41" max="16384" width="9.140625" style="240"/>
  </cols>
  <sheetData>
    <row r="1" spans="2:40" x14ac:dyDescent="0.25">
      <c r="F1" s="241"/>
      <c r="H1" s="237" t="s">
        <v>628</v>
      </c>
      <c r="I1" s="242">
        <v>46110</v>
      </c>
      <c r="J1" s="390" t="s">
        <v>624</v>
      </c>
      <c r="K1" s="241"/>
      <c r="L1" s="241"/>
    </row>
    <row r="2" spans="2:40" x14ac:dyDescent="0.25">
      <c r="F2" s="241"/>
      <c r="J2" s="390"/>
      <c r="K2" s="241"/>
      <c r="L2" s="241"/>
    </row>
    <row r="3" spans="2:40" x14ac:dyDescent="0.25">
      <c r="F3" s="241"/>
      <c r="J3" s="390"/>
      <c r="K3" s="241"/>
      <c r="L3" s="241"/>
    </row>
    <row r="4" spans="2:40" ht="11.25" customHeight="1" x14ac:dyDescent="0.25">
      <c r="F4" s="241"/>
      <c r="J4" s="391"/>
      <c r="K4" s="243"/>
      <c r="L4" s="243"/>
      <c r="AK4" s="389" t="s">
        <v>632</v>
      </c>
      <c r="AL4" s="389"/>
    </row>
    <row r="5" spans="2:40" s="249" customFormat="1" ht="33.75" x14ac:dyDescent="0.25">
      <c r="B5" s="244" t="s">
        <v>430</v>
      </c>
      <c r="C5" s="245" t="s">
        <v>885</v>
      </c>
      <c r="D5" s="245" t="s">
        <v>603</v>
      </c>
      <c r="E5" s="245" t="s">
        <v>604</v>
      </c>
      <c r="F5" s="246" t="s">
        <v>1039</v>
      </c>
      <c r="G5" s="245" t="s">
        <v>605</v>
      </c>
      <c r="H5" s="245" t="s">
        <v>606</v>
      </c>
      <c r="I5" s="247" t="s">
        <v>607</v>
      </c>
      <c r="J5" s="246" t="s">
        <v>804</v>
      </c>
      <c r="K5" s="248"/>
      <c r="L5" s="248"/>
      <c r="M5" s="244" t="s">
        <v>430</v>
      </c>
      <c r="N5" s="245" t="s">
        <v>885</v>
      </c>
      <c r="O5" s="245" t="s">
        <v>603</v>
      </c>
      <c r="P5" s="245" t="s">
        <v>896</v>
      </c>
      <c r="Q5" s="245" t="s">
        <v>897</v>
      </c>
      <c r="R5" s="245" t="s">
        <v>898</v>
      </c>
      <c r="S5" s="245" t="s">
        <v>899</v>
      </c>
      <c r="T5" s="245" t="s">
        <v>900</v>
      </c>
      <c r="U5" s="245" t="s">
        <v>901</v>
      </c>
      <c r="V5" s="245" t="s">
        <v>605</v>
      </c>
      <c r="W5" s="245" t="s">
        <v>902</v>
      </c>
      <c r="X5" s="245" t="s">
        <v>903</v>
      </c>
      <c r="Y5" s="245" t="s">
        <v>904</v>
      </c>
      <c r="Z5" s="245" t="s">
        <v>905</v>
      </c>
      <c r="AA5" s="247" t="s">
        <v>906</v>
      </c>
      <c r="AK5" s="249" t="s">
        <v>431</v>
      </c>
      <c r="AL5" s="249" t="s">
        <v>633</v>
      </c>
    </row>
    <row r="6" spans="2:40" ht="22.5" x14ac:dyDescent="0.25">
      <c r="B6" s="266" t="str">
        <f>IF(MONTH(G6)&lt;4, YEAR(G6)-1 &amp; "-" &amp; YEAR(G6), YEAR(G6) &amp; "-" &amp; YEAR(G6)+1)</f>
        <v>2021-2022</v>
      </c>
      <c r="C6" s="232" t="s">
        <v>886</v>
      </c>
      <c r="D6" s="232">
        <f t="shared" ref="D6:D37" si="0">ROW()-5</f>
        <v>1</v>
      </c>
      <c r="E6" s="232" t="s">
        <v>608</v>
      </c>
      <c r="F6" s="234" t="s">
        <v>963</v>
      </c>
      <c r="G6" s="235">
        <v>44582</v>
      </c>
      <c r="H6" s="232" t="s">
        <v>609</v>
      </c>
      <c r="I6" s="232">
        <v>692.34</v>
      </c>
      <c r="J6" s="233" t="s">
        <v>622</v>
      </c>
      <c r="K6" s="238"/>
      <c r="L6" s="265"/>
      <c r="M6" s="266" t="str">
        <f>IF(MONTH(V6)&lt;4, YEAR(V6)-1 &amp; "-" &amp; YEAR(V6), YEAR(V6) &amp; "-" &amp; YEAR(V6)+1)</f>
        <v>2025-2026</v>
      </c>
      <c r="N6" s="232" t="s">
        <v>914</v>
      </c>
      <c r="O6" s="250">
        <f>ROW()-5</f>
        <v>1</v>
      </c>
      <c r="P6" s="250" t="s">
        <v>860</v>
      </c>
      <c r="Q6" s="250" t="s">
        <v>907</v>
      </c>
      <c r="R6" s="250" t="s">
        <v>908</v>
      </c>
      <c r="S6" s="251" t="s">
        <v>913</v>
      </c>
      <c r="T6" s="250" t="s">
        <v>909</v>
      </c>
      <c r="U6" s="250" t="s">
        <v>910</v>
      </c>
      <c r="V6" s="252">
        <v>45829</v>
      </c>
      <c r="W6" s="250" t="s">
        <v>911</v>
      </c>
      <c r="X6" s="250" t="s">
        <v>912</v>
      </c>
      <c r="Y6" s="252">
        <v>45829</v>
      </c>
      <c r="Z6" s="252">
        <v>45829</v>
      </c>
      <c r="AA6" s="253">
        <v>1786</v>
      </c>
      <c r="AK6" s="240" t="s">
        <v>21</v>
      </c>
      <c r="AL6" s="254"/>
    </row>
    <row r="7" spans="2:40" ht="22.5" x14ac:dyDescent="0.25">
      <c r="B7" s="266" t="str">
        <f t="shared" ref="B7:B70" si="1">IF(MONTH(G7)&lt;4, YEAR(G7)-1 &amp; "-" &amp; YEAR(G7), YEAR(G7) &amp; "-" &amp; YEAR(G7)+1)</f>
        <v>2021-2022</v>
      </c>
      <c r="C7" s="232" t="s">
        <v>886</v>
      </c>
      <c r="D7" s="232">
        <f t="shared" si="0"/>
        <v>2</v>
      </c>
      <c r="E7" s="232" t="s">
        <v>608</v>
      </c>
      <c r="F7" s="234" t="s">
        <v>964</v>
      </c>
      <c r="G7" s="235">
        <v>44589</v>
      </c>
      <c r="H7" s="232" t="s">
        <v>609</v>
      </c>
      <c r="I7" s="232">
        <v>1198.73</v>
      </c>
      <c r="J7" s="233" t="s">
        <v>619</v>
      </c>
      <c r="K7" s="238"/>
      <c r="L7" s="265"/>
      <c r="M7" s="266" t="str">
        <f t="shared" ref="M7:M9" si="2">IF(MONTH(V7)&lt;4, YEAR(V7)-1 &amp; "-" &amp; YEAR(V7), YEAR(V7) &amp; "-" &amp; YEAR(V7)+1)</f>
        <v>2025-2026</v>
      </c>
      <c r="N7" s="232" t="s">
        <v>914</v>
      </c>
      <c r="O7" s="250">
        <f>ROW()-5</f>
        <v>2</v>
      </c>
      <c r="P7" s="250" t="s">
        <v>860</v>
      </c>
      <c r="Q7" s="250" t="s">
        <v>907</v>
      </c>
      <c r="R7" s="250" t="s">
        <v>908</v>
      </c>
      <c r="S7" s="255" t="s">
        <v>925</v>
      </c>
      <c r="T7" s="250" t="s">
        <v>909</v>
      </c>
      <c r="U7" s="250" t="s">
        <v>910</v>
      </c>
      <c r="V7" s="252">
        <v>45883</v>
      </c>
      <c r="W7" s="250" t="s">
        <v>911</v>
      </c>
      <c r="X7" s="250" t="s">
        <v>912</v>
      </c>
      <c r="Y7" s="252">
        <v>45883</v>
      </c>
      <c r="Z7" s="252">
        <v>45883</v>
      </c>
      <c r="AA7" s="253">
        <v>1786</v>
      </c>
      <c r="AK7" s="240" t="s">
        <v>20</v>
      </c>
      <c r="AL7" s="254"/>
    </row>
    <row r="8" spans="2:40" ht="22.5" x14ac:dyDescent="0.25">
      <c r="B8" s="266" t="str">
        <f t="shared" si="1"/>
        <v>2021-2022</v>
      </c>
      <c r="C8" s="232" t="s">
        <v>886</v>
      </c>
      <c r="D8" s="232">
        <f t="shared" si="0"/>
        <v>3</v>
      </c>
      <c r="E8" s="232" t="s">
        <v>608</v>
      </c>
      <c r="F8" s="234" t="s">
        <v>965</v>
      </c>
      <c r="G8" s="235">
        <v>44602</v>
      </c>
      <c r="H8" s="232" t="s">
        <v>609</v>
      </c>
      <c r="I8" s="232">
        <v>2068.3200000000002</v>
      </c>
      <c r="J8" s="233" t="s">
        <v>623</v>
      </c>
      <c r="K8" s="239"/>
      <c r="L8" s="239"/>
      <c r="M8" s="266" t="str">
        <f t="shared" si="2"/>
        <v>2025-2026</v>
      </c>
      <c r="N8" s="232" t="s">
        <v>914</v>
      </c>
      <c r="O8" s="250">
        <f t="shared" ref="O8:O10" si="3">ROW()-5</f>
        <v>3</v>
      </c>
      <c r="P8" s="250" t="s">
        <v>860</v>
      </c>
      <c r="Q8" s="250" t="s">
        <v>1040</v>
      </c>
      <c r="R8" s="250" t="s">
        <v>908</v>
      </c>
      <c r="S8" s="255" t="s">
        <v>1043</v>
      </c>
      <c r="T8" s="250" t="s">
        <v>1041</v>
      </c>
      <c r="U8" s="250" t="s">
        <v>1042</v>
      </c>
      <c r="V8" s="252">
        <v>45987</v>
      </c>
      <c r="W8" s="250" t="s">
        <v>911</v>
      </c>
      <c r="X8" s="250" t="s">
        <v>914</v>
      </c>
      <c r="Y8" s="252">
        <v>45987</v>
      </c>
      <c r="Z8" s="252">
        <v>45988</v>
      </c>
      <c r="AA8" s="253">
        <v>5342</v>
      </c>
      <c r="AK8" s="240" t="s">
        <v>22</v>
      </c>
      <c r="AL8" s="254"/>
    </row>
    <row r="9" spans="2:40" ht="22.5" x14ac:dyDescent="0.25">
      <c r="B9" s="266" t="str">
        <f t="shared" si="1"/>
        <v>2021-2022</v>
      </c>
      <c r="C9" s="232" t="s">
        <v>886</v>
      </c>
      <c r="D9" s="232">
        <f t="shared" si="0"/>
        <v>4</v>
      </c>
      <c r="E9" s="232" t="s">
        <v>608</v>
      </c>
      <c r="F9" s="234" t="s">
        <v>966</v>
      </c>
      <c r="G9" s="235">
        <v>44620</v>
      </c>
      <c r="H9" s="232" t="s">
        <v>609</v>
      </c>
      <c r="I9" s="232">
        <v>1886.84</v>
      </c>
      <c r="J9" s="233" t="s">
        <v>616</v>
      </c>
      <c r="K9" s="239"/>
      <c r="L9" s="239"/>
      <c r="M9" s="266" t="str">
        <f t="shared" si="2"/>
        <v>2025-2026</v>
      </c>
      <c r="N9" s="232" t="s">
        <v>914</v>
      </c>
      <c r="O9" s="250">
        <f t="shared" si="3"/>
        <v>4</v>
      </c>
      <c r="P9" s="232" t="s">
        <v>932</v>
      </c>
      <c r="Q9" s="232" t="s">
        <v>907</v>
      </c>
      <c r="R9" s="232" t="s">
        <v>908</v>
      </c>
      <c r="S9" s="255" t="s">
        <v>1045</v>
      </c>
      <c r="T9" s="232" t="s">
        <v>909</v>
      </c>
      <c r="U9" s="232" t="s">
        <v>910</v>
      </c>
      <c r="V9" s="263">
        <v>46021</v>
      </c>
      <c r="W9" s="232" t="s">
        <v>911</v>
      </c>
      <c r="X9" s="232" t="s">
        <v>912</v>
      </c>
      <c r="Y9" s="263">
        <v>46022</v>
      </c>
      <c r="Z9" s="263">
        <v>46022</v>
      </c>
      <c r="AA9" s="264">
        <v>5952</v>
      </c>
      <c r="AK9" s="240" t="s">
        <v>23</v>
      </c>
      <c r="AL9" s="254"/>
    </row>
    <row r="10" spans="2:40" ht="22.5" x14ac:dyDescent="0.25">
      <c r="B10" s="266" t="str">
        <f t="shared" si="1"/>
        <v>2021-2022</v>
      </c>
      <c r="C10" s="232" t="s">
        <v>886</v>
      </c>
      <c r="D10" s="232">
        <f t="shared" si="0"/>
        <v>5</v>
      </c>
      <c r="E10" s="232" t="s">
        <v>608</v>
      </c>
      <c r="F10" s="234" t="s">
        <v>967</v>
      </c>
      <c r="G10" s="235">
        <v>44620</v>
      </c>
      <c r="H10" s="232" t="s">
        <v>609</v>
      </c>
      <c r="I10" s="232">
        <v>350.95</v>
      </c>
      <c r="J10" s="233" t="s">
        <v>617</v>
      </c>
      <c r="K10" s="239"/>
      <c r="L10" s="239"/>
      <c r="M10" s="266" t="str">
        <f t="shared" ref="M10" si="4">IF(MONTH(V10)&lt;4, YEAR(V10)-1 &amp; "-" &amp; YEAR(V10), YEAR(V10) &amp; "-" &amp; YEAR(V10)+1)</f>
        <v>2025-2026</v>
      </c>
      <c r="N10" s="232" t="s">
        <v>914</v>
      </c>
      <c r="O10" s="250">
        <f t="shared" si="3"/>
        <v>5</v>
      </c>
      <c r="P10" s="232" t="s">
        <v>932</v>
      </c>
      <c r="Q10" s="232" t="s">
        <v>907</v>
      </c>
      <c r="R10" s="232" t="s">
        <v>908</v>
      </c>
      <c r="S10" s="255" t="s">
        <v>1044</v>
      </c>
      <c r="T10" s="232" t="s">
        <v>909</v>
      </c>
      <c r="U10" s="232" t="s">
        <v>910</v>
      </c>
      <c r="V10" s="263">
        <v>46039</v>
      </c>
      <c r="W10" s="232" t="s">
        <v>911</v>
      </c>
      <c r="X10" s="232" t="s">
        <v>912</v>
      </c>
      <c r="Y10" s="263">
        <v>46039</v>
      </c>
      <c r="Z10" s="263">
        <v>46039</v>
      </c>
      <c r="AA10" s="264">
        <v>4166</v>
      </c>
      <c r="AK10" s="240" t="s">
        <v>24</v>
      </c>
      <c r="AL10" s="254"/>
    </row>
    <row r="11" spans="2:40" x14ac:dyDescent="0.25">
      <c r="B11" s="266" t="str">
        <f t="shared" si="1"/>
        <v>2021-2022</v>
      </c>
      <c r="C11" s="232" t="s">
        <v>886</v>
      </c>
      <c r="D11" s="232">
        <f t="shared" si="0"/>
        <v>6</v>
      </c>
      <c r="E11" s="232" t="s">
        <v>608</v>
      </c>
      <c r="F11" s="234" t="s">
        <v>968</v>
      </c>
      <c r="G11" s="235">
        <v>44620</v>
      </c>
      <c r="H11" s="232" t="s">
        <v>609</v>
      </c>
      <c r="I11" s="232">
        <v>1188.79</v>
      </c>
      <c r="J11" s="233" t="s">
        <v>618</v>
      </c>
      <c r="K11" s="239"/>
      <c r="L11" s="239"/>
      <c r="M11" s="266"/>
      <c r="N11" s="232"/>
      <c r="O11" s="250"/>
      <c r="P11" s="232"/>
      <c r="Q11" s="232"/>
      <c r="R11" s="232"/>
      <c r="S11" s="255"/>
      <c r="T11" s="232"/>
      <c r="U11" s="232"/>
      <c r="V11" s="263"/>
      <c r="W11" s="232"/>
      <c r="X11" s="232"/>
      <c r="Y11" s="263"/>
      <c r="Z11" s="263"/>
      <c r="AA11" s="264"/>
      <c r="AI11" s="388" t="s">
        <v>886</v>
      </c>
      <c r="AJ11" s="388"/>
      <c r="AK11" s="240" t="s">
        <v>192</v>
      </c>
      <c r="AL11" s="254"/>
    </row>
    <row r="12" spans="2:40" x14ac:dyDescent="0.25">
      <c r="B12" s="266" t="str">
        <f t="shared" si="1"/>
        <v>2021-2022</v>
      </c>
      <c r="C12" s="232" t="s">
        <v>886</v>
      </c>
      <c r="D12" s="232">
        <f t="shared" si="0"/>
        <v>7</v>
      </c>
      <c r="E12" s="232" t="s">
        <v>608</v>
      </c>
      <c r="F12" s="234" t="s">
        <v>969</v>
      </c>
      <c r="G12" s="235">
        <v>44646</v>
      </c>
      <c r="H12" s="232" t="s">
        <v>609</v>
      </c>
      <c r="I12" s="232">
        <v>613.38</v>
      </c>
      <c r="J12" s="233" t="s">
        <v>620</v>
      </c>
      <c r="K12" s="239"/>
      <c r="L12" s="239"/>
      <c r="M12" s="266"/>
      <c r="N12" s="232"/>
      <c r="O12" s="250"/>
      <c r="P12" s="250"/>
      <c r="Q12" s="250"/>
      <c r="R12" s="250"/>
      <c r="S12" s="255"/>
      <c r="T12" s="250"/>
      <c r="U12" s="250"/>
      <c r="V12" s="252"/>
      <c r="W12" s="250"/>
      <c r="X12" s="250"/>
      <c r="Y12" s="252"/>
      <c r="Z12" s="252"/>
      <c r="AA12" s="253"/>
      <c r="AI12" s="240" t="s">
        <v>631</v>
      </c>
      <c r="AK12" s="240" t="s">
        <v>246</v>
      </c>
      <c r="AL12" s="254"/>
      <c r="AM12" s="256" t="s">
        <v>190</v>
      </c>
      <c r="AN12" s="240">
        <f>SUM(AM13:AM22)</f>
        <v>340035.38</v>
      </c>
    </row>
    <row r="13" spans="2:40" x14ac:dyDescent="0.25">
      <c r="B13" s="266" t="str">
        <f t="shared" si="1"/>
        <v>2021-2022</v>
      </c>
      <c r="C13" s="232" t="s">
        <v>886</v>
      </c>
      <c r="D13" s="232">
        <f t="shared" si="0"/>
        <v>8</v>
      </c>
      <c r="E13" s="232" t="s">
        <v>608</v>
      </c>
      <c r="F13" s="234" t="s">
        <v>970</v>
      </c>
      <c r="G13" s="235">
        <v>44646</v>
      </c>
      <c r="H13" s="232" t="s">
        <v>609</v>
      </c>
      <c r="I13" s="232">
        <v>750.86</v>
      </c>
      <c r="J13" s="233" t="s">
        <v>621</v>
      </c>
      <c r="K13" s="239"/>
      <c r="L13" s="239"/>
      <c r="AI13" s="240" t="s">
        <v>431</v>
      </c>
      <c r="AJ13" s="240" t="s">
        <v>625</v>
      </c>
      <c r="AK13" s="240" t="s">
        <v>342</v>
      </c>
      <c r="AL13" s="254"/>
    </row>
    <row r="14" spans="2:40" x14ac:dyDescent="0.25">
      <c r="B14" s="266" t="str">
        <f t="shared" si="1"/>
        <v>2022-2023</v>
      </c>
      <c r="C14" s="232" t="s">
        <v>886</v>
      </c>
      <c r="D14" s="232">
        <f t="shared" si="0"/>
        <v>9</v>
      </c>
      <c r="E14" s="232" t="s">
        <v>608</v>
      </c>
      <c r="F14" s="234" t="s">
        <v>971</v>
      </c>
      <c r="G14" s="235">
        <v>44676</v>
      </c>
      <c r="H14" s="232" t="s">
        <v>609</v>
      </c>
      <c r="I14" s="232">
        <v>2087.69</v>
      </c>
      <c r="J14" s="233" t="s">
        <v>610</v>
      </c>
      <c r="K14" s="239"/>
      <c r="L14" s="239"/>
      <c r="AB14" s="257"/>
      <c r="AC14" s="257"/>
      <c r="AD14" s="257"/>
      <c r="AE14" s="257"/>
      <c r="AF14" s="257"/>
      <c r="AI14" s="240" t="s">
        <v>416</v>
      </c>
      <c r="AJ14" s="254">
        <v>8750.2100000000009</v>
      </c>
      <c r="AK14" s="240" t="s">
        <v>416</v>
      </c>
      <c r="AL14" s="254">
        <v>1760</v>
      </c>
      <c r="AM14" s="240">
        <f>(AH14+AJ14)-AL14</f>
        <v>6990.2100000000009</v>
      </c>
    </row>
    <row r="15" spans="2:40" x14ac:dyDescent="0.25">
      <c r="B15" s="266" t="str">
        <f t="shared" si="1"/>
        <v>2022-2023</v>
      </c>
      <c r="C15" s="232" t="s">
        <v>886</v>
      </c>
      <c r="D15" s="232">
        <f t="shared" si="0"/>
        <v>10</v>
      </c>
      <c r="E15" s="232" t="s">
        <v>608</v>
      </c>
      <c r="F15" s="234" t="s">
        <v>973</v>
      </c>
      <c r="G15" s="235">
        <v>44676</v>
      </c>
      <c r="H15" s="232" t="s">
        <v>609</v>
      </c>
      <c r="I15" s="232">
        <v>935.77</v>
      </c>
      <c r="J15" s="233" t="s">
        <v>612</v>
      </c>
      <c r="K15" s="239"/>
      <c r="L15" s="239"/>
      <c r="AB15" s="257"/>
      <c r="AC15" s="257"/>
      <c r="AD15" s="257"/>
      <c r="AE15" s="257"/>
      <c r="AF15" s="257"/>
      <c r="AG15" s="388" t="s">
        <v>914</v>
      </c>
      <c r="AH15" s="388"/>
      <c r="AI15" s="240" t="s">
        <v>516</v>
      </c>
      <c r="AJ15" s="254">
        <v>38472.479999999996</v>
      </c>
      <c r="AK15" s="240" t="s">
        <v>516</v>
      </c>
      <c r="AL15" s="254">
        <v>5496</v>
      </c>
      <c r="AM15" s="240">
        <f>AJ15-AL15</f>
        <v>32976.479999999996</v>
      </c>
    </row>
    <row r="16" spans="2:40" x14ac:dyDescent="0.25">
      <c r="B16" s="266" t="str">
        <f t="shared" si="1"/>
        <v>2022-2023</v>
      </c>
      <c r="C16" s="232" t="s">
        <v>886</v>
      </c>
      <c r="D16" s="232">
        <f t="shared" si="0"/>
        <v>11</v>
      </c>
      <c r="E16" s="232" t="s">
        <v>608</v>
      </c>
      <c r="F16" s="234" t="s">
        <v>972</v>
      </c>
      <c r="G16" s="235">
        <v>44676</v>
      </c>
      <c r="H16" s="232" t="s">
        <v>609</v>
      </c>
      <c r="I16" s="232">
        <v>1510.09</v>
      </c>
      <c r="J16" s="233" t="s">
        <v>611</v>
      </c>
      <c r="K16" s="239"/>
      <c r="L16" s="239"/>
      <c r="AB16" s="257"/>
      <c r="AC16" s="257"/>
      <c r="AD16" s="257"/>
      <c r="AE16" s="257"/>
      <c r="AF16" s="257"/>
      <c r="AG16" s="240" t="s">
        <v>631</v>
      </c>
      <c r="AI16" s="240" t="s">
        <v>654</v>
      </c>
      <c r="AJ16" s="254">
        <v>42590</v>
      </c>
      <c r="AK16" s="240" t="s">
        <v>654</v>
      </c>
      <c r="AL16" s="254">
        <v>7896</v>
      </c>
      <c r="AM16" s="240">
        <f>AJ16-AL16</f>
        <v>34694</v>
      </c>
    </row>
    <row r="17" spans="2:39" x14ac:dyDescent="0.25">
      <c r="B17" s="266" t="str">
        <f t="shared" si="1"/>
        <v>2022-2023</v>
      </c>
      <c r="C17" s="232" t="s">
        <v>886</v>
      </c>
      <c r="D17" s="232">
        <f t="shared" si="0"/>
        <v>12</v>
      </c>
      <c r="E17" s="232" t="s">
        <v>608</v>
      </c>
      <c r="F17" s="234" t="s">
        <v>976</v>
      </c>
      <c r="G17" s="235">
        <v>44717</v>
      </c>
      <c r="H17" s="232" t="s">
        <v>609</v>
      </c>
      <c r="I17" s="232">
        <v>754.16</v>
      </c>
      <c r="J17" s="233" t="s">
        <v>614</v>
      </c>
      <c r="K17" s="239"/>
      <c r="L17" s="239"/>
      <c r="Z17" s="257"/>
      <c r="AA17" s="257"/>
      <c r="AB17" s="257"/>
      <c r="AC17" s="257"/>
      <c r="AD17" s="257"/>
      <c r="AE17" s="257"/>
      <c r="AF17" s="257"/>
      <c r="AG17" s="258" t="s">
        <v>431</v>
      </c>
      <c r="AH17" s="257" t="s">
        <v>915</v>
      </c>
      <c r="AI17" s="240" t="s">
        <v>568</v>
      </c>
      <c r="AJ17" s="254">
        <v>19425</v>
      </c>
      <c r="AK17" s="240" t="s">
        <v>568</v>
      </c>
      <c r="AL17" s="254">
        <v>7896</v>
      </c>
      <c r="AM17" s="240">
        <f>AJ17-AL17</f>
        <v>11529</v>
      </c>
    </row>
    <row r="18" spans="2:39" x14ac:dyDescent="0.25">
      <c r="B18" s="266" t="str">
        <f t="shared" si="1"/>
        <v>2022-2023</v>
      </c>
      <c r="C18" s="232" t="s">
        <v>886</v>
      </c>
      <c r="D18" s="232">
        <f t="shared" si="0"/>
        <v>13</v>
      </c>
      <c r="E18" s="232" t="s">
        <v>608</v>
      </c>
      <c r="F18" s="234" t="s">
        <v>975</v>
      </c>
      <c r="G18" s="235">
        <v>44717</v>
      </c>
      <c r="H18" s="232" t="s">
        <v>609</v>
      </c>
      <c r="I18" s="232">
        <v>1005.2</v>
      </c>
      <c r="J18" s="233" t="s">
        <v>615</v>
      </c>
      <c r="K18" s="239"/>
      <c r="L18" s="239"/>
      <c r="Z18" s="257"/>
      <c r="AA18" s="257"/>
      <c r="AB18" s="257"/>
      <c r="AC18" s="257"/>
      <c r="AD18" s="257"/>
      <c r="AE18" s="257"/>
      <c r="AF18" s="257"/>
      <c r="AG18" s="259" t="s">
        <v>569</v>
      </c>
      <c r="AH18" s="260">
        <v>19032</v>
      </c>
      <c r="AI18" s="240" t="s">
        <v>569</v>
      </c>
      <c r="AJ18" s="260">
        <v>82208</v>
      </c>
      <c r="AK18" s="240" t="s">
        <v>569</v>
      </c>
      <c r="AL18" s="254">
        <v>7896</v>
      </c>
      <c r="AM18" s="240">
        <f>AH18+AJ18-AL18</f>
        <v>93344</v>
      </c>
    </row>
    <row r="19" spans="2:39" x14ac:dyDescent="0.25">
      <c r="B19" s="266" t="str">
        <f t="shared" si="1"/>
        <v>2022-2023</v>
      </c>
      <c r="C19" s="232" t="s">
        <v>886</v>
      </c>
      <c r="D19" s="232">
        <f t="shared" si="0"/>
        <v>14</v>
      </c>
      <c r="E19" s="232" t="s">
        <v>608</v>
      </c>
      <c r="F19" s="234" t="s">
        <v>974</v>
      </c>
      <c r="G19" s="235">
        <v>44718</v>
      </c>
      <c r="H19" s="232" t="s">
        <v>609</v>
      </c>
      <c r="I19" s="232">
        <v>1916.24</v>
      </c>
      <c r="J19" s="233" t="s">
        <v>613</v>
      </c>
      <c r="K19" s="239"/>
      <c r="L19" s="239"/>
      <c r="Z19" s="257"/>
      <c r="AA19" s="257"/>
      <c r="AB19" s="257"/>
      <c r="AC19" s="257"/>
      <c r="AD19" s="257"/>
      <c r="AE19" s="257"/>
      <c r="AF19" s="257"/>
      <c r="AG19" s="259" t="s">
        <v>500</v>
      </c>
      <c r="AH19" s="260"/>
      <c r="AI19" s="240" t="s">
        <v>432</v>
      </c>
      <c r="AJ19" s="254">
        <v>191445.69</v>
      </c>
      <c r="AK19" s="240" t="s">
        <v>432</v>
      </c>
      <c r="AL19" s="254">
        <v>30944</v>
      </c>
      <c r="AM19" s="240">
        <f>AH19+AJ19-AL19</f>
        <v>160501.69</v>
      </c>
    </row>
    <row r="20" spans="2:39" x14ac:dyDescent="0.25">
      <c r="B20" s="266" t="str">
        <f t="shared" si="1"/>
        <v>2022-2023</v>
      </c>
      <c r="C20" s="232" t="s">
        <v>886</v>
      </c>
      <c r="D20" s="232">
        <f t="shared" si="0"/>
        <v>15</v>
      </c>
      <c r="E20" s="232" t="s">
        <v>608</v>
      </c>
      <c r="F20" s="234" t="s">
        <v>979</v>
      </c>
      <c r="G20" s="235">
        <v>44751</v>
      </c>
      <c r="H20" s="232" t="s">
        <v>609</v>
      </c>
      <c r="I20" s="232">
        <v>359.83</v>
      </c>
      <c r="J20" s="233" t="s">
        <v>636</v>
      </c>
      <c r="K20" s="239"/>
      <c r="L20" s="239"/>
      <c r="Z20" s="257"/>
      <c r="AA20" s="257"/>
      <c r="AB20" s="257"/>
      <c r="AC20" s="257"/>
      <c r="AD20" s="257"/>
      <c r="AE20" s="257"/>
      <c r="AF20" s="257"/>
      <c r="AG20" s="257" t="s">
        <v>432</v>
      </c>
      <c r="AH20" s="261">
        <v>19032</v>
      </c>
      <c r="AK20" s="257"/>
      <c r="AL20" s="257"/>
    </row>
    <row r="21" spans="2:39" x14ac:dyDescent="0.25">
      <c r="B21" s="266" t="str">
        <f t="shared" si="1"/>
        <v>2022-2023</v>
      </c>
      <c r="C21" s="232" t="s">
        <v>886</v>
      </c>
      <c r="D21" s="232">
        <f t="shared" si="0"/>
        <v>16</v>
      </c>
      <c r="E21" s="232" t="s">
        <v>608</v>
      </c>
      <c r="F21" s="234" t="s">
        <v>978</v>
      </c>
      <c r="G21" s="235">
        <v>44751</v>
      </c>
      <c r="H21" s="232" t="s">
        <v>609</v>
      </c>
      <c r="I21" s="232">
        <v>878.72</v>
      </c>
      <c r="J21" s="233" t="s">
        <v>634</v>
      </c>
      <c r="K21" s="239"/>
      <c r="L21" s="239"/>
      <c r="Z21" s="257"/>
      <c r="AA21" s="257"/>
      <c r="AB21" s="257"/>
      <c r="AC21" s="257"/>
      <c r="AD21" s="257"/>
      <c r="AE21" s="257"/>
      <c r="AF21" s="257"/>
    </row>
    <row r="22" spans="2:39" x14ac:dyDescent="0.25">
      <c r="B22" s="266" t="str">
        <f t="shared" si="1"/>
        <v>2022-2023</v>
      </c>
      <c r="C22" s="232" t="s">
        <v>886</v>
      </c>
      <c r="D22" s="232">
        <f t="shared" si="0"/>
        <v>17</v>
      </c>
      <c r="E22" s="232" t="s">
        <v>608</v>
      </c>
      <c r="F22" s="234" t="s">
        <v>977</v>
      </c>
      <c r="G22" s="235">
        <v>44751</v>
      </c>
      <c r="H22" s="232" t="s">
        <v>609</v>
      </c>
      <c r="I22" s="232">
        <v>1833.4</v>
      </c>
      <c r="J22" s="233" t="s">
        <v>635</v>
      </c>
      <c r="K22" s="239"/>
      <c r="L22" s="239"/>
      <c r="Z22" s="257"/>
      <c r="AA22" s="257"/>
      <c r="AB22" s="257"/>
      <c r="AC22" s="257"/>
      <c r="AD22" s="257"/>
      <c r="AE22" s="257"/>
      <c r="AF22" s="257"/>
    </row>
    <row r="23" spans="2:39" x14ac:dyDescent="0.25">
      <c r="B23" s="266" t="str">
        <f t="shared" si="1"/>
        <v>2022-2023</v>
      </c>
      <c r="C23" s="232" t="s">
        <v>886</v>
      </c>
      <c r="D23" s="232">
        <f t="shared" si="0"/>
        <v>18</v>
      </c>
      <c r="E23" s="232" t="s">
        <v>608</v>
      </c>
      <c r="F23" s="234" t="s">
        <v>981</v>
      </c>
      <c r="G23" s="235">
        <v>44775</v>
      </c>
      <c r="H23" s="232" t="s">
        <v>609</v>
      </c>
      <c r="I23" s="232">
        <v>1886.98</v>
      </c>
      <c r="J23" s="233" t="s">
        <v>637</v>
      </c>
      <c r="K23" s="239"/>
      <c r="L23" s="239"/>
      <c r="Z23" s="257"/>
      <c r="AA23" s="257"/>
      <c r="AB23" s="257"/>
      <c r="AC23" s="257"/>
      <c r="AD23" s="257"/>
      <c r="AE23" s="257"/>
      <c r="AF23" s="257"/>
    </row>
    <row r="24" spans="2:39" x14ac:dyDescent="0.25">
      <c r="B24" s="266" t="str">
        <f t="shared" si="1"/>
        <v>2022-2023</v>
      </c>
      <c r="C24" s="232" t="s">
        <v>886</v>
      </c>
      <c r="D24" s="232">
        <f t="shared" si="0"/>
        <v>19</v>
      </c>
      <c r="E24" s="232" t="s">
        <v>608</v>
      </c>
      <c r="F24" s="234" t="s">
        <v>982</v>
      </c>
      <c r="G24" s="235">
        <v>44775</v>
      </c>
      <c r="H24" s="232" t="s">
        <v>609</v>
      </c>
      <c r="I24" s="232">
        <v>376.21</v>
      </c>
      <c r="J24" s="233" t="s">
        <v>638</v>
      </c>
      <c r="K24" s="239"/>
      <c r="L24" s="239"/>
      <c r="Z24" s="257"/>
      <c r="AA24" s="257"/>
      <c r="AB24" s="257"/>
      <c r="AC24" s="257"/>
      <c r="AD24" s="257"/>
      <c r="AE24" s="257"/>
      <c r="AF24" s="257"/>
    </row>
    <row r="25" spans="2:39" x14ac:dyDescent="0.25">
      <c r="B25" s="266" t="str">
        <f t="shared" si="1"/>
        <v>2022-2023</v>
      </c>
      <c r="C25" s="232" t="s">
        <v>886</v>
      </c>
      <c r="D25" s="232">
        <f t="shared" si="0"/>
        <v>20</v>
      </c>
      <c r="E25" s="232" t="s">
        <v>608</v>
      </c>
      <c r="F25" s="234" t="s">
        <v>983</v>
      </c>
      <c r="G25" s="235">
        <v>44775</v>
      </c>
      <c r="H25" s="232" t="s">
        <v>609</v>
      </c>
      <c r="I25" s="232">
        <v>765.79</v>
      </c>
      <c r="J25" s="233" t="s">
        <v>639</v>
      </c>
      <c r="K25" s="239"/>
      <c r="L25" s="239"/>
      <c r="Z25" s="257"/>
      <c r="AA25" s="257"/>
      <c r="AB25" s="257"/>
      <c r="AC25" s="257"/>
      <c r="AD25" s="257"/>
      <c r="AE25" s="257"/>
      <c r="AF25" s="257"/>
    </row>
    <row r="26" spans="2:39" x14ac:dyDescent="0.25">
      <c r="B26" s="266" t="str">
        <f t="shared" si="1"/>
        <v>2022-2023</v>
      </c>
      <c r="C26" s="232" t="s">
        <v>886</v>
      </c>
      <c r="D26" s="232">
        <f t="shared" si="0"/>
        <v>21</v>
      </c>
      <c r="E26" s="232" t="s">
        <v>608</v>
      </c>
      <c r="F26" s="234" t="s">
        <v>984</v>
      </c>
      <c r="G26" s="235">
        <v>44775</v>
      </c>
      <c r="H26" s="232" t="s">
        <v>609</v>
      </c>
      <c r="I26" s="232">
        <v>577.4</v>
      </c>
      <c r="J26" s="233" t="s">
        <v>640</v>
      </c>
      <c r="K26" s="239"/>
      <c r="L26" s="239"/>
      <c r="Z26" s="257"/>
      <c r="AA26" s="257"/>
      <c r="AB26" s="257"/>
      <c r="AC26" s="257"/>
      <c r="AD26" s="257"/>
      <c r="AE26" s="257"/>
      <c r="AF26" s="257"/>
    </row>
    <row r="27" spans="2:39" x14ac:dyDescent="0.25">
      <c r="B27" s="266" t="str">
        <f t="shared" si="1"/>
        <v>2022-2023</v>
      </c>
      <c r="C27" s="232" t="s">
        <v>886</v>
      </c>
      <c r="D27" s="232">
        <f t="shared" si="0"/>
        <v>22</v>
      </c>
      <c r="E27" s="232" t="s">
        <v>608</v>
      </c>
      <c r="F27" s="234" t="s">
        <v>980</v>
      </c>
      <c r="G27" s="235">
        <v>44775</v>
      </c>
      <c r="H27" s="232" t="s">
        <v>609</v>
      </c>
      <c r="I27" s="232">
        <v>88</v>
      </c>
      <c r="J27" s="233" t="s">
        <v>641</v>
      </c>
      <c r="K27" s="239"/>
      <c r="L27" s="239"/>
      <c r="Z27" s="257"/>
      <c r="AA27" s="257"/>
      <c r="AB27" s="257"/>
      <c r="AC27" s="257"/>
      <c r="AD27" s="257"/>
      <c r="AE27" s="257"/>
      <c r="AF27" s="257"/>
    </row>
    <row r="28" spans="2:39" x14ac:dyDescent="0.25">
      <c r="B28" s="266" t="str">
        <f t="shared" si="1"/>
        <v>2022-2023</v>
      </c>
      <c r="C28" s="232" t="s">
        <v>886</v>
      </c>
      <c r="D28" s="232">
        <f t="shared" si="0"/>
        <v>23</v>
      </c>
      <c r="E28" s="232" t="s">
        <v>608</v>
      </c>
      <c r="F28" s="234" t="s">
        <v>985</v>
      </c>
      <c r="G28" s="235">
        <v>44819</v>
      </c>
      <c r="H28" s="232" t="s">
        <v>701</v>
      </c>
      <c r="I28" s="232">
        <v>373.97</v>
      </c>
      <c r="J28" s="233" t="s">
        <v>702</v>
      </c>
      <c r="K28" s="239"/>
      <c r="L28" s="239"/>
      <c r="Z28" s="257"/>
      <c r="AA28" s="257"/>
      <c r="AB28" s="257"/>
      <c r="AC28" s="257"/>
      <c r="AD28" s="257"/>
      <c r="AE28" s="257"/>
      <c r="AF28" s="257"/>
    </row>
    <row r="29" spans="2:39" x14ac:dyDescent="0.25">
      <c r="B29" s="266" t="str">
        <f t="shared" si="1"/>
        <v>2022-2023</v>
      </c>
      <c r="C29" s="232" t="s">
        <v>886</v>
      </c>
      <c r="D29" s="232">
        <f t="shared" si="0"/>
        <v>24</v>
      </c>
      <c r="E29" s="232" t="s">
        <v>608</v>
      </c>
      <c r="F29" s="234" t="s">
        <v>986</v>
      </c>
      <c r="G29" s="235">
        <v>44819</v>
      </c>
      <c r="H29" s="232" t="s">
        <v>701</v>
      </c>
      <c r="I29" s="232">
        <v>3603.34</v>
      </c>
      <c r="J29" s="233" t="s">
        <v>704</v>
      </c>
      <c r="K29" s="239"/>
      <c r="L29" s="239"/>
      <c r="Z29" s="257"/>
      <c r="AA29" s="257"/>
      <c r="AB29" s="257"/>
      <c r="AC29" s="257"/>
      <c r="AD29" s="257"/>
      <c r="AE29" s="257"/>
      <c r="AF29" s="257"/>
    </row>
    <row r="30" spans="2:39" x14ac:dyDescent="0.25">
      <c r="B30" s="266" t="str">
        <f t="shared" si="1"/>
        <v>2022-2023</v>
      </c>
      <c r="C30" s="232" t="s">
        <v>886</v>
      </c>
      <c r="D30" s="232">
        <f t="shared" si="0"/>
        <v>25</v>
      </c>
      <c r="E30" s="232" t="s">
        <v>608</v>
      </c>
      <c r="F30" s="234" t="s">
        <v>987</v>
      </c>
      <c r="G30" s="235">
        <v>44819</v>
      </c>
      <c r="H30" s="232" t="s">
        <v>701</v>
      </c>
      <c r="I30" s="232">
        <v>290.36</v>
      </c>
      <c r="J30" s="233" t="s">
        <v>703</v>
      </c>
      <c r="K30" s="239"/>
      <c r="L30" s="239"/>
      <c r="Z30" s="257"/>
      <c r="AA30" s="257"/>
      <c r="AB30" s="257"/>
      <c r="AC30" s="257"/>
      <c r="AD30" s="257"/>
      <c r="AE30" s="257"/>
      <c r="AF30" s="257"/>
    </row>
    <row r="31" spans="2:39" x14ac:dyDescent="0.25">
      <c r="B31" s="266" t="str">
        <f t="shared" si="1"/>
        <v>2022-2023</v>
      </c>
      <c r="C31" s="232" t="s">
        <v>886</v>
      </c>
      <c r="D31" s="232">
        <f t="shared" si="0"/>
        <v>26</v>
      </c>
      <c r="E31" s="232" t="s">
        <v>608</v>
      </c>
      <c r="F31" s="234" t="s">
        <v>988</v>
      </c>
      <c r="G31" s="235">
        <v>44856</v>
      </c>
      <c r="H31" s="232" t="s">
        <v>701</v>
      </c>
      <c r="I31" s="232">
        <v>1031.05</v>
      </c>
      <c r="J31" s="233" t="s">
        <v>705</v>
      </c>
      <c r="K31" s="239"/>
      <c r="L31" s="239"/>
      <c r="Z31" s="257"/>
      <c r="AA31" s="257"/>
      <c r="AB31" s="257"/>
      <c r="AC31" s="257"/>
      <c r="AD31" s="257"/>
      <c r="AE31" s="257"/>
      <c r="AF31" s="257"/>
    </row>
    <row r="32" spans="2:39" x14ac:dyDescent="0.25">
      <c r="B32" s="266" t="str">
        <f t="shared" si="1"/>
        <v>2022-2023</v>
      </c>
      <c r="C32" s="232" t="s">
        <v>886</v>
      </c>
      <c r="D32" s="232">
        <f t="shared" si="0"/>
        <v>27</v>
      </c>
      <c r="E32" s="232" t="s">
        <v>608</v>
      </c>
      <c r="F32" s="234" t="s">
        <v>989</v>
      </c>
      <c r="G32" s="235">
        <v>44856</v>
      </c>
      <c r="H32" s="232" t="s">
        <v>701</v>
      </c>
      <c r="I32" s="232">
        <v>442.85</v>
      </c>
      <c r="J32" s="233" t="s">
        <v>706</v>
      </c>
      <c r="K32" s="239"/>
      <c r="L32" s="239"/>
    </row>
    <row r="33" spans="2:12" x14ac:dyDescent="0.25">
      <c r="B33" s="266" t="str">
        <f t="shared" si="1"/>
        <v>2022-2023</v>
      </c>
      <c r="C33" s="232" t="s">
        <v>886</v>
      </c>
      <c r="D33" s="232">
        <f t="shared" si="0"/>
        <v>28</v>
      </c>
      <c r="E33" s="232" t="s">
        <v>608</v>
      </c>
      <c r="F33" s="234" t="s">
        <v>990</v>
      </c>
      <c r="G33" s="235">
        <v>44856</v>
      </c>
      <c r="H33" s="232" t="s">
        <v>701</v>
      </c>
      <c r="I33" s="232">
        <v>3762.98</v>
      </c>
      <c r="J33" s="233" t="s">
        <v>707</v>
      </c>
      <c r="K33" s="239"/>
      <c r="L33" s="239"/>
    </row>
    <row r="34" spans="2:12" x14ac:dyDescent="0.25">
      <c r="B34" s="266" t="str">
        <f t="shared" si="1"/>
        <v>2022-2023</v>
      </c>
      <c r="C34" s="232" t="s">
        <v>886</v>
      </c>
      <c r="D34" s="232">
        <f t="shared" si="0"/>
        <v>29</v>
      </c>
      <c r="E34" s="232" t="s">
        <v>608</v>
      </c>
      <c r="F34" s="234" t="s">
        <v>993</v>
      </c>
      <c r="G34" s="235">
        <v>44898</v>
      </c>
      <c r="H34" s="232" t="s">
        <v>701</v>
      </c>
      <c r="I34" s="232">
        <v>442.85</v>
      </c>
      <c r="J34" s="233" t="s">
        <v>714</v>
      </c>
      <c r="K34" s="239"/>
      <c r="L34" s="239"/>
    </row>
    <row r="35" spans="2:12" x14ac:dyDescent="0.25">
      <c r="B35" s="266" t="str">
        <f t="shared" si="1"/>
        <v>2022-2023</v>
      </c>
      <c r="C35" s="232" t="s">
        <v>886</v>
      </c>
      <c r="D35" s="232">
        <f t="shared" si="0"/>
        <v>30</v>
      </c>
      <c r="E35" s="232" t="s">
        <v>608</v>
      </c>
      <c r="F35" s="234" t="s">
        <v>992</v>
      </c>
      <c r="G35" s="235">
        <v>44904</v>
      </c>
      <c r="H35" s="232" t="s">
        <v>701</v>
      </c>
      <c r="I35" s="232">
        <v>3537.5</v>
      </c>
      <c r="J35" s="233" t="s">
        <v>715</v>
      </c>
      <c r="K35" s="239"/>
      <c r="L35" s="239"/>
    </row>
    <row r="36" spans="2:12" x14ac:dyDescent="0.25">
      <c r="B36" s="266" t="str">
        <f t="shared" si="1"/>
        <v>2022-2023</v>
      </c>
      <c r="C36" s="232" t="s">
        <v>886</v>
      </c>
      <c r="D36" s="232">
        <f t="shared" si="0"/>
        <v>31</v>
      </c>
      <c r="E36" s="232" t="s">
        <v>608</v>
      </c>
      <c r="F36" s="234" t="s">
        <v>991</v>
      </c>
      <c r="G36" s="235">
        <v>44905</v>
      </c>
      <c r="H36" s="232" t="s">
        <v>701</v>
      </c>
      <c r="I36" s="232">
        <v>561.1</v>
      </c>
      <c r="J36" s="233" t="s">
        <v>716</v>
      </c>
      <c r="K36" s="239"/>
      <c r="L36" s="239"/>
    </row>
    <row r="37" spans="2:12" x14ac:dyDescent="0.25">
      <c r="B37" s="266" t="str">
        <f t="shared" si="1"/>
        <v>2022-2023</v>
      </c>
      <c r="C37" s="232" t="s">
        <v>886</v>
      </c>
      <c r="D37" s="232">
        <f t="shared" si="0"/>
        <v>32</v>
      </c>
      <c r="E37" s="232" t="s">
        <v>608</v>
      </c>
      <c r="F37" s="234" t="s">
        <v>994</v>
      </c>
      <c r="G37" s="235">
        <v>44948</v>
      </c>
      <c r="H37" s="232" t="s">
        <v>701</v>
      </c>
      <c r="I37" s="232">
        <v>3501</v>
      </c>
      <c r="J37" s="233" t="s">
        <v>722</v>
      </c>
      <c r="K37" s="239"/>
      <c r="L37" s="239"/>
    </row>
    <row r="38" spans="2:12" x14ac:dyDescent="0.25">
      <c r="B38" s="266" t="str">
        <f t="shared" si="1"/>
        <v>2022-2023</v>
      </c>
      <c r="C38" s="232" t="s">
        <v>886</v>
      </c>
      <c r="D38" s="232">
        <f t="shared" ref="D38:D69" si="5">ROW()-5</f>
        <v>33</v>
      </c>
      <c r="E38" s="232" t="s">
        <v>608</v>
      </c>
      <c r="F38" s="234" t="s">
        <v>995</v>
      </c>
      <c r="G38" s="235">
        <v>44948</v>
      </c>
      <c r="H38" s="232" t="s">
        <v>701</v>
      </c>
      <c r="I38" s="232">
        <v>580</v>
      </c>
      <c r="J38" s="233" t="s">
        <v>721</v>
      </c>
      <c r="K38" s="239"/>
      <c r="L38" s="239"/>
    </row>
    <row r="39" spans="2:12" x14ac:dyDescent="0.25">
      <c r="B39" s="266" t="str">
        <f t="shared" si="1"/>
        <v>2022-2023</v>
      </c>
      <c r="C39" s="232" t="s">
        <v>886</v>
      </c>
      <c r="D39" s="232">
        <f t="shared" si="5"/>
        <v>34</v>
      </c>
      <c r="E39" s="232" t="s">
        <v>608</v>
      </c>
      <c r="F39" s="234" t="s">
        <v>996</v>
      </c>
      <c r="G39" s="235">
        <v>44948</v>
      </c>
      <c r="H39" s="232" t="s">
        <v>701</v>
      </c>
      <c r="I39" s="232">
        <v>478</v>
      </c>
      <c r="J39" s="233" t="s">
        <v>720</v>
      </c>
      <c r="K39" s="239"/>
      <c r="L39" s="239"/>
    </row>
    <row r="40" spans="2:12" x14ac:dyDescent="0.25">
      <c r="B40" s="266" t="str">
        <f t="shared" si="1"/>
        <v>2022-2023</v>
      </c>
      <c r="C40" s="232" t="s">
        <v>886</v>
      </c>
      <c r="D40" s="232">
        <f t="shared" si="5"/>
        <v>35</v>
      </c>
      <c r="E40" s="232" t="s">
        <v>608</v>
      </c>
      <c r="F40" s="234" t="s">
        <v>998</v>
      </c>
      <c r="G40" s="235">
        <v>44995</v>
      </c>
      <c r="H40" s="232" t="s">
        <v>701</v>
      </c>
      <c r="I40" s="232">
        <v>3789</v>
      </c>
      <c r="J40" s="233" t="s">
        <v>736</v>
      </c>
      <c r="K40" s="239"/>
      <c r="L40" s="239"/>
    </row>
    <row r="41" spans="2:12" x14ac:dyDescent="0.25">
      <c r="B41" s="266" t="str">
        <f t="shared" si="1"/>
        <v>2022-2023</v>
      </c>
      <c r="C41" s="232" t="s">
        <v>886</v>
      </c>
      <c r="D41" s="232">
        <f t="shared" si="5"/>
        <v>36</v>
      </c>
      <c r="E41" s="232" t="s">
        <v>608</v>
      </c>
      <c r="F41" s="234" t="s">
        <v>997</v>
      </c>
      <c r="G41" s="235">
        <v>44995</v>
      </c>
      <c r="H41" s="232" t="s">
        <v>701</v>
      </c>
      <c r="I41" s="232">
        <v>1103</v>
      </c>
      <c r="J41" s="233" t="s">
        <v>735</v>
      </c>
      <c r="K41" s="239"/>
      <c r="L41" s="239"/>
    </row>
    <row r="42" spans="2:12" ht="22.5" x14ac:dyDescent="0.25">
      <c r="B42" s="266" t="str">
        <f t="shared" si="1"/>
        <v>2023-2024</v>
      </c>
      <c r="C42" s="232" t="s">
        <v>886</v>
      </c>
      <c r="D42" s="232">
        <f t="shared" si="5"/>
        <v>37</v>
      </c>
      <c r="E42" s="232" t="s">
        <v>752</v>
      </c>
      <c r="F42" s="233" t="s">
        <v>800</v>
      </c>
      <c r="G42" s="235">
        <v>45044</v>
      </c>
      <c r="H42" s="232" t="s">
        <v>751</v>
      </c>
      <c r="I42" s="232">
        <v>0</v>
      </c>
      <c r="J42" s="233" t="s">
        <v>800</v>
      </c>
      <c r="K42" s="239"/>
      <c r="L42" s="239"/>
    </row>
    <row r="43" spans="2:12" x14ac:dyDescent="0.25">
      <c r="B43" s="266" t="str">
        <f t="shared" si="1"/>
        <v>2023-2024</v>
      </c>
      <c r="C43" s="232" t="s">
        <v>886</v>
      </c>
      <c r="D43" s="232">
        <f t="shared" si="5"/>
        <v>38</v>
      </c>
      <c r="E43" s="232" t="s">
        <v>608</v>
      </c>
      <c r="F43" s="234" t="s">
        <v>999</v>
      </c>
      <c r="G43" s="235">
        <v>45044</v>
      </c>
      <c r="H43" s="232" t="s">
        <v>609</v>
      </c>
      <c r="I43" s="232">
        <v>286</v>
      </c>
      <c r="J43" s="233" t="s">
        <v>740</v>
      </c>
      <c r="K43" s="239"/>
      <c r="L43" s="239"/>
    </row>
    <row r="44" spans="2:12" x14ac:dyDescent="0.25">
      <c r="B44" s="266" t="str">
        <f t="shared" si="1"/>
        <v>2023-2024</v>
      </c>
      <c r="C44" s="232" t="s">
        <v>886</v>
      </c>
      <c r="D44" s="232">
        <f t="shared" si="5"/>
        <v>39</v>
      </c>
      <c r="E44" s="232" t="s">
        <v>608</v>
      </c>
      <c r="F44" s="234" t="s">
        <v>1000</v>
      </c>
      <c r="G44" s="235">
        <v>45044</v>
      </c>
      <c r="H44" s="232" t="s">
        <v>609</v>
      </c>
      <c r="I44" s="232">
        <v>3171</v>
      </c>
      <c r="J44" s="233" t="s">
        <v>741</v>
      </c>
      <c r="K44" s="239"/>
      <c r="L44" s="239"/>
    </row>
    <row r="45" spans="2:12" x14ac:dyDescent="0.25">
      <c r="B45" s="266" t="str">
        <f t="shared" si="1"/>
        <v>2023-2024</v>
      </c>
      <c r="C45" s="232" t="s">
        <v>886</v>
      </c>
      <c r="D45" s="232">
        <f t="shared" si="5"/>
        <v>40</v>
      </c>
      <c r="E45" s="232" t="s">
        <v>608</v>
      </c>
      <c r="F45" s="234" t="s">
        <v>1001</v>
      </c>
      <c r="G45" s="235">
        <v>45062</v>
      </c>
      <c r="H45" s="232" t="s">
        <v>609</v>
      </c>
      <c r="I45" s="232">
        <v>131</v>
      </c>
      <c r="J45" s="233" t="s">
        <v>743</v>
      </c>
      <c r="K45" s="239"/>
      <c r="L45" s="239"/>
    </row>
    <row r="46" spans="2:12" ht="22.5" x14ac:dyDescent="0.25">
      <c r="B46" s="266" t="str">
        <f t="shared" si="1"/>
        <v>2023-2024</v>
      </c>
      <c r="C46" s="232" t="s">
        <v>886</v>
      </c>
      <c r="D46" s="232">
        <f t="shared" si="5"/>
        <v>41</v>
      </c>
      <c r="E46" s="232" t="s">
        <v>752</v>
      </c>
      <c r="F46" s="233" t="s">
        <v>754</v>
      </c>
      <c r="G46" s="235">
        <v>45078</v>
      </c>
      <c r="H46" s="232" t="s">
        <v>751</v>
      </c>
      <c r="I46" s="232">
        <v>0</v>
      </c>
      <c r="J46" s="233" t="s">
        <v>754</v>
      </c>
      <c r="K46" s="239"/>
      <c r="L46" s="239"/>
    </row>
    <row r="47" spans="2:12" x14ac:dyDescent="0.25">
      <c r="B47" s="266" t="str">
        <f t="shared" si="1"/>
        <v>2023-2024</v>
      </c>
      <c r="C47" s="232" t="s">
        <v>886</v>
      </c>
      <c r="D47" s="232">
        <f t="shared" si="5"/>
        <v>42</v>
      </c>
      <c r="E47" s="232" t="s">
        <v>608</v>
      </c>
      <c r="F47" s="234" t="s">
        <v>1002</v>
      </c>
      <c r="G47" s="235">
        <v>45078</v>
      </c>
      <c r="H47" s="232" t="s">
        <v>609</v>
      </c>
      <c r="I47" s="232">
        <v>208</v>
      </c>
      <c r="J47" s="233" t="s">
        <v>739</v>
      </c>
      <c r="K47" s="239"/>
      <c r="L47" s="239"/>
    </row>
    <row r="48" spans="2:12" x14ac:dyDescent="0.25">
      <c r="B48" s="266" t="str">
        <f t="shared" si="1"/>
        <v>2023-2024</v>
      </c>
      <c r="C48" s="232" t="s">
        <v>886</v>
      </c>
      <c r="D48" s="232">
        <f t="shared" si="5"/>
        <v>43</v>
      </c>
      <c r="E48" s="232" t="s">
        <v>608</v>
      </c>
      <c r="F48" s="234" t="s">
        <v>1003</v>
      </c>
      <c r="G48" s="235">
        <v>45078</v>
      </c>
      <c r="H48" s="232" t="s">
        <v>609</v>
      </c>
      <c r="I48" s="232">
        <v>3365</v>
      </c>
      <c r="J48" s="233" t="s">
        <v>738</v>
      </c>
      <c r="K48" s="239"/>
      <c r="L48" s="239"/>
    </row>
    <row r="49" spans="2:12" x14ac:dyDescent="0.25">
      <c r="B49" s="266" t="str">
        <f t="shared" si="1"/>
        <v>2023-2024</v>
      </c>
      <c r="C49" s="232" t="s">
        <v>886</v>
      </c>
      <c r="D49" s="232">
        <f t="shared" si="5"/>
        <v>44</v>
      </c>
      <c r="E49" s="232" t="s">
        <v>608</v>
      </c>
      <c r="F49" s="234" t="s">
        <v>1004</v>
      </c>
      <c r="G49" s="235">
        <v>45118</v>
      </c>
      <c r="H49" s="232" t="s">
        <v>609</v>
      </c>
      <c r="I49" s="232">
        <v>178</v>
      </c>
      <c r="J49" s="233" t="s">
        <v>737</v>
      </c>
      <c r="K49" s="239"/>
      <c r="L49" s="239"/>
    </row>
    <row r="50" spans="2:12" x14ac:dyDescent="0.25">
      <c r="B50" s="266" t="str">
        <f t="shared" si="1"/>
        <v>2023-2024</v>
      </c>
      <c r="C50" s="232" t="s">
        <v>886</v>
      </c>
      <c r="D50" s="232">
        <f t="shared" si="5"/>
        <v>45</v>
      </c>
      <c r="E50" s="232" t="s">
        <v>608</v>
      </c>
      <c r="F50" s="234" t="s">
        <v>1005</v>
      </c>
      <c r="G50" s="235">
        <v>45118</v>
      </c>
      <c r="H50" s="232" t="s">
        <v>609</v>
      </c>
      <c r="I50" s="232">
        <v>3031</v>
      </c>
      <c r="J50" s="233" t="s">
        <v>742</v>
      </c>
      <c r="K50" s="239"/>
      <c r="L50" s="239"/>
    </row>
    <row r="51" spans="2:12" x14ac:dyDescent="0.25">
      <c r="B51" s="266" t="str">
        <f t="shared" si="1"/>
        <v>2023-2024</v>
      </c>
      <c r="C51" s="232" t="s">
        <v>886</v>
      </c>
      <c r="D51" s="232">
        <f t="shared" si="5"/>
        <v>46</v>
      </c>
      <c r="E51" s="232" t="s">
        <v>608</v>
      </c>
      <c r="F51" s="234" t="s">
        <v>1006</v>
      </c>
      <c r="G51" s="235">
        <v>45159</v>
      </c>
      <c r="H51" s="232" t="s">
        <v>609</v>
      </c>
      <c r="I51" s="232">
        <v>200</v>
      </c>
      <c r="J51" s="233" t="s">
        <v>756</v>
      </c>
      <c r="K51" s="239"/>
      <c r="L51" s="239"/>
    </row>
    <row r="52" spans="2:12" x14ac:dyDescent="0.25">
      <c r="B52" s="266" t="str">
        <f t="shared" si="1"/>
        <v>2023-2024</v>
      </c>
      <c r="C52" s="232" t="s">
        <v>886</v>
      </c>
      <c r="D52" s="232">
        <f t="shared" si="5"/>
        <v>47</v>
      </c>
      <c r="E52" s="232" t="s">
        <v>608</v>
      </c>
      <c r="F52" s="234" t="s">
        <v>1007</v>
      </c>
      <c r="G52" s="235">
        <v>45159</v>
      </c>
      <c r="H52" s="232" t="s">
        <v>609</v>
      </c>
      <c r="I52" s="232">
        <v>3032</v>
      </c>
      <c r="J52" s="233" t="s">
        <v>755</v>
      </c>
      <c r="K52" s="239"/>
      <c r="L52" s="239"/>
    </row>
    <row r="53" spans="2:12" x14ac:dyDescent="0.25">
      <c r="B53" s="266" t="str">
        <f t="shared" si="1"/>
        <v>2023-2024</v>
      </c>
      <c r="C53" s="232" t="s">
        <v>886</v>
      </c>
      <c r="D53" s="232">
        <f t="shared" si="5"/>
        <v>48</v>
      </c>
      <c r="E53" s="232" t="s">
        <v>608</v>
      </c>
      <c r="F53" s="234" t="s">
        <v>1008</v>
      </c>
      <c r="G53" s="235">
        <v>45191</v>
      </c>
      <c r="H53" s="232" t="s">
        <v>609</v>
      </c>
      <c r="I53" s="232">
        <v>200</v>
      </c>
      <c r="J53" s="233" t="s">
        <v>757</v>
      </c>
      <c r="K53" s="239"/>
      <c r="L53" s="239"/>
    </row>
    <row r="54" spans="2:12" x14ac:dyDescent="0.25">
      <c r="B54" s="266" t="str">
        <f t="shared" si="1"/>
        <v>2023-2024</v>
      </c>
      <c r="C54" s="232" t="s">
        <v>886</v>
      </c>
      <c r="D54" s="232">
        <f t="shared" si="5"/>
        <v>49</v>
      </c>
      <c r="E54" s="232" t="s">
        <v>608</v>
      </c>
      <c r="F54" s="234" t="s">
        <v>1009</v>
      </c>
      <c r="G54" s="235">
        <v>45191</v>
      </c>
      <c r="H54" s="232" t="s">
        <v>609</v>
      </c>
      <c r="I54" s="232">
        <v>3646</v>
      </c>
      <c r="J54" s="233" t="s">
        <v>758</v>
      </c>
      <c r="K54" s="239"/>
      <c r="L54" s="239"/>
    </row>
    <row r="55" spans="2:12" x14ac:dyDescent="0.25">
      <c r="B55" s="266" t="str">
        <f t="shared" si="1"/>
        <v>2023-2024</v>
      </c>
      <c r="C55" s="232" t="s">
        <v>886</v>
      </c>
      <c r="D55" s="232">
        <f t="shared" si="5"/>
        <v>50</v>
      </c>
      <c r="E55" s="232" t="s">
        <v>608</v>
      </c>
      <c r="F55" s="234" t="s">
        <v>1010</v>
      </c>
      <c r="G55" s="235">
        <v>45194</v>
      </c>
      <c r="H55" s="232" t="s">
        <v>753</v>
      </c>
      <c r="I55" s="232">
        <v>126</v>
      </c>
      <c r="J55" s="233" t="s">
        <v>759</v>
      </c>
      <c r="K55" s="239"/>
      <c r="L55" s="239"/>
    </row>
    <row r="56" spans="2:12" ht="22.5" x14ac:dyDescent="0.25">
      <c r="B56" s="266" t="str">
        <f t="shared" si="1"/>
        <v>2023-2024</v>
      </c>
      <c r="C56" s="232" t="s">
        <v>886</v>
      </c>
      <c r="D56" s="232">
        <f t="shared" si="5"/>
        <v>51</v>
      </c>
      <c r="E56" s="232" t="s">
        <v>752</v>
      </c>
      <c r="F56" s="233" t="s">
        <v>760</v>
      </c>
      <c r="G56" s="235">
        <v>45220</v>
      </c>
      <c r="H56" s="232" t="s">
        <v>751</v>
      </c>
      <c r="I56" s="232">
        <v>0</v>
      </c>
      <c r="J56" s="233" t="s">
        <v>760</v>
      </c>
      <c r="K56" s="239"/>
      <c r="L56" s="239"/>
    </row>
    <row r="57" spans="2:12" ht="22.5" x14ac:dyDescent="0.25">
      <c r="B57" s="266" t="str">
        <f t="shared" si="1"/>
        <v>2023-2024</v>
      </c>
      <c r="C57" s="232" t="s">
        <v>886</v>
      </c>
      <c r="D57" s="232">
        <f t="shared" si="5"/>
        <v>52</v>
      </c>
      <c r="E57" s="232" t="s">
        <v>752</v>
      </c>
      <c r="F57" s="233" t="s">
        <v>761</v>
      </c>
      <c r="G57" s="235">
        <v>45220</v>
      </c>
      <c r="H57" s="232" t="s">
        <v>751</v>
      </c>
      <c r="I57" s="232">
        <v>0</v>
      </c>
      <c r="J57" s="233" t="s">
        <v>761</v>
      </c>
      <c r="K57" s="239"/>
      <c r="L57" s="239"/>
    </row>
    <row r="58" spans="2:12" x14ac:dyDescent="0.25">
      <c r="B58" s="266" t="str">
        <f t="shared" si="1"/>
        <v>2023-2024</v>
      </c>
      <c r="C58" s="232" t="s">
        <v>886</v>
      </c>
      <c r="D58" s="232">
        <f t="shared" si="5"/>
        <v>53</v>
      </c>
      <c r="E58" s="232" t="s">
        <v>608</v>
      </c>
      <c r="F58" s="234" t="s">
        <v>1011</v>
      </c>
      <c r="G58" s="235">
        <v>45221</v>
      </c>
      <c r="H58" s="232" t="s">
        <v>609</v>
      </c>
      <c r="I58" s="232">
        <v>200</v>
      </c>
      <c r="J58" s="233" t="s">
        <v>762</v>
      </c>
      <c r="K58" s="239"/>
      <c r="L58" s="239"/>
    </row>
    <row r="59" spans="2:12" x14ac:dyDescent="0.25">
      <c r="B59" s="266" t="str">
        <f t="shared" si="1"/>
        <v>2023-2024</v>
      </c>
      <c r="C59" s="232" t="s">
        <v>886</v>
      </c>
      <c r="D59" s="232">
        <f t="shared" si="5"/>
        <v>54</v>
      </c>
      <c r="E59" s="232" t="s">
        <v>608</v>
      </c>
      <c r="F59" s="234" t="s">
        <v>1012</v>
      </c>
      <c r="G59" s="235">
        <v>45221</v>
      </c>
      <c r="H59" s="232" t="s">
        <v>609</v>
      </c>
      <c r="I59" s="232">
        <v>3644</v>
      </c>
      <c r="J59" s="233" t="s">
        <v>763</v>
      </c>
      <c r="K59" s="239"/>
      <c r="L59" s="239"/>
    </row>
    <row r="60" spans="2:12" x14ac:dyDescent="0.25">
      <c r="B60" s="266" t="str">
        <f t="shared" si="1"/>
        <v>2023-2024</v>
      </c>
      <c r="C60" s="232" t="s">
        <v>886</v>
      </c>
      <c r="D60" s="232">
        <f t="shared" si="5"/>
        <v>55</v>
      </c>
      <c r="E60" s="232" t="s">
        <v>608</v>
      </c>
      <c r="F60" s="234" t="s">
        <v>1013</v>
      </c>
      <c r="G60" s="235">
        <v>45238</v>
      </c>
      <c r="H60" s="232" t="s">
        <v>609</v>
      </c>
      <c r="I60" s="232">
        <v>206</v>
      </c>
      <c r="J60" s="233" t="s">
        <v>764</v>
      </c>
      <c r="K60" s="239"/>
      <c r="L60" s="239"/>
    </row>
    <row r="61" spans="2:12" x14ac:dyDescent="0.25">
      <c r="B61" s="266" t="str">
        <f t="shared" si="1"/>
        <v>2023-2024</v>
      </c>
      <c r="C61" s="232" t="s">
        <v>886</v>
      </c>
      <c r="D61" s="232">
        <f t="shared" si="5"/>
        <v>56</v>
      </c>
      <c r="E61" s="232" t="s">
        <v>608</v>
      </c>
      <c r="F61" s="234" t="s">
        <v>1014</v>
      </c>
      <c r="G61" s="235">
        <v>45238</v>
      </c>
      <c r="H61" s="232" t="s">
        <v>609</v>
      </c>
      <c r="I61" s="232">
        <v>219</v>
      </c>
      <c r="J61" s="233" t="s">
        <v>765</v>
      </c>
      <c r="K61" s="239"/>
      <c r="L61" s="239"/>
    </row>
    <row r="62" spans="2:12" x14ac:dyDescent="0.25">
      <c r="B62" s="266" t="str">
        <f t="shared" si="1"/>
        <v>2023-2024</v>
      </c>
      <c r="C62" s="232" t="s">
        <v>886</v>
      </c>
      <c r="D62" s="232">
        <f t="shared" si="5"/>
        <v>57</v>
      </c>
      <c r="E62" s="232" t="s">
        <v>608</v>
      </c>
      <c r="F62" s="234" t="s">
        <v>1015</v>
      </c>
      <c r="G62" s="235">
        <v>45259</v>
      </c>
      <c r="H62" s="232" t="s">
        <v>609</v>
      </c>
      <c r="I62" s="232">
        <v>200</v>
      </c>
      <c r="J62" s="233" t="s">
        <v>766</v>
      </c>
      <c r="K62" s="239"/>
      <c r="L62" s="239"/>
    </row>
    <row r="63" spans="2:12" x14ac:dyDescent="0.25">
      <c r="B63" s="266" t="str">
        <f t="shared" si="1"/>
        <v>2023-2024</v>
      </c>
      <c r="C63" s="232" t="s">
        <v>886</v>
      </c>
      <c r="D63" s="232">
        <f t="shared" si="5"/>
        <v>58</v>
      </c>
      <c r="E63" s="232" t="s">
        <v>608</v>
      </c>
      <c r="F63" s="234" t="s">
        <v>1016</v>
      </c>
      <c r="G63" s="235">
        <v>45260</v>
      </c>
      <c r="H63" s="232" t="s">
        <v>609</v>
      </c>
      <c r="I63" s="232">
        <v>3470</v>
      </c>
      <c r="J63" s="233" t="s">
        <v>767</v>
      </c>
      <c r="K63" s="239"/>
      <c r="L63" s="239"/>
    </row>
    <row r="64" spans="2:12" x14ac:dyDescent="0.25">
      <c r="B64" s="266" t="str">
        <f t="shared" si="1"/>
        <v>2023-2024</v>
      </c>
      <c r="C64" s="232" t="s">
        <v>886</v>
      </c>
      <c r="D64" s="232">
        <f t="shared" si="5"/>
        <v>59</v>
      </c>
      <c r="E64" s="232" t="s">
        <v>608</v>
      </c>
      <c r="F64" s="234" t="s">
        <v>1017</v>
      </c>
      <c r="G64" s="235">
        <v>45290</v>
      </c>
      <c r="H64" s="232" t="s">
        <v>609</v>
      </c>
      <c r="I64" s="232">
        <v>200</v>
      </c>
      <c r="J64" s="233" t="s">
        <v>768</v>
      </c>
      <c r="K64" s="239"/>
      <c r="L64" s="239"/>
    </row>
    <row r="65" spans="2:12" x14ac:dyDescent="0.25">
      <c r="B65" s="266" t="str">
        <f t="shared" si="1"/>
        <v>2023-2024</v>
      </c>
      <c r="C65" s="232" t="s">
        <v>886</v>
      </c>
      <c r="D65" s="232">
        <f t="shared" si="5"/>
        <v>60</v>
      </c>
      <c r="E65" s="232" t="s">
        <v>608</v>
      </c>
      <c r="F65" s="234" t="s">
        <v>1018</v>
      </c>
      <c r="G65" s="235">
        <v>45290</v>
      </c>
      <c r="H65" s="232" t="s">
        <v>609</v>
      </c>
      <c r="I65" s="232">
        <v>3828</v>
      </c>
      <c r="J65" s="233" t="s">
        <v>769</v>
      </c>
      <c r="K65" s="239"/>
      <c r="L65" s="239"/>
    </row>
    <row r="66" spans="2:12" x14ac:dyDescent="0.25">
      <c r="B66" s="266" t="str">
        <f t="shared" si="1"/>
        <v>2023-2024</v>
      </c>
      <c r="C66" s="232" t="s">
        <v>886</v>
      </c>
      <c r="D66" s="232">
        <f t="shared" si="5"/>
        <v>61</v>
      </c>
      <c r="E66" s="232" t="s">
        <v>608</v>
      </c>
      <c r="F66" s="234" t="s">
        <v>1019</v>
      </c>
      <c r="G66" s="235">
        <v>45324</v>
      </c>
      <c r="H66" s="232" t="s">
        <v>609</v>
      </c>
      <c r="I66" s="232">
        <v>200</v>
      </c>
      <c r="J66" s="233" t="s">
        <v>895</v>
      </c>
      <c r="K66" s="239"/>
      <c r="L66" s="239"/>
    </row>
    <row r="67" spans="2:12" x14ac:dyDescent="0.25">
      <c r="B67" s="266" t="str">
        <f t="shared" si="1"/>
        <v>2023-2024</v>
      </c>
      <c r="C67" s="232" t="s">
        <v>886</v>
      </c>
      <c r="D67" s="232">
        <f t="shared" si="5"/>
        <v>62</v>
      </c>
      <c r="E67" s="232" t="s">
        <v>608</v>
      </c>
      <c r="F67" s="234" t="s">
        <v>1020</v>
      </c>
      <c r="G67" s="235">
        <v>45324</v>
      </c>
      <c r="H67" s="232" t="s">
        <v>609</v>
      </c>
      <c r="I67" s="232">
        <v>3573</v>
      </c>
      <c r="J67" s="233" t="s">
        <v>894</v>
      </c>
      <c r="K67" s="239"/>
      <c r="L67" s="239"/>
    </row>
    <row r="68" spans="2:12" x14ac:dyDescent="0.25">
      <c r="B68" s="266" t="str">
        <f t="shared" si="1"/>
        <v>2023-2024</v>
      </c>
      <c r="C68" s="232" t="s">
        <v>886</v>
      </c>
      <c r="D68" s="232">
        <f t="shared" si="5"/>
        <v>63</v>
      </c>
      <c r="E68" s="232" t="s">
        <v>608</v>
      </c>
      <c r="F68" s="234" t="s">
        <v>1021</v>
      </c>
      <c r="G68" s="235">
        <v>45344</v>
      </c>
      <c r="H68" s="232" t="s">
        <v>888</v>
      </c>
      <c r="I68" s="232">
        <v>518</v>
      </c>
      <c r="J68" s="233" t="s">
        <v>893</v>
      </c>
      <c r="K68" s="239"/>
      <c r="L68" s="239"/>
    </row>
    <row r="69" spans="2:12" x14ac:dyDescent="0.25">
      <c r="B69" s="266" t="str">
        <f t="shared" si="1"/>
        <v>2023-2024</v>
      </c>
      <c r="C69" s="232" t="s">
        <v>886</v>
      </c>
      <c r="D69" s="232">
        <f t="shared" si="5"/>
        <v>64</v>
      </c>
      <c r="E69" s="232" t="s">
        <v>859</v>
      </c>
      <c r="F69" s="233" t="s">
        <v>893</v>
      </c>
      <c r="G69" s="235">
        <v>45345</v>
      </c>
      <c r="H69" s="232" t="s">
        <v>887</v>
      </c>
      <c r="I69" s="232">
        <v>3744</v>
      </c>
      <c r="J69" s="233" t="s">
        <v>893</v>
      </c>
      <c r="K69" s="239"/>
      <c r="L69" s="239"/>
    </row>
    <row r="70" spans="2:12" x14ac:dyDescent="0.25">
      <c r="B70" s="266" t="str">
        <f t="shared" si="1"/>
        <v>2023-2024</v>
      </c>
      <c r="C70" s="232" t="s">
        <v>886</v>
      </c>
      <c r="D70" s="232">
        <f t="shared" ref="D70:D101" si="6">ROW()-5</f>
        <v>65</v>
      </c>
      <c r="E70" s="232" t="s">
        <v>859</v>
      </c>
      <c r="F70" s="233" t="s">
        <v>892</v>
      </c>
      <c r="G70" s="235">
        <v>45359</v>
      </c>
      <c r="H70" s="232" t="s">
        <v>887</v>
      </c>
      <c r="I70" s="232">
        <v>350</v>
      </c>
      <c r="J70" s="233" t="s">
        <v>892</v>
      </c>
      <c r="K70" s="239"/>
      <c r="L70" s="239"/>
    </row>
    <row r="71" spans="2:12" x14ac:dyDescent="0.25">
      <c r="B71" s="266" t="str">
        <f t="shared" ref="B71:B132" si="7">IF(MONTH(G71)&lt;4, YEAR(G71)-1 &amp; "-" &amp; YEAR(G71), YEAR(G71) &amp; "-" &amp; YEAR(G71)+1)</f>
        <v>2023-2024</v>
      </c>
      <c r="C71" s="232" t="s">
        <v>886</v>
      </c>
      <c r="D71" s="232">
        <f t="shared" si="6"/>
        <v>66</v>
      </c>
      <c r="E71" s="232" t="s">
        <v>608</v>
      </c>
      <c r="F71" s="234" t="s">
        <v>1022</v>
      </c>
      <c r="G71" s="235">
        <v>45360</v>
      </c>
      <c r="H71" s="232" t="s">
        <v>609</v>
      </c>
      <c r="I71" s="232">
        <v>375</v>
      </c>
      <c r="J71" s="233" t="s">
        <v>891</v>
      </c>
      <c r="K71" s="239"/>
      <c r="L71" s="239"/>
    </row>
    <row r="72" spans="2:12" x14ac:dyDescent="0.25">
      <c r="B72" s="266" t="str">
        <f t="shared" si="7"/>
        <v>2023-2024</v>
      </c>
      <c r="C72" s="232" t="s">
        <v>886</v>
      </c>
      <c r="D72" s="232">
        <f t="shared" si="6"/>
        <v>67</v>
      </c>
      <c r="E72" s="232" t="s">
        <v>608</v>
      </c>
      <c r="F72" s="234" t="s">
        <v>1023</v>
      </c>
      <c r="G72" s="235">
        <v>45363</v>
      </c>
      <c r="H72" s="232" t="s">
        <v>609</v>
      </c>
      <c r="I72" s="232">
        <v>3181</v>
      </c>
      <c r="J72" s="233" t="s">
        <v>890</v>
      </c>
      <c r="K72" s="239"/>
      <c r="L72" s="239"/>
    </row>
    <row r="73" spans="2:12" x14ac:dyDescent="0.25">
      <c r="B73" s="266" t="str">
        <f t="shared" si="7"/>
        <v>2023-2024</v>
      </c>
      <c r="C73" s="232" t="s">
        <v>886</v>
      </c>
      <c r="D73" s="232">
        <f t="shared" si="6"/>
        <v>68</v>
      </c>
      <c r="E73" s="232" t="s">
        <v>608</v>
      </c>
      <c r="F73" s="234" t="s">
        <v>1024</v>
      </c>
      <c r="G73" s="235">
        <v>45374</v>
      </c>
      <c r="H73" s="232" t="s">
        <v>888</v>
      </c>
      <c r="I73" s="232">
        <v>208</v>
      </c>
      <c r="J73" s="233" t="s">
        <v>889</v>
      </c>
      <c r="K73" s="239"/>
      <c r="L73" s="239"/>
    </row>
    <row r="74" spans="2:12" x14ac:dyDescent="0.25">
      <c r="B74" s="266" t="str">
        <f t="shared" si="7"/>
        <v>2023-2024</v>
      </c>
      <c r="C74" s="232" t="s">
        <v>886</v>
      </c>
      <c r="D74" s="232">
        <f t="shared" si="6"/>
        <v>69</v>
      </c>
      <c r="E74" s="232" t="s">
        <v>859</v>
      </c>
      <c r="F74" s="233" t="s">
        <v>889</v>
      </c>
      <c r="G74" s="235">
        <v>45374</v>
      </c>
      <c r="H74" s="232" t="s">
        <v>887</v>
      </c>
      <c r="I74" s="232">
        <v>900</v>
      </c>
      <c r="J74" s="233" t="s">
        <v>889</v>
      </c>
      <c r="K74" s="239"/>
      <c r="L74" s="239"/>
    </row>
    <row r="75" spans="2:12" x14ac:dyDescent="0.25">
      <c r="B75" s="266" t="str">
        <f t="shared" si="7"/>
        <v>2024-2025</v>
      </c>
      <c r="C75" s="232" t="s">
        <v>886</v>
      </c>
      <c r="D75" s="232">
        <f t="shared" si="6"/>
        <v>70</v>
      </c>
      <c r="E75" s="232" t="s">
        <v>608</v>
      </c>
      <c r="F75" s="234" t="s">
        <v>1025</v>
      </c>
      <c r="G75" s="235">
        <v>45405</v>
      </c>
      <c r="H75" s="232" t="s">
        <v>609</v>
      </c>
      <c r="I75" s="232">
        <v>3596</v>
      </c>
      <c r="J75" s="233" t="s">
        <v>803</v>
      </c>
      <c r="K75" s="239"/>
      <c r="L75" s="239"/>
    </row>
    <row r="76" spans="2:12" x14ac:dyDescent="0.25">
      <c r="B76" s="266" t="str">
        <f t="shared" si="7"/>
        <v>2024-2025</v>
      </c>
      <c r="C76" s="232" t="s">
        <v>886</v>
      </c>
      <c r="D76" s="232">
        <f t="shared" si="6"/>
        <v>71</v>
      </c>
      <c r="E76" s="232" t="s">
        <v>608</v>
      </c>
      <c r="F76" s="234" t="s">
        <v>1026</v>
      </c>
      <c r="G76" s="235">
        <v>45495</v>
      </c>
      <c r="H76" s="232" t="s">
        <v>609</v>
      </c>
      <c r="I76" s="232">
        <v>103</v>
      </c>
      <c r="J76" s="233" t="s">
        <v>801</v>
      </c>
      <c r="K76" s="239"/>
      <c r="L76" s="239"/>
    </row>
    <row r="77" spans="2:12" x14ac:dyDescent="0.25">
      <c r="B77" s="266" t="str">
        <f t="shared" si="7"/>
        <v>2024-2025</v>
      </c>
      <c r="C77" s="232" t="s">
        <v>886</v>
      </c>
      <c r="D77" s="232">
        <f t="shared" si="6"/>
        <v>72</v>
      </c>
      <c r="E77" s="232" t="s">
        <v>608</v>
      </c>
      <c r="F77" s="234" t="s">
        <v>1027</v>
      </c>
      <c r="G77" s="235">
        <v>45495</v>
      </c>
      <c r="H77" s="232" t="s">
        <v>609</v>
      </c>
      <c r="I77" s="232">
        <v>1709</v>
      </c>
      <c r="J77" s="233" t="s">
        <v>802</v>
      </c>
      <c r="K77" s="239"/>
      <c r="L77" s="239"/>
    </row>
    <row r="78" spans="2:12" x14ac:dyDescent="0.25">
      <c r="B78" s="266" t="str">
        <f t="shared" si="7"/>
        <v>2024-2025</v>
      </c>
      <c r="C78" s="232" t="s">
        <v>886</v>
      </c>
      <c r="D78" s="232">
        <f t="shared" si="6"/>
        <v>73</v>
      </c>
      <c r="E78" s="232" t="s">
        <v>608</v>
      </c>
      <c r="F78" s="234" t="s">
        <v>1028</v>
      </c>
      <c r="G78" s="235">
        <v>45662</v>
      </c>
      <c r="H78" s="232" t="s">
        <v>609</v>
      </c>
      <c r="I78" s="232">
        <v>121</v>
      </c>
      <c r="J78" s="233" t="s">
        <v>814</v>
      </c>
      <c r="K78" s="239"/>
      <c r="L78" s="239"/>
    </row>
    <row r="79" spans="2:12" x14ac:dyDescent="0.25">
      <c r="B79" s="266" t="str">
        <f t="shared" si="7"/>
        <v>2024-2025</v>
      </c>
      <c r="C79" s="232" t="s">
        <v>886</v>
      </c>
      <c r="D79" s="232">
        <f t="shared" si="6"/>
        <v>74</v>
      </c>
      <c r="E79" s="232" t="s">
        <v>608</v>
      </c>
      <c r="F79" s="234" t="s">
        <v>1029</v>
      </c>
      <c r="G79" s="235">
        <v>45662</v>
      </c>
      <c r="H79" s="232" t="s">
        <v>609</v>
      </c>
      <c r="I79" s="232">
        <v>183</v>
      </c>
      <c r="J79" s="233" t="s">
        <v>812</v>
      </c>
      <c r="K79" s="239"/>
      <c r="L79" s="239"/>
    </row>
    <row r="80" spans="2:12" x14ac:dyDescent="0.25">
      <c r="B80" s="266" t="str">
        <f t="shared" si="7"/>
        <v>2024-2025</v>
      </c>
      <c r="C80" s="232" t="s">
        <v>886</v>
      </c>
      <c r="D80" s="232">
        <f t="shared" si="6"/>
        <v>75</v>
      </c>
      <c r="E80" s="232" t="s">
        <v>608</v>
      </c>
      <c r="F80" s="234" t="s">
        <v>1030</v>
      </c>
      <c r="G80" s="235">
        <v>45662</v>
      </c>
      <c r="H80" s="232" t="s">
        <v>609</v>
      </c>
      <c r="I80" s="232">
        <v>2141</v>
      </c>
      <c r="J80" s="233" t="s">
        <v>813</v>
      </c>
      <c r="K80" s="239"/>
      <c r="L80" s="239"/>
    </row>
    <row r="81" spans="2:12" ht="22.5" x14ac:dyDescent="0.25">
      <c r="B81" s="266" t="str">
        <f t="shared" si="7"/>
        <v>2024-2025</v>
      </c>
      <c r="C81" s="232" t="s">
        <v>886</v>
      </c>
      <c r="D81" s="232">
        <f t="shared" si="6"/>
        <v>76</v>
      </c>
      <c r="E81" s="232" t="s">
        <v>752</v>
      </c>
      <c r="F81" s="233" t="s">
        <v>856</v>
      </c>
      <c r="G81" s="235">
        <v>45680</v>
      </c>
      <c r="H81" s="232" t="s">
        <v>751</v>
      </c>
      <c r="I81" s="232">
        <v>0</v>
      </c>
      <c r="J81" s="233" t="s">
        <v>856</v>
      </c>
      <c r="K81" s="239"/>
      <c r="L81" s="239"/>
    </row>
    <row r="82" spans="2:12" ht="22.5" x14ac:dyDescent="0.25">
      <c r="B82" s="266" t="str">
        <f t="shared" si="7"/>
        <v>2024-2025</v>
      </c>
      <c r="C82" s="232" t="s">
        <v>886</v>
      </c>
      <c r="D82" s="232">
        <f t="shared" si="6"/>
        <v>77</v>
      </c>
      <c r="E82" s="232" t="s">
        <v>752</v>
      </c>
      <c r="F82" s="233" t="s">
        <v>857</v>
      </c>
      <c r="G82" s="235">
        <v>45680</v>
      </c>
      <c r="H82" s="232" t="s">
        <v>751</v>
      </c>
      <c r="I82" s="232">
        <v>0</v>
      </c>
      <c r="J82" s="233" t="s">
        <v>857</v>
      </c>
      <c r="K82" s="239"/>
      <c r="L82" s="239"/>
    </row>
    <row r="83" spans="2:12" x14ac:dyDescent="0.25">
      <c r="B83" s="266" t="str">
        <f t="shared" si="7"/>
        <v>2024-2025</v>
      </c>
      <c r="C83" s="232" t="s">
        <v>886</v>
      </c>
      <c r="D83" s="232">
        <f t="shared" si="6"/>
        <v>78</v>
      </c>
      <c r="E83" s="232" t="s">
        <v>608</v>
      </c>
      <c r="F83" s="234" t="s">
        <v>1031</v>
      </c>
      <c r="G83" s="235">
        <v>45680</v>
      </c>
      <c r="H83" s="232" t="s">
        <v>849</v>
      </c>
      <c r="I83" s="232">
        <v>1382</v>
      </c>
      <c r="J83" s="233" t="s">
        <v>855</v>
      </c>
      <c r="K83" s="239"/>
      <c r="L83" s="239"/>
    </row>
    <row r="84" spans="2:12" x14ac:dyDescent="0.25">
      <c r="B84" s="266" t="str">
        <f t="shared" si="7"/>
        <v>2024-2025</v>
      </c>
      <c r="C84" s="232" t="s">
        <v>886</v>
      </c>
      <c r="D84" s="232">
        <f t="shared" si="6"/>
        <v>79</v>
      </c>
      <c r="E84" s="232" t="s">
        <v>608</v>
      </c>
      <c r="F84" s="234" t="s">
        <v>1032</v>
      </c>
      <c r="G84" s="235">
        <v>45680</v>
      </c>
      <c r="H84" s="232" t="s">
        <v>849</v>
      </c>
      <c r="I84" s="232">
        <v>1486</v>
      </c>
      <c r="J84" s="233" t="s">
        <v>858</v>
      </c>
      <c r="K84" s="239"/>
      <c r="L84" s="239"/>
    </row>
    <row r="85" spans="2:12" x14ac:dyDescent="0.25">
      <c r="B85" s="266" t="str">
        <f t="shared" si="7"/>
        <v>2024-2025</v>
      </c>
      <c r="C85" s="232" t="s">
        <v>886</v>
      </c>
      <c r="D85" s="232">
        <f t="shared" si="6"/>
        <v>80</v>
      </c>
      <c r="E85" s="232" t="s">
        <v>608</v>
      </c>
      <c r="F85" s="234" t="s">
        <v>1033</v>
      </c>
      <c r="G85" s="235">
        <v>45680</v>
      </c>
      <c r="H85" s="232" t="s">
        <v>849</v>
      </c>
      <c r="I85" s="232">
        <v>2123</v>
      </c>
      <c r="J85" s="233" t="s">
        <v>854</v>
      </c>
      <c r="K85" s="239"/>
      <c r="L85" s="239"/>
    </row>
    <row r="86" spans="2:12" x14ac:dyDescent="0.25">
      <c r="B86" s="266" t="str">
        <f t="shared" si="7"/>
        <v>2024-2025</v>
      </c>
      <c r="C86" s="232" t="s">
        <v>886</v>
      </c>
      <c r="D86" s="232">
        <f t="shared" si="6"/>
        <v>81</v>
      </c>
      <c r="E86" s="232" t="s">
        <v>608</v>
      </c>
      <c r="F86" s="234" t="s">
        <v>1034</v>
      </c>
      <c r="G86" s="235">
        <v>45695</v>
      </c>
      <c r="H86" s="232" t="s">
        <v>609</v>
      </c>
      <c r="I86" s="232">
        <v>560</v>
      </c>
      <c r="J86" s="233" t="s">
        <v>852</v>
      </c>
      <c r="K86" s="239"/>
      <c r="L86" s="239"/>
    </row>
    <row r="87" spans="2:12" x14ac:dyDescent="0.25">
      <c r="B87" s="266" t="str">
        <f t="shared" si="7"/>
        <v>2024-2025</v>
      </c>
      <c r="C87" s="232" t="s">
        <v>886</v>
      </c>
      <c r="D87" s="232">
        <f t="shared" si="6"/>
        <v>82</v>
      </c>
      <c r="E87" s="232" t="s">
        <v>608</v>
      </c>
      <c r="F87" s="234" t="s">
        <v>1035</v>
      </c>
      <c r="G87" s="235">
        <v>45695</v>
      </c>
      <c r="H87" s="232" t="s">
        <v>609</v>
      </c>
      <c r="I87" s="232">
        <v>2964</v>
      </c>
      <c r="J87" s="233" t="s">
        <v>853</v>
      </c>
      <c r="K87" s="239"/>
      <c r="L87" s="239"/>
    </row>
    <row r="88" spans="2:12" x14ac:dyDescent="0.25">
      <c r="B88" s="266" t="str">
        <f t="shared" si="7"/>
        <v>2024-2025</v>
      </c>
      <c r="C88" s="232" t="s">
        <v>886</v>
      </c>
      <c r="D88" s="232">
        <f t="shared" si="6"/>
        <v>83</v>
      </c>
      <c r="E88" s="232" t="s">
        <v>608</v>
      </c>
      <c r="F88" s="234" t="s">
        <v>1036</v>
      </c>
      <c r="G88" s="235">
        <v>45738</v>
      </c>
      <c r="H88" s="232" t="s">
        <v>609</v>
      </c>
      <c r="I88" s="232">
        <v>438</v>
      </c>
      <c r="J88" s="233" t="s">
        <v>850</v>
      </c>
      <c r="K88" s="239"/>
      <c r="L88" s="239"/>
    </row>
    <row r="89" spans="2:12" x14ac:dyDescent="0.25">
      <c r="B89" s="266" t="str">
        <f t="shared" si="7"/>
        <v>2024-2025</v>
      </c>
      <c r="C89" s="232" t="s">
        <v>886</v>
      </c>
      <c r="D89" s="232">
        <f t="shared" si="6"/>
        <v>84</v>
      </c>
      <c r="E89" s="232" t="s">
        <v>608</v>
      </c>
      <c r="F89" s="234" t="s">
        <v>1037</v>
      </c>
      <c r="G89" s="235">
        <v>45738</v>
      </c>
      <c r="H89" s="232" t="s">
        <v>609</v>
      </c>
      <c r="I89" s="232">
        <v>2619</v>
      </c>
      <c r="J89" s="233" t="s">
        <v>851</v>
      </c>
      <c r="K89" s="239"/>
      <c r="L89" s="239"/>
    </row>
    <row r="90" spans="2:12" ht="22.5" x14ac:dyDescent="0.25">
      <c r="B90" s="266" t="str">
        <f t="shared" si="7"/>
        <v>2025-2026</v>
      </c>
      <c r="C90" s="232" t="s">
        <v>886</v>
      </c>
      <c r="D90" s="232">
        <f t="shared" si="6"/>
        <v>85</v>
      </c>
      <c r="E90" s="232" t="s">
        <v>752</v>
      </c>
      <c r="F90" s="233" t="s">
        <v>882</v>
      </c>
      <c r="G90" s="235">
        <v>45821</v>
      </c>
      <c r="H90" s="232" t="s">
        <v>751</v>
      </c>
      <c r="I90" s="232">
        <v>0</v>
      </c>
      <c r="J90" s="233" t="s">
        <v>882</v>
      </c>
      <c r="K90" s="239"/>
      <c r="L90" s="239"/>
    </row>
    <row r="91" spans="2:12" ht="22.5" x14ac:dyDescent="0.25">
      <c r="B91" s="266" t="str">
        <f t="shared" si="7"/>
        <v>2025-2026</v>
      </c>
      <c r="C91" s="232" t="s">
        <v>886</v>
      </c>
      <c r="D91" s="232">
        <f t="shared" si="6"/>
        <v>86</v>
      </c>
      <c r="E91" s="232" t="s">
        <v>752</v>
      </c>
      <c r="F91" s="233" t="s">
        <v>883</v>
      </c>
      <c r="G91" s="235">
        <v>45821</v>
      </c>
      <c r="H91" s="232" t="s">
        <v>751</v>
      </c>
      <c r="I91" s="232">
        <v>0</v>
      </c>
      <c r="J91" s="233" t="s">
        <v>883</v>
      </c>
      <c r="K91" s="239"/>
      <c r="L91" s="239"/>
    </row>
    <row r="92" spans="2:12" x14ac:dyDescent="0.25">
      <c r="B92" s="266" t="str">
        <f t="shared" si="7"/>
        <v>2025-2026</v>
      </c>
      <c r="C92" s="232" t="s">
        <v>886</v>
      </c>
      <c r="D92" s="232">
        <f t="shared" si="6"/>
        <v>87</v>
      </c>
      <c r="E92" s="232" t="s">
        <v>608</v>
      </c>
      <c r="F92" s="234" t="s">
        <v>952</v>
      </c>
      <c r="G92" s="235">
        <v>45821</v>
      </c>
      <c r="H92" s="232" t="s">
        <v>861</v>
      </c>
      <c r="I92" s="232">
        <v>764</v>
      </c>
      <c r="J92" s="233" t="s">
        <v>884</v>
      </c>
      <c r="K92" s="239"/>
      <c r="L92" s="239"/>
    </row>
    <row r="93" spans="2:12" x14ac:dyDescent="0.25">
      <c r="B93" s="266" t="str">
        <f t="shared" si="7"/>
        <v>2025-2026</v>
      </c>
      <c r="C93" s="232" t="s">
        <v>886</v>
      </c>
      <c r="D93" s="232">
        <f t="shared" si="6"/>
        <v>88</v>
      </c>
      <c r="E93" s="232" t="s">
        <v>608</v>
      </c>
      <c r="F93" s="234" t="s">
        <v>954</v>
      </c>
      <c r="G93" s="235">
        <v>45821</v>
      </c>
      <c r="H93" s="232" t="s">
        <v>861</v>
      </c>
      <c r="I93" s="232">
        <v>2350</v>
      </c>
      <c r="J93" s="233" t="s">
        <v>880</v>
      </c>
      <c r="K93" s="239"/>
      <c r="L93" s="239"/>
    </row>
    <row r="94" spans="2:12" x14ac:dyDescent="0.25">
      <c r="B94" s="266" t="str">
        <f t="shared" si="7"/>
        <v>2025-2026</v>
      </c>
      <c r="C94" s="232" t="s">
        <v>886</v>
      </c>
      <c r="D94" s="232">
        <f t="shared" si="6"/>
        <v>89</v>
      </c>
      <c r="E94" s="232" t="s">
        <v>608</v>
      </c>
      <c r="F94" s="234" t="s">
        <v>953</v>
      </c>
      <c r="G94" s="235">
        <v>45821</v>
      </c>
      <c r="H94" s="232" t="s">
        <v>861</v>
      </c>
      <c r="I94" s="232">
        <v>5608</v>
      </c>
      <c r="J94" s="233" t="s">
        <v>881</v>
      </c>
      <c r="K94" s="239"/>
      <c r="L94" s="239"/>
    </row>
    <row r="95" spans="2:12" x14ac:dyDescent="0.25">
      <c r="B95" s="266" t="str">
        <f t="shared" si="7"/>
        <v>2025-2026</v>
      </c>
      <c r="C95" s="232" t="s">
        <v>886</v>
      </c>
      <c r="D95" s="232">
        <f t="shared" si="6"/>
        <v>90</v>
      </c>
      <c r="E95" s="232" t="s">
        <v>859</v>
      </c>
      <c r="F95" s="233" t="s">
        <v>878</v>
      </c>
      <c r="G95" s="235">
        <v>45824</v>
      </c>
      <c r="H95" s="232" t="s">
        <v>860</v>
      </c>
      <c r="I95" s="232">
        <v>350</v>
      </c>
      <c r="J95" s="233" t="s">
        <v>878</v>
      </c>
      <c r="K95" s="239"/>
      <c r="L95" s="239"/>
    </row>
    <row r="96" spans="2:12" x14ac:dyDescent="0.25">
      <c r="B96" s="266" t="str">
        <f t="shared" si="7"/>
        <v>2025-2026</v>
      </c>
      <c r="C96" s="232" t="s">
        <v>886</v>
      </c>
      <c r="D96" s="232">
        <f t="shared" si="6"/>
        <v>91</v>
      </c>
      <c r="E96" s="232" t="s">
        <v>859</v>
      </c>
      <c r="F96" s="233" t="s">
        <v>876</v>
      </c>
      <c r="G96" s="235">
        <v>45824</v>
      </c>
      <c r="H96" s="232" t="s">
        <v>860</v>
      </c>
      <c r="I96" s="232">
        <v>609</v>
      </c>
      <c r="J96" s="233" t="s">
        <v>876</v>
      </c>
      <c r="K96" s="239"/>
      <c r="L96" s="239"/>
    </row>
    <row r="97" spans="2:12" x14ac:dyDescent="0.25">
      <c r="B97" s="266" t="str">
        <f t="shared" si="7"/>
        <v>2025-2026</v>
      </c>
      <c r="C97" s="232" t="s">
        <v>886</v>
      </c>
      <c r="D97" s="232">
        <f t="shared" si="6"/>
        <v>92</v>
      </c>
      <c r="E97" s="232" t="s">
        <v>859</v>
      </c>
      <c r="F97" s="233" t="s">
        <v>879</v>
      </c>
      <c r="G97" s="235">
        <v>45824</v>
      </c>
      <c r="H97" s="232" t="s">
        <v>860</v>
      </c>
      <c r="I97" s="232">
        <v>2666</v>
      </c>
      <c r="J97" s="233" t="s">
        <v>879</v>
      </c>
      <c r="K97" s="239"/>
      <c r="L97" s="239"/>
    </row>
    <row r="98" spans="2:12" x14ac:dyDescent="0.25">
      <c r="B98" s="266" t="str">
        <f t="shared" si="7"/>
        <v>2025-2026</v>
      </c>
      <c r="C98" s="232" t="s">
        <v>886</v>
      </c>
      <c r="D98" s="232">
        <f t="shared" si="6"/>
        <v>93</v>
      </c>
      <c r="E98" s="232" t="s">
        <v>859</v>
      </c>
      <c r="F98" s="233" t="s">
        <v>877</v>
      </c>
      <c r="G98" s="235">
        <v>45824</v>
      </c>
      <c r="H98" s="232" t="s">
        <v>860</v>
      </c>
      <c r="I98" s="232">
        <v>5662</v>
      </c>
      <c r="J98" s="233" t="s">
        <v>877</v>
      </c>
      <c r="K98" s="239"/>
      <c r="L98" s="239"/>
    </row>
    <row r="99" spans="2:12" x14ac:dyDescent="0.25">
      <c r="B99" s="266" t="str">
        <f t="shared" si="7"/>
        <v>2025-2026</v>
      </c>
      <c r="C99" s="232" t="s">
        <v>886</v>
      </c>
      <c r="D99" s="232">
        <f t="shared" si="6"/>
        <v>94</v>
      </c>
      <c r="E99" s="232" t="s">
        <v>608</v>
      </c>
      <c r="F99" s="234" t="s">
        <v>950</v>
      </c>
      <c r="G99" s="235">
        <v>45829</v>
      </c>
      <c r="H99" s="232" t="s">
        <v>861</v>
      </c>
      <c r="I99" s="232">
        <v>178</v>
      </c>
      <c r="J99" s="233" t="s">
        <v>874</v>
      </c>
      <c r="K99" s="239"/>
      <c r="L99" s="239"/>
    </row>
    <row r="100" spans="2:12" x14ac:dyDescent="0.25">
      <c r="B100" s="266" t="str">
        <f t="shared" si="7"/>
        <v>2025-2026</v>
      </c>
      <c r="C100" s="232" t="s">
        <v>886</v>
      </c>
      <c r="D100" s="232">
        <f t="shared" si="6"/>
        <v>95</v>
      </c>
      <c r="E100" s="232" t="s">
        <v>608</v>
      </c>
      <c r="F100" s="234" t="s">
        <v>951</v>
      </c>
      <c r="G100" s="235">
        <v>45829</v>
      </c>
      <c r="H100" s="232" t="s">
        <v>861</v>
      </c>
      <c r="I100" s="232">
        <v>2518</v>
      </c>
      <c r="J100" s="233" t="s">
        <v>875</v>
      </c>
      <c r="K100" s="239"/>
      <c r="L100" s="239"/>
    </row>
    <row r="101" spans="2:12" x14ac:dyDescent="0.25">
      <c r="B101" s="266" t="str">
        <f t="shared" si="7"/>
        <v>2025-2026</v>
      </c>
      <c r="C101" s="232" t="s">
        <v>886</v>
      </c>
      <c r="D101" s="232">
        <f t="shared" si="6"/>
        <v>96</v>
      </c>
      <c r="E101" s="232" t="s">
        <v>859</v>
      </c>
      <c r="F101" s="233" t="s">
        <v>872</v>
      </c>
      <c r="G101" s="235">
        <v>45832</v>
      </c>
      <c r="H101" s="232" t="s">
        <v>860</v>
      </c>
      <c r="I101" s="232">
        <v>350</v>
      </c>
      <c r="J101" s="233" t="s">
        <v>872</v>
      </c>
      <c r="K101" s="239"/>
      <c r="L101" s="239"/>
    </row>
    <row r="102" spans="2:12" x14ac:dyDescent="0.25">
      <c r="B102" s="266" t="str">
        <f t="shared" si="7"/>
        <v>2025-2026</v>
      </c>
      <c r="C102" s="232" t="s">
        <v>886</v>
      </c>
      <c r="D102" s="232">
        <f t="shared" ref="D102:D132" si="8">ROW()-5</f>
        <v>97</v>
      </c>
      <c r="E102" s="232" t="s">
        <v>859</v>
      </c>
      <c r="F102" s="233" t="s">
        <v>873</v>
      </c>
      <c r="G102" s="235">
        <v>45832</v>
      </c>
      <c r="H102" s="232" t="s">
        <v>860</v>
      </c>
      <c r="I102" s="232">
        <v>2325</v>
      </c>
      <c r="J102" s="233" t="s">
        <v>873</v>
      </c>
      <c r="K102" s="239"/>
      <c r="L102" s="239"/>
    </row>
    <row r="103" spans="2:12" x14ac:dyDescent="0.25">
      <c r="B103" s="266" t="str">
        <f t="shared" si="7"/>
        <v>2025-2026</v>
      </c>
      <c r="C103" s="232" t="s">
        <v>886</v>
      </c>
      <c r="D103" s="232">
        <f t="shared" si="8"/>
        <v>98</v>
      </c>
      <c r="E103" s="232" t="s">
        <v>608</v>
      </c>
      <c r="F103" s="234" t="s">
        <v>949</v>
      </c>
      <c r="G103" s="235">
        <v>45850</v>
      </c>
      <c r="H103" s="232" t="s">
        <v>861</v>
      </c>
      <c r="I103" s="232">
        <v>538</v>
      </c>
      <c r="J103" s="233" t="s">
        <v>870</v>
      </c>
      <c r="K103" s="239"/>
      <c r="L103" s="239"/>
    </row>
    <row r="104" spans="2:12" x14ac:dyDescent="0.25">
      <c r="B104" s="266" t="str">
        <f t="shared" si="7"/>
        <v>2025-2026</v>
      </c>
      <c r="C104" s="232" t="s">
        <v>886</v>
      </c>
      <c r="D104" s="232">
        <f t="shared" si="8"/>
        <v>99</v>
      </c>
      <c r="E104" s="232" t="s">
        <v>608</v>
      </c>
      <c r="F104" s="234" t="s">
        <v>947</v>
      </c>
      <c r="G104" s="235">
        <v>45850</v>
      </c>
      <c r="H104" s="232" t="s">
        <v>861</v>
      </c>
      <c r="I104" s="232">
        <v>811</v>
      </c>
      <c r="J104" s="233" t="s">
        <v>871</v>
      </c>
      <c r="K104" s="239"/>
      <c r="L104" s="239"/>
    </row>
    <row r="105" spans="2:12" x14ac:dyDescent="0.25">
      <c r="B105" s="266" t="str">
        <f t="shared" si="7"/>
        <v>2025-2026</v>
      </c>
      <c r="C105" s="232" t="s">
        <v>886</v>
      </c>
      <c r="D105" s="232">
        <f t="shared" si="8"/>
        <v>100</v>
      </c>
      <c r="E105" s="232" t="s">
        <v>608</v>
      </c>
      <c r="F105" s="234" t="s">
        <v>948</v>
      </c>
      <c r="G105" s="235">
        <v>45850</v>
      </c>
      <c r="H105" s="232" t="s">
        <v>861</v>
      </c>
      <c r="I105" s="232">
        <v>5056</v>
      </c>
      <c r="J105" s="233" t="s">
        <v>869</v>
      </c>
      <c r="K105" s="239"/>
      <c r="L105" s="239"/>
    </row>
    <row r="106" spans="2:12" x14ac:dyDescent="0.25">
      <c r="B106" s="266" t="str">
        <f t="shared" si="7"/>
        <v>2025-2026</v>
      </c>
      <c r="C106" s="232" t="s">
        <v>886</v>
      </c>
      <c r="D106" s="232">
        <f t="shared" si="8"/>
        <v>101</v>
      </c>
      <c r="E106" s="232" t="s">
        <v>859</v>
      </c>
      <c r="F106" s="233" t="s">
        <v>868</v>
      </c>
      <c r="G106" s="235">
        <v>45851</v>
      </c>
      <c r="H106" s="232" t="s">
        <v>860</v>
      </c>
      <c r="I106" s="232">
        <v>350</v>
      </c>
      <c r="J106" s="233" t="s">
        <v>868</v>
      </c>
      <c r="K106" s="239"/>
      <c r="L106" s="239"/>
    </row>
    <row r="107" spans="2:12" x14ac:dyDescent="0.25">
      <c r="B107" s="266" t="str">
        <f t="shared" si="7"/>
        <v>2025-2026</v>
      </c>
      <c r="C107" s="232" t="s">
        <v>886</v>
      </c>
      <c r="D107" s="232">
        <f t="shared" si="8"/>
        <v>102</v>
      </c>
      <c r="E107" s="232" t="s">
        <v>859</v>
      </c>
      <c r="F107" s="233" t="s">
        <v>866</v>
      </c>
      <c r="G107" s="235">
        <v>45853</v>
      </c>
      <c r="H107" s="232" t="s">
        <v>860</v>
      </c>
      <c r="I107" s="232">
        <v>350</v>
      </c>
      <c r="J107" s="233" t="s">
        <v>866</v>
      </c>
      <c r="K107" s="239"/>
      <c r="L107" s="239"/>
    </row>
    <row r="108" spans="2:12" x14ac:dyDescent="0.25">
      <c r="B108" s="266" t="str">
        <f t="shared" si="7"/>
        <v>2025-2026</v>
      </c>
      <c r="C108" s="232" t="s">
        <v>886</v>
      </c>
      <c r="D108" s="232">
        <f t="shared" si="8"/>
        <v>103</v>
      </c>
      <c r="E108" s="232" t="s">
        <v>859</v>
      </c>
      <c r="F108" s="233" t="s">
        <v>867</v>
      </c>
      <c r="G108" s="235">
        <v>45853</v>
      </c>
      <c r="H108" s="232" t="s">
        <v>860</v>
      </c>
      <c r="I108" s="232">
        <v>1229</v>
      </c>
      <c r="J108" s="233" t="s">
        <v>867</v>
      </c>
      <c r="K108" s="239"/>
      <c r="L108" s="239"/>
    </row>
    <row r="109" spans="2:12" x14ac:dyDescent="0.25">
      <c r="B109" s="266" t="str">
        <f t="shared" si="7"/>
        <v>2025-2026</v>
      </c>
      <c r="C109" s="232" t="s">
        <v>886</v>
      </c>
      <c r="D109" s="232">
        <f t="shared" si="8"/>
        <v>104</v>
      </c>
      <c r="E109" s="232" t="s">
        <v>608</v>
      </c>
      <c r="F109" s="234" t="s">
        <v>945</v>
      </c>
      <c r="G109" s="235">
        <v>45864</v>
      </c>
      <c r="H109" s="232" t="s">
        <v>861</v>
      </c>
      <c r="I109" s="232">
        <v>242</v>
      </c>
      <c r="J109" s="233" t="s">
        <v>864</v>
      </c>
      <c r="K109" s="239"/>
      <c r="L109" s="239"/>
    </row>
    <row r="110" spans="2:12" x14ac:dyDescent="0.25">
      <c r="B110" s="266" t="str">
        <f t="shared" si="7"/>
        <v>2025-2026</v>
      </c>
      <c r="C110" s="232" t="s">
        <v>886</v>
      </c>
      <c r="D110" s="232">
        <f t="shared" si="8"/>
        <v>105</v>
      </c>
      <c r="E110" s="232" t="s">
        <v>608</v>
      </c>
      <c r="F110" s="234" t="s">
        <v>946</v>
      </c>
      <c r="G110" s="235">
        <v>45864</v>
      </c>
      <c r="H110" s="232" t="s">
        <v>861</v>
      </c>
      <c r="I110" s="232">
        <v>2518</v>
      </c>
      <c r="J110" s="233" t="s">
        <v>865</v>
      </c>
      <c r="K110" s="239"/>
      <c r="L110" s="239"/>
    </row>
    <row r="111" spans="2:12" x14ac:dyDescent="0.25">
      <c r="B111" s="266" t="str">
        <f t="shared" si="7"/>
        <v>2025-2026</v>
      </c>
      <c r="C111" s="232" t="s">
        <v>886</v>
      </c>
      <c r="D111" s="232">
        <f t="shared" si="8"/>
        <v>106</v>
      </c>
      <c r="E111" s="232" t="s">
        <v>859</v>
      </c>
      <c r="F111" s="233" t="s">
        <v>862</v>
      </c>
      <c r="G111" s="235">
        <v>45865</v>
      </c>
      <c r="H111" s="232" t="s">
        <v>860</v>
      </c>
      <c r="I111" s="232">
        <v>350</v>
      </c>
      <c r="J111" s="233" t="s">
        <v>862</v>
      </c>
      <c r="K111" s="239"/>
      <c r="L111" s="239"/>
    </row>
    <row r="112" spans="2:12" x14ac:dyDescent="0.25">
      <c r="B112" s="266" t="str">
        <f t="shared" si="7"/>
        <v>2025-2026</v>
      </c>
      <c r="C112" s="232" t="s">
        <v>886</v>
      </c>
      <c r="D112" s="232">
        <f t="shared" si="8"/>
        <v>107</v>
      </c>
      <c r="E112" s="232" t="s">
        <v>859</v>
      </c>
      <c r="F112" s="233" t="s">
        <v>863</v>
      </c>
      <c r="G112" s="235">
        <v>45865</v>
      </c>
      <c r="H112" s="232" t="s">
        <v>860</v>
      </c>
      <c r="I112" s="232">
        <v>350</v>
      </c>
      <c r="J112" s="233" t="s">
        <v>863</v>
      </c>
      <c r="K112" s="239"/>
      <c r="L112" s="239"/>
    </row>
    <row r="113" spans="2:12" x14ac:dyDescent="0.25">
      <c r="B113" s="266" t="str">
        <f t="shared" si="7"/>
        <v>2025-2026</v>
      </c>
      <c r="C113" s="232" t="s">
        <v>886</v>
      </c>
      <c r="D113" s="232">
        <f t="shared" si="8"/>
        <v>108</v>
      </c>
      <c r="E113" s="232" t="s">
        <v>608</v>
      </c>
      <c r="F113" s="234" t="s">
        <v>944</v>
      </c>
      <c r="G113" s="235">
        <v>45884</v>
      </c>
      <c r="H113" s="232" t="s">
        <v>609</v>
      </c>
      <c r="I113" s="232">
        <v>349</v>
      </c>
      <c r="J113" s="233" t="s">
        <v>924</v>
      </c>
      <c r="K113" s="239"/>
      <c r="L113" s="239"/>
    </row>
    <row r="114" spans="2:12" x14ac:dyDescent="0.25">
      <c r="B114" s="266" t="str">
        <f t="shared" si="7"/>
        <v>2025-2026</v>
      </c>
      <c r="C114" s="232" t="s">
        <v>886</v>
      </c>
      <c r="D114" s="232">
        <f t="shared" si="8"/>
        <v>109</v>
      </c>
      <c r="E114" s="232" t="s">
        <v>859</v>
      </c>
      <c r="F114" s="233" t="s">
        <v>923</v>
      </c>
      <c r="G114" s="235">
        <v>45887</v>
      </c>
      <c r="H114" s="232" t="s">
        <v>860</v>
      </c>
      <c r="I114" s="232">
        <v>350</v>
      </c>
      <c r="J114" s="233" t="s">
        <v>923</v>
      </c>
      <c r="K114" s="239"/>
      <c r="L114" s="239"/>
    </row>
    <row r="115" spans="2:12" x14ac:dyDescent="0.25">
      <c r="B115" s="266" t="str">
        <f t="shared" si="7"/>
        <v>2025-2026</v>
      </c>
      <c r="C115" s="232" t="s">
        <v>886</v>
      </c>
      <c r="D115" s="232">
        <f t="shared" si="8"/>
        <v>110</v>
      </c>
      <c r="E115" s="232" t="s">
        <v>608</v>
      </c>
      <c r="F115" s="234" t="s">
        <v>941</v>
      </c>
      <c r="G115" s="235">
        <v>45930</v>
      </c>
      <c r="H115" s="232" t="s">
        <v>861</v>
      </c>
      <c r="I115" s="232">
        <v>1167</v>
      </c>
      <c r="J115" s="233" t="s">
        <v>921</v>
      </c>
      <c r="K115" s="239"/>
      <c r="L115" s="239"/>
    </row>
    <row r="116" spans="2:12" x14ac:dyDescent="0.25">
      <c r="B116" s="266" t="str">
        <f t="shared" si="7"/>
        <v>2025-2026</v>
      </c>
      <c r="C116" s="232" t="s">
        <v>886</v>
      </c>
      <c r="D116" s="232">
        <f t="shared" si="8"/>
        <v>111</v>
      </c>
      <c r="E116" s="232" t="s">
        <v>608</v>
      </c>
      <c r="F116" s="234" t="s">
        <v>943</v>
      </c>
      <c r="G116" s="235">
        <v>45930</v>
      </c>
      <c r="H116" s="232" t="s">
        <v>861</v>
      </c>
      <c r="I116" s="232">
        <v>1299</v>
      </c>
      <c r="J116" s="233" t="s">
        <v>920</v>
      </c>
      <c r="K116" s="239"/>
      <c r="L116" s="239"/>
    </row>
    <row r="117" spans="2:12" x14ac:dyDescent="0.25">
      <c r="B117" s="266" t="str">
        <f t="shared" si="7"/>
        <v>2025-2026</v>
      </c>
      <c r="C117" s="232" t="s">
        <v>886</v>
      </c>
      <c r="D117" s="232">
        <f t="shared" si="8"/>
        <v>112</v>
      </c>
      <c r="E117" s="232" t="s">
        <v>608</v>
      </c>
      <c r="F117" s="234" t="s">
        <v>942</v>
      </c>
      <c r="G117" s="235">
        <v>45930</v>
      </c>
      <c r="H117" s="232" t="s">
        <v>861</v>
      </c>
      <c r="I117" s="232">
        <v>3371</v>
      </c>
      <c r="J117" s="233" t="s">
        <v>922</v>
      </c>
      <c r="K117" s="239"/>
      <c r="L117" s="239"/>
    </row>
    <row r="118" spans="2:12" x14ac:dyDescent="0.25">
      <c r="B118" s="266" t="str">
        <f t="shared" si="7"/>
        <v>2025-2026</v>
      </c>
      <c r="C118" s="232" t="s">
        <v>886</v>
      </c>
      <c r="D118" s="232">
        <f t="shared" si="8"/>
        <v>113</v>
      </c>
      <c r="E118" s="232" t="s">
        <v>859</v>
      </c>
      <c r="F118" s="233" t="s">
        <v>1038</v>
      </c>
      <c r="G118" s="235">
        <v>45934</v>
      </c>
      <c r="H118" s="232" t="s">
        <v>860</v>
      </c>
      <c r="I118" s="232">
        <v>350</v>
      </c>
      <c r="J118" s="233" t="s">
        <v>1038</v>
      </c>
      <c r="K118" s="239"/>
      <c r="L118" s="239"/>
    </row>
    <row r="119" spans="2:12" x14ac:dyDescent="0.25">
      <c r="B119" s="266" t="str">
        <f t="shared" si="7"/>
        <v>2025-2026</v>
      </c>
      <c r="C119" s="232" t="s">
        <v>886</v>
      </c>
      <c r="D119" s="232">
        <f t="shared" si="8"/>
        <v>114</v>
      </c>
      <c r="E119" s="232" t="s">
        <v>859</v>
      </c>
      <c r="F119" s="233" t="s">
        <v>1063</v>
      </c>
      <c r="G119" s="235">
        <v>45934</v>
      </c>
      <c r="H119" s="232" t="s">
        <v>860</v>
      </c>
      <c r="I119" s="232">
        <v>350</v>
      </c>
      <c r="J119" s="233" t="s">
        <v>1063</v>
      </c>
      <c r="K119" s="239"/>
      <c r="L119" s="239"/>
    </row>
    <row r="120" spans="2:12" x14ac:dyDescent="0.25">
      <c r="B120" s="266" t="str">
        <f t="shared" si="7"/>
        <v>2025-2026</v>
      </c>
      <c r="C120" s="232" t="s">
        <v>886</v>
      </c>
      <c r="D120" s="232">
        <f t="shared" si="8"/>
        <v>115</v>
      </c>
      <c r="E120" s="232" t="s">
        <v>859</v>
      </c>
      <c r="F120" s="233" t="s">
        <v>961</v>
      </c>
      <c r="G120" s="235">
        <v>45934</v>
      </c>
      <c r="H120" s="232" t="s">
        <v>860</v>
      </c>
      <c r="I120" s="232">
        <v>936</v>
      </c>
      <c r="J120" s="233" t="s">
        <v>961</v>
      </c>
      <c r="K120" s="239"/>
      <c r="L120" s="239"/>
    </row>
    <row r="121" spans="2:12" x14ac:dyDescent="0.25">
      <c r="B121" s="266" t="str">
        <f t="shared" si="7"/>
        <v>2025-2026</v>
      </c>
      <c r="C121" s="232" t="s">
        <v>886</v>
      </c>
      <c r="D121" s="232">
        <f t="shared" si="8"/>
        <v>116</v>
      </c>
      <c r="E121" s="232" t="s">
        <v>859</v>
      </c>
      <c r="F121" s="233" t="s">
        <v>962</v>
      </c>
      <c r="G121" s="235">
        <v>45934</v>
      </c>
      <c r="H121" s="235" t="s">
        <v>860</v>
      </c>
      <c r="I121" s="232">
        <v>2779</v>
      </c>
      <c r="J121" s="233" t="s">
        <v>962</v>
      </c>
      <c r="K121" s="239"/>
      <c r="L121" s="239"/>
    </row>
    <row r="122" spans="2:12" x14ac:dyDescent="0.25">
      <c r="B122" s="266" t="str">
        <f t="shared" si="7"/>
        <v>2025-2026</v>
      </c>
      <c r="C122" s="232" t="s">
        <v>886</v>
      </c>
      <c r="D122" s="232">
        <f t="shared" si="8"/>
        <v>117</v>
      </c>
      <c r="E122" s="232" t="s">
        <v>608</v>
      </c>
      <c r="F122" s="234" t="s">
        <v>940</v>
      </c>
      <c r="G122" s="235">
        <v>45987</v>
      </c>
      <c r="H122" s="232" t="s">
        <v>861</v>
      </c>
      <c r="I122" s="236">
        <v>10006</v>
      </c>
      <c r="J122" s="233" t="s">
        <v>1060</v>
      </c>
      <c r="K122" s="239"/>
      <c r="L122" s="239"/>
    </row>
    <row r="123" spans="2:12" x14ac:dyDescent="0.25">
      <c r="B123" s="266" t="str">
        <f t="shared" si="7"/>
        <v>2025-2026</v>
      </c>
      <c r="C123" s="232" t="s">
        <v>886</v>
      </c>
      <c r="D123" s="232">
        <f t="shared" si="8"/>
        <v>118</v>
      </c>
      <c r="E123" s="232" t="s">
        <v>859</v>
      </c>
      <c r="F123" s="233" t="s">
        <v>960</v>
      </c>
      <c r="G123" s="235">
        <v>45989</v>
      </c>
      <c r="H123" s="232" t="s">
        <v>860</v>
      </c>
      <c r="I123" s="236">
        <v>350</v>
      </c>
      <c r="J123" s="233" t="s">
        <v>960</v>
      </c>
      <c r="K123" s="239"/>
      <c r="L123" s="239"/>
    </row>
    <row r="124" spans="2:12" x14ac:dyDescent="0.25">
      <c r="B124" s="266" t="str">
        <f t="shared" si="7"/>
        <v>2025-2026</v>
      </c>
      <c r="C124" s="232" t="s">
        <v>886</v>
      </c>
      <c r="D124" s="232">
        <f t="shared" si="8"/>
        <v>119</v>
      </c>
      <c r="E124" s="232" t="s">
        <v>859</v>
      </c>
      <c r="F124" s="233" t="s">
        <v>959</v>
      </c>
      <c r="G124" s="235">
        <v>45989</v>
      </c>
      <c r="H124" s="232" t="s">
        <v>860</v>
      </c>
      <c r="I124" s="236">
        <v>4640</v>
      </c>
      <c r="J124" s="233" t="s">
        <v>959</v>
      </c>
      <c r="K124" s="239"/>
      <c r="L124" s="239"/>
    </row>
    <row r="125" spans="2:12" x14ac:dyDescent="0.25">
      <c r="B125" s="266" t="str">
        <f t="shared" si="7"/>
        <v>2025-2026</v>
      </c>
      <c r="C125" s="232" t="s">
        <v>886</v>
      </c>
      <c r="D125" s="232">
        <f t="shared" si="8"/>
        <v>120</v>
      </c>
      <c r="E125" s="232" t="s">
        <v>608</v>
      </c>
      <c r="F125" s="234" t="s">
        <v>937</v>
      </c>
      <c r="G125" s="235">
        <v>45994</v>
      </c>
      <c r="H125" s="232" t="s">
        <v>938</v>
      </c>
      <c r="I125" s="236">
        <v>1029</v>
      </c>
      <c r="J125" s="233" t="s">
        <v>1061</v>
      </c>
      <c r="K125" s="239"/>
      <c r="L125" s="239"/>
    </row>
    <row r="126" spans="2:12" x14ac:dyDescent="0.25">
      <c r="B126" s="266" t="str">
        <f t="shared" si="7"/>
        <v>2025-2026</v>
      </c>
      <c r="C126" s="232" t="s">
        <v>886</v>
      </c>
      <c r="D126" s="232">
        <f t="shared" si="8"/>
        <v>121</v>
      </c>
      <c r="E126" s="232" t="s">
        <v>608</v>
      </c>
      <c r="F126" s="234" t="s">
        <v>939</v>
      </c>
      <c r="G126" s="235">
        <v>45994</v>
      </c>
      <c r="H126" s="232" t="s">
        <v>938</v>
      </c>
      <c r="I126" s="236">
        <v>7826</v>
      </c>
      <c r="J126" s="233" t="s">
        <v>1062</v>
      </c>
      <c r="K126" s="239"/>
      <c r="L126" s="239"/>
    </row>
    <row r="127" spans="2:12" x14ac:dyDescent="0.25">
      <c r="B127" s="266" t="str">
        <f t="shared" si="7"/>
        <v>2025-2026</v>
      </c>
      <c r="C127" s="232" t="s">
        <v>886</v>
      </c>
      <c r="D127" s="232">
        <f t="shared" si="8"/>
        <v>122</v>
      </c>
      <c r="E127" s="232" t="s">
        <v>859</v>
      </c>
      <c r="F127" s="233" t="s">
        <v>957</v>
      </c>
      <c r="G127" s="235">
        <v>45997</v>
      </c>
      <c r="H127" s="232" t="s">
        <v>936</v>
      </c>
      <c r="I127" s="236">
        <v>350</v>
      </c>
      <c r="J127" s="233" t="s">
        <v>957</v>
      </c>
      <c r="K127" s="239"/>
      <c r="L127" s="239"/>
    </row>
    <row r="128" spans="2:12" x14ac:dyDescent="0.25">
      <c r="B128" s="266" t="str">
        <f t="shared" si="7"/>
        <v>2025-2026</v>
      </c>
      <c r="C128" s="232" t="s">
        <v>886</v>
      </c>
      <c r="D128" s="232">
        <f t="shared" si="8"/>
        <v>123</v>
      </c>
      <c r="E128" s="232" t="s">
        <v>859</v>
      </c>
      <c r="F128" s="233" t="s">
        <v>958</v>
      </c>
      <c r="G128" s="235">
        <v>45997</v>
      </c>
      <c r="H128" s="232" t="s">
        <v>936</v>
      </c>
      <c r="I128" s="236">
        <v>350</v>
      </c>
      <c r="J128" s="233" t="s">
        <v>958</v>
      </c>
      <c r="K128" s="239"/>
      <c r="L128" s="239"/>
    </row>
    <row r="129" spans="2:12" x14ac:dyDescent="0.25">
      <c r="B129" s="266" t="str">
        <f t="shared" si="7"/>
        <v>2025-2026</v>
      </c>
      <c r="C129" s="232" t="s">
        <v>886</v>
      </c>
      <c r="D129" s="232">
        <f t="shared" si="8"/>
        <v>124</v>
      </c>
      <c r="E129" s="232" t="s">
        <v>608</v>
      </c>
      <c r="F129" s="234" t="s">
        <v>935</v>
      </c>
      <c r="G129" s="235">
        <v>46022</v>
      </c>
      <c r="H129" s="232" t="s">
        <v>934</v>
      </c>
      <c r="I129" s="236">
        <v>4000</v>
      </c>
      <c r="J129" s="233" t="s">
        <v>956</v>
      </c>
      <c r="K129" s="239"/>
      <c r="L129" s="239"/>
    </row>
    <row r="130" spans="2:12" x14ac:dyDescent="0.25">
      <c r="B130" s="266" t="str">
        <f t="shared" si="7"/>
        <v>2025-2026</v>
      </c>
      <c r="C130" s="232" t="s">
        <v>886</v>
      </c>
      <c r="D130" s="232">
        <f t="shared" si="8"/>
        <v>125</v>
      </c>
      <c r="E130" s="232" t="s">
        <v>859</v>
      </c>
      <c r="F130" s="233" t="s">
        <v>956</v>
      </c>
      <c r="G130" s="235">
        <v>46026</v>
      </c>
      <c r="H130" s="232" t="s">
        <v>932</v>
      </c>
      <c r="I130" s="236">
        <v>1703</v>
      </c>
      <c r="J130" s="233" t="s">
        <v>956</v>
      </c>
      <c r="K130" s="239"/>
      <c r="L130" s="239"/>
    </row>
    <row r="131" spans="2:12" x14ac:dyDescent="0.25">
      <c r="B131" s="266" t="str">
        <f t="shared" si="7"/>
        <v>2025-2026</v>
      </c>
      <c r="C131" s="232" t="s">
        <v>886</v>
      </c>
      <c r="D131" s="232">
        <f t="shared" si="8"/>
        <v>126</v>
      </c>
      <c r="E131" s="232" t="s">
        <v>859</v>
      </c>
      <c r="F131" s="233" t="s">
        <v>955</v>
      </c>
      <c r="G131" s="235">
        <v>46039</v>
      </c>
      <c r="H131" s="232" t="s">
        <v>932</v>
      </c>
      <c r="I131" s="236">
        <v>350</v>
      </c>
      <c r="J131" s="233" t="s">
        <v>955</v>
      </c>
      <c r="K131" s="239"/>
      <c r="L131" s="239"/>
    </row>
    <row r="132" spans="2:12" x14ac:dyDescent="0.25">
      <c r="B132" s="266" t="str">
        <f t="shared" si="7"/>
        <v>2025-2026</v>
      </c>
      <c r="C132" s="232" t="s">
        <v>886</v>
      </c>
      <c r="D132" s="232">
        <f t="shared" si="8"/>
        <v>127</v>
      </c>
      <c r="E132" s="232" t="s">
        <v>608</v>
      </c>
      <c r="F132" s="234" t="s">
        <v>933</v>
      </c>
      <c r="G132" s="235">
        <v>46039</v>
      </c>
      <c r="H132" s="232" t="s">
        <v>934</v>
      </c>
      <c r="I132" s="236">
        <v>3543</v>
      </c>
      <c r="J132" s="233" t="s">
        <v>955</v>
      </c>
      <c r="K132" s="239"/>
      <c r="L132" s="239"/>
    </row>
    <row r="133" spans="2:12" x14ac:dyDescent="0.25">
      <c r="B133" s="250" t="str">
        <f>IF(MONTH(G133)&lt;4, YEAR(G133)-1 &amp; "-" &amp; YEAR(G133), YEAR(G133) &amp; "-" &amp; YEAR(G133)+1)</f>
        <v>2025-2026</v>
      </c>
      <c r="C133" s="232" t="s">
        <v>886</v>
      </c>
      <c r="D133" s="250">
        <f>ROW()-5</f>
        <v>128</v>
      </c>
      <c r="E133" s="250" t="s">
        <v>859</v>
      </c>
      <c r="F133" s="233" t="s">
        <v>1058</v>
      </c>
      <c r="G133" s="346">
        <v>46067</v>
      </c>
      <c r="H133" s="232" t="s">
        <v>932</v>
      </c>
      <c r="I133" s="333">
        <v>350</v>
      </c>
      <c r="J133" s="233" t="s">
        <v>1058</v>
      </c>
    </row>
    <row r="134" spans="2:12" x14ac:dyDescent="0.25">
      <c r="B134" s="250" t="str">
        <f>IF(MONTH(G134)&lt;4, YEAR(G134)-1 &amp; "-" &amp; YEAR(G134), YEAR(G134) &amp; "-" &amp; YEAR(G134)+1)</f>
        <v>2025-2026</v>
      </c>
      <c r="C134" s="232" t="s">
        <v>886</v>
      </c>
      <c r="D134" s="250">
        <f>ROW()-5</f>
        <v>129</v>
      </c>
      <c r="E134" s="250" t="s">
        <v>608</v>
      </c>
      <c r="F134" s="234" t="s">
        <v>1059</v>
      </c>
      <c r="G134" s="346">
        <v>46067</v>
      </c>
      <c r="H134" s="232" t="s">
        <v>934</v>
      </c>
      <c r="I134" s="250">
        <v>1586</v>
      </c>
      <c r="J134" s="233" t="s">
        <v>1058</v>
      </c>
    </row>
  </sheetData>
  <mergeCells count="4">
    <mergeCell ref="AI11:AJ11"/>
    <mergeCell ref="AG15:AH15"/>
    <mergeCell ref="AK4:AL4"/>
    <mergeCell ref="J1:J4"/>
  </mergeCells>
  <phoneticPr fontId="31" type="noConversion"/>
  <conditionalFormatting sqref="F1:F1048576">
    <cfRule type="duplicateValues" dxfId="6" priority="3"/>
  </conditionalFormatting>
  <conditionalFormatting sqref="I131">
    <cfRule type="duplicateValues" dxfId="5" priority="31"/>
  </conditionalFormatting>
  <conditionalFormatting sqref="I132">
    <cfRule type="duplicateValues" dxfId="4" priority="30"/>
  </conditionalFormatting>
  <conditionalFormatting sqref="I133">
    <cfRule type="duplicateValues" dxfId="3" priority="4"/>
  </conditionalFormatting>
  <conditionalFormatting sqref="J1:J118 J120:J1048576">
    <cfRule type="duplicateValues" dxfId="2" priority="2"/>
  </conditionalFormatting>
  <conditionalFormatting sqref="J119">
    <cfRule type="duplicateValues" dxfId="1" priority="1"/>
  </conditionalFormatting>
  <hyperlinks>
    <hyperlink ref="S7" r:id="rId4" display="https://rghs.rajasthan.gov.in/RGHS/Benificiarycardtracker" xr:uid="{06A97059-A58F-4A4C-8A56-7E3B95C2250C}"/>
    <hyperlink ref="S10" r:id="rId5" display="https://rghs.rajasthan.gov.in/RGHS/Benificiarycardtracker" xr:uid="{8A834D27-3314-48D4-B550-106967D396D7}"/>
    <hyperlink ref="S9" r:id="rId6" display="https://rghs.rajasthan.gov.in/RGHS/Benificiarycardtracker" xr:uid="{B51F3B91-DE9F-4A3C-BF42-57A5CD2E4125}"/>
  </hyperlinks>
  <pageMargins left="0.7" right="0.7" top="0.75" bottom="0.75" header="0.3" footer="0.3"/>
  <pageSetup orientation="portrait" r:id="rId7"/>
  <tableParts count="2">
    <tablePart r:id="rId8"/>
    <tablePart r:id="rId9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D15E7-F25A-417F-AD18-AD36518F3AFA}">
  <dimension ref="A1:Y50"/>
  <sheetViews>
    <sheetView tabSelected="1" topLeftCell="A36" workbookViewId="0">
      <selection activeCell="K1" sqref="K1:Q1"/>
    </sheetView>
  </sheetViews>
  <sheetFormatPr defaultRowHeight="15" x14ac:dyDescent="0.25"/>
  <cols>
    <col min="1" max="1" width="31.140625" style="5" bestFit="1" customWidth="1"/>
    <col min="2" max="2" width="7" style="5" bestFit="1" customWidth="1"/>
    <col min="3" max="3" width="3.7109375" style="5" customWidth="1"/>
    <col min="4" max="4" width="2.28515625" style="5" customWidth="1"/>
    <col min="5" max="5" width="17.85546875" style="5" bestFit="1" customWidth="1"/>
    <col min="6" max="6" width="10.28515625" style="5" bestFit="1" customWidth="1"/>
    <col min="7" max="7" width="10" style="5" bestFit="1" customWidth="1"/>
    <col min="8" max="8" width="7" style="5" bestFit="1" customWidth="1"/>
    <col min="9" max="9" width="3.140625" style="5" customWidth="1"/>
    <col min="10" max="10" width="3.28515625" style="5" customWidth="1"/>
    <col min="11" max="11" width="12.42578125" style="5" bestFit="1" customWidth="1"/>
    <col min="12" max="12" width="6" style="5" bestFit="1" customWidth="1"/>
    <col min="13" max="13" width="24" style="5" customWidth="1"/>
    <col min="14" max="14" width="11.7109375" style="5" bestFit="1" customWidth="1"/>
    <col min="15" max="15" width="7.28515625" style="5" bestFit="1" customWidth="1"/>
    <col min="16" max="16" width="10.5703125" style="5" bestFit="1" customWidth="1"/>
    <col min="17" max="17" width="10.42578125" style="5" bestFit="1" customWidth="1"/>
    <col min="18" max="19" width="9.140625" style="5"/>
    <col min="20" max="20" width="25" style="5" customWidth="1"/>
    <col min="21" max="21" width="21.5703125" style="5" bestFit="1" customWidth="1"/>
    <col min="22" max="22" width="9.140625" style="5"/>
    <col min="23" max="23" width="11.5703125" style="5" customWidth="1"/>
    <col min="24" max="24" width="9.140625" style="5"/>
    <col min="25" max="25" width="11.7109375" style="5" customWidth="1"/>
    <col min="26" max="16384" width="9.140625" style="5"/>
  </cols>
  <sheetData>
    <row r="1" spans="1:25" ht="27.75" x14ac:dyDescent="0.4">
      <c r="A1" s="392" t="s">
        <v>601</v>
      </c>
      <c r="B1" s="392"/>
      <c r="E1" s="392" t="s">
        <v>453</v>
      </c>
      <c r="F1" s="392"/>
      <c r="G1" s="392"/>
      <c r="H1" s="392"/>
      <c r="K1" s="392" t="s">
        <v>464</v>
      </c>
      <c r="L1" s="392"/>
      <c r="M1" s="392"/>
      <c r="N1" s="392"/>
      <c r="O1" s="392"/>
      <c r="P1" s="392"/>
      <c r="Q1" s="392"/>
    </row>
    <row r="2" spans="1:25" x14ac:dyDescent="0.25">
      <c r="A2" s="104" t="s">
        <v>450</v>
      </c>
      <c r="B2" s="104">
        <f>GETPIVOTDATA(" SI",Pivots!$A$3)</f>
        <v>477000</v>
      </c>
      <c r="E2" s="104"/>
      <c r="F2" s="105" t="s">
        <v>458</v>
      </c>
      <c r="G2" s="105" t="s">
        <v>459</v>
      </c>
      <c r="H2" s="105" t="s">
        <v>2</v>
      </c>
      <c r="K2" s="114" t="s">
        <v>465</v>
      </c>
      <c r="L2" s="114" t="s">
        <v>98</v>
      </c>
      <c r="M2" s="114" t="s">
        <v>466</v>
      </c>
      <c r="N2" s="114" t="s">
        <v>467</v>
      </c>
      <c r="O2" s="114" t="s">
        <v>97</v>
      </c>
      <c r="P2" s="114" t="s">
        <v>468</v>
      </c>
      <c r="Q2" s="114" t="s">
        <v>469</v>
      </c>
    </row>
    <row r="3" spans="1:25" x14ac:dyDescent="0.25">
      <c r="A3" s="104" t="s">
        <v>563</v>
      </c>
      <c r="B3" s="104" t="e">
        <f>#REF!</f>
        <v>#REF!</v>
      </c>
      <c r="E3" s="106" t="s">
        <v>450</v>
      </c>
      <c r="F3" s="104">
        <f>GETPIVOTDATA(" NPS",Pivots!$A$3)</f>
        <v>252942</v>
      </c>
      <c r="G3" s="104">
        <f>F3</f>
        <v>252942</v>
      </c>
      <c r="H3" s="104">
        <f>F3+G3</f>
        <v>505884</v>
      </c>
      <c r="K3" s="114" t="s">
        <v>93</v>
      </c>
      <c r="L3" s="147">
        <f>'NPS Site'!C33</f>
        <v>7273.1962000000003</v>
      </c>
      <c r="M3" s="147">
        <f>'NPS Site'!O4</f>
        <v>185707.54</v>
      </c>
      <c r="N3" s="115">
        <v>46110</v>
      </c>
      <c r="O3">
        <v>41.87</v>
      </c>
      <c r="P3" s="145">
        <f>O3*L3</f>
        <v>304528.72489399998</v>
      </c>
      <c r="Q3" s="145">
        <f>P3-M3</f>
        <v>118821.18489399998</v>
      </c>
      <c r="S3" s="197" t="s">
        <v>818</v>
      </c>
    </row>
    <row r="4" spans="1:25" x14ac:dyDescent="0.25">
      <c r="A4" s="104"/>
      <c r="B4" s="104"/>
      <c r="E4" s="106" t="s">
        <v>451</v>
      </c>
      <c r="F4" s="104">
        <f>GETPIVOTDATA(" Employee Contribution",Pivots!$AZ$5)</f>
        <v>248711</v>
      </c>
      <c r="G4" s="104">
        <f>GETPIVOTDATA(" Employer Contribution",Pivots!$AZ$5)</f>
        <v>248711</v>
      </c>
      <c r="H4" s="104">
        <f>GETPIVOTDATA("Sum of Total",Pivots!$AZ$5)</f>
        <v>497422</v>
      </c>
      <c r="K4" s="114" t="s">
        <v>94</v>
      </c>
      <c r="L4" s="147">
        <f>'NPS Site'!C34</f>
        <v>6754.5535999999993</v>
      </c>
      <c r="M4" s="147">
        <f>'NPS Site'!R4</f>
        <v>171326.70999999988</v>
      </c>
      <c r="N4" s="115">
        <f>N3</f>
        <v>46110</v>
      </c>
      <c r="O4">
        <v>42.41</v>
      </c>
      <c r="P4" s="145">
        <f>O4*L4</f>
        <v>286460.61817599996</v>
      </c>
      <c r="Q4" s="145">
        <f>P4-M4</f>
        <v>115133.90817600008</v>
      </c>
      <c r="S4" s="197" t="s">
        <v>819</v>
      </c>
    </row>
    <row r="5" spans="1:25" x14ac:dyDescent="0.25">
      <c r="A5" s="104" t="s">
        <v>564</v>
      </c>
      <c r="B5" s="104" t="e">
        <f>B2-B3</f>
        <v>#REF!</v>
      </c>
      <c r="E5" s="106" t="s">
        <v>452</v>
      </c>
      <c r="F5" s="104">
        <f>'NPS Site'!I4</f>
        <v>239958</v>
      </c>
      <c r="G5" s="104">
        <f>'NPS Site'!J4</f>
        <v>239958</v>
      </c>
      <c r="H5" s="104">
        <f>'NPS Site'!K4</f>
        <v>530916</v>
      </c>
      <c r="K5" s="114" t="s">
        <v>95</v>
      </c>
      <c r="L5" s="147">
        <f>'NPS Site'!C35</f>
        <v>6768.6832000000013</v>
      </c>
      <c r="M5" s="147">
        <f>'NPS Site'!U4</f>
        <v>173881.75000000012</v>
      </c>
      <c r="N5" s="115">
        <f>N4</f>
        <v>46110</v>
      </c>
      <c r="O5">
        <v>42.54</v>
      </c>
      <c r="P5" s="145">
        <f>O5*L5</f>
        <v>287939.78332800005</v>
      </c>
      <c r="Q5" s="145">
        <f>P5-M5</f>
        <v>114058.03332799993</v>
      </c>
      <c r="S5" s="197" t="s">
        <v>820</v>
      </c>
    </row>
    <row r="6" spans="1:25" x14ac:dyDescent="0.25">
      <c r="E6" s="106"/>
      <c r="F6" s="104"/>
      <c r="G6" s="104"/>
      <c r="H6" s="104"/>
      <c r="K6" s="104"/>
      <c r="L6" s="146"/>
      <c r="M6" s="146"/>
      <c r="N6" s="104"/>
      <c r="O6" s="104"/>
      <c r="P6" s="146"/>
      <c r="Q6" s="146"/>
    </row>
    <row r="7" spans="1:25" ht="27.75" x14ac:dyDescent="0.4">
      <c r="A7" s="392" t="s">
        <v>700</v>
      </c>
      <c r="B7" s="392"/>
      <c r="E7" s="106"/>
      <c r="F7" s="104"/>
      <c r="G7" s="104"/>
      <c r="H7" s="104"/>
      <c r="K7" s="114" t="s">
        <v>2</v>
      </c>
      <c r="L7" s="146"/>
      <c r="M7" s="145">
        <f>SUM(M3:M5)</f>
        <v>530916</v>
      </c>
      <c r="N7" s="104"/>
      <c r="O7" s="104"/>
      <c r="P7" s="145">
        <f>SUM(P3:P5)</f>
        <v>878929.12639799993</v>
      </c>
      <c r="Q7" s="145">
        <f>SUM(Q3:Q5)</f>
        <v>348013.12639799999</v>
      </c>
    </row>
    <row r="8" spans="1:25" x14ac:dyDescent="0.25">
      <c r="A8" s="104" t="s">
        <v>450</v>
      </c>
      <c r="B8" s="104">
        <f>GETPIVOTDATA(" SI",Pivots!$A$3)+GETPIVOTDATA("SI Loan EMI",Pivots!$A$3)</f>
        <v>542178</v>
      </c>
      <c r="E8" s="106" t="s">
        <v>190</v>
      </c>
      <c r="F8" s="104"/>
      <c r="G8" s="104"/>
      <c r="H8" s="104"/>
    </row>
    <row r="9" spans="1:25" x14ac:dyDescent="0.25">
      <c r="A9" s="104" t="s">
        <v>565</v>
      </c>
      <c r="B9" s="104">
        <f>'SI (SSO ID New)'!L3</f>
        <v>542178</v>
      </c>
      <c r="E9" s="106" t="s">
        <v>460</v>
      </c>
      <c r="F9" s="104">
        <f>F3-F4</f>
        <v>4231</v>
      </c>
      <c r="G9" s="104">
        <f>G3-G4</f>
        <v>4231</v>
      </c>
      <c r="H9" s="104">
        <f>H3-H4</f>
        <v>8462</v>
      </c>
      <c r="M9" s="393" t="s">
        <v>470</v>
      </c>
      <c r="N9" s="394"/>
      <c r="O9" s="394"/>
      <c r="P9" s="5" t="s">
        <v>1056</v>
      </c>
      <c r="Q9" s="5">
        <v>353712</v>
      </c>
    </row>
    <row r="10" spans="1:25" x14ac:dyDescent="0.25">
      <c r="E10" s="106" t="s">
        <v>461</v>
      </c>
      <c r="F10" s="104">
        <f>H3-H5</f>
        <v>-25032</v>
      </c>
      <c r="G10" s="107"/>
      <c r="H10" s="104">
        <f>F10-G10</f>
        <v>-25032</v>
      </c>
      <c r="M10" s="393" t="s">
        <v>471</v>
      </c>
      <c r="N10" s="394"/>
      <c r="O10" s="394"/>
      <c r="P10" s="5" t="s">
        <v>1057</v>
      </c>
      <c r="Q10" s="345">
        <v>348013</v>
      </c>
    </row>
    <row r="11" spans="1:25" x14ac:dyDescent="0.25">
      <c r="A11" s="104" t="s">
        <v>564</v>
      </c>
      <c r="B11" s="104">
        <f>B8-B9</f>
        <v>0</v>
      </c>
      <c r="E11" s="106" t="s">
        <v>462</v>
      </c>
      <c r="F11" s="104">
        <f>H5-H4</f>
        <v>33494</v>
      </c>
      <c r="G11" s="107"/>
      <c r="H11" s="104">
        <f>F11-G11</f>
        <v>33494</v>
      </c>
    </row>
    <row r="14" spans="1:25" x14ac:dyDescent="0.25">
      <c r="E14" s="394"/>
      <c r="F14" s="394"/>
      <c r="G14" s="394"/>
      <c r="H14" s="394"/>
    </row>
    <row r="15" spans="1:25" ht="25.5" x14ac:dyDescent="0.25">
      <c r="E15" s="394"/>
      <c r="F15" s="394"/>
      <c r="G15" s="394"/>
      <c r="H15" s="394"/>
      <c r="N15" s="148" t="s">
        <v>628</v>
      </c>
      <c r="O15" s="134">
        <v>46110</v>
      </c>
      <c r="S15" s="132"/>
      <c r="T15" s="132"/>
      <c r="U15" s="132"/>
      <c r="V15" s="132"/>
      <c r="W15" s="132"/>
      <c r="X15" s="132"/>
      <c r="Y15" s="132"/>
    </row>
    <row r="16" spans="1:25" ht="15" customHeight="1" x14ac:dyDescent="0.25">
      <c r="K16" s="401" t="s">
        <v>626</v>
      </c>
      <c r="L16" s="401"/>
      <c r="M16" s="401"/>
      <c r="N16" s="401"/>
      <c r="O16" s="401"/>
      <c r="P16" s="418" t="e">
        <f>IF(SUM(M18:M49)=0,"All OK",CONCATENATE("Check ",CHAR(10),SUM(M18:M49),CHAR(10),"Differences "))</f>
        <v>#REF!</v>
      </c>
      <c r="Q16" s="419"/>
      <c r="S16" s="406" t="s">
        <v>627</v>
      </c>
      <c r="T16" s="406"/>
      <c r="U16" s="406"/>
      <c r="V16" s="406"/>
      <c r="W16" s="406"/>
      <c r="X16" s="414" t="e">
        <f ca="1">IF(SUM(U18:U49)=0,"All OK",CONCATENATE("Check ",CHAR(10),SUM(U18:U49),CHAR(10),"Differences "))</f>
        <v>#REF!</v>
      </c>
      <c r="Y16" s="415"/>
    </row>
    <row r="17" spans="1:25" ht="30.75" customHeight="1" x14ac:dyDescent="0.4">
      <c r="A17" s="392" t="s">
        <v>589</v>
      </c>
      <c r="B17" s="392"/>
      <c r="K17" s="401"/>
      <c r="L17" s="401"/>
      <c r="M17" s="401"/>
      <c r="N17" s="401"/>
      <c r="O17" s="401"/>
      <c r="P17" s="420"/>
      <c r="Q17" s="421"/>
      <c r="S17" s="406"/>
      <c r="T17" s="406"/>
      <c r="U17" s="406"/>
      <c r="V17" s="406"/>
      <c r="W17" s="406"/>
      <c r="X17" s="416"/>
      <c r="Y17" s="417"/>
    </row>
    <row r="18" spans="1:25" ht="15" customHeight="1" x14ac:dyDescent="0.25">
      <c r="A18" s="104" t="s">
        <v>450</v>
      </c>
      <c r="B18" s="104">
        <f>GETPIVOTDATA(" GPF
2004",Pivots!$A$3)</f>
        <v>146307</v>
      </c>
      <c r="K18" s="402" t="s">
        <v>505</v>
      </c>
      <c r="L18" s="403"/>
      <c r="M18" s="399" t="e">
        <f>B5+H9+H10+H11+B21</f>
        <v>#REF!</v>
      </c>
      <c r="N18" s="395" t="s">
        <v>503</v>
      </c>
      <c r="O18" s="396"/>
      <c r="P18" s="420"/>
      <c r="Q18" s="421"/>
      <c r="S18" s="407" t="s">
        <v>505</v>
      </c>
      <c r="T18" s="408"/>
      <c r="U18" s="411">
        <f ca="1">TODAY()-O15</f>
        <v>25</v>
      </c>
      <c r="V18" s="407" t="s">
        <v>503</v>
      </c>
      <c r="W18" s="408"/>
      <c r="X18" s="416"/>
      <c r="Y18" s="417"/>
    </row>
    <row r="19" spans="1:25" ht="15" customHeight="1" x14ac:dyDescent="0.25">
      <c r="A19" s="104" t="s">
        <v>590</v>
      </c>
      <c r="B19" s="104">
        <f>GETPIVOTDATA("Total",GPF!$AB$4)</f>
        <v>146307</v>
      </c>
      <c r="K19" s="404"/>
      <c r="L19" s="405"/>
      <c r="M19" s="400"/>
      <c r="N19" s="397"/>
      <c r="O19" s="398"/>
      <c r="P19" s="420"/>
      <c r="Q19" s="421"/>
      <c r="S19" s="409"/>
      <c r="T19" s="410"/>
      <c r="U19" s="412"/>
      <c r="V19" s="409"/>
      <c r="W19" s="410"/>
      <c r="X19" s="416"/>
      <c r="Y19" s="417"/>
    </row>
    <row r="20" spans="1:25" ht="15" customHeight="1" x14ac:dyDescent="0.25">
      <c r="A20" s="104"/>
      <c r="B20" s="104"/>
      <c r="K20" s="395" t="s">
        <v>668</v>
      </c>
      <c r="L20" s="396"/>
      <c r="M20" s="399"/>
      <c r="N20" s="395" t="s">
        <v>503</v>
      </c>
      <c r="O20" s="396"/>
      <c r="P20" s="420"/>
      <c r="Q20" s="421"/>
      <c r="S20" s="407" t="s">
        <v>668</v>
      </c>
      <c r="T20" s="408"/>
      <c r="U20" s="411">
        <f ca="1">TODAY()-Pivots!G1</f>
        <v>25</v>
      </c>
      <c r="V20" s="407" t="s">
        <v>503</v>
      </c>
      <c r="W20" s="408"/>
      <c r="X20" s="416"/>
      <c r="Y20" s="417"/>
    </row>
    <row r="21" spans="1:25" ht="15" customHeight="1" x14ac:dyDescent="0.25">
      <c r="A21" s="104" t="s">
        <v>591</v>
      </c>
      <c r="B21" s="104">
        <f>B18-B19</f>
        <v>0</v>
      </c>
      <c r="K21" s="397"/>
      <c r="L21" s="398"/>
      <c r="M21" s="400"/>
      <c r="N21" s="397"/>
      <c r="O21" s="398"/>
      <c r="P21" s="420"/>
      <c r="Q21" s="421"/>
      <c r="S21" s="409"/>
      <c r="T21" s="410"/>
      <c r="U21" s="412"/>
      <c r="V21" s="409"/>
      <c r="W21" s="410"/>
      <c r="X21" s="416"/>
      <c r="Y21" s="417"/>
    </row>
    <row r="22" spans="1:25" ht="15" customHeight="1" x14ac:dyDescent="0.25">
      <c r="K22" s="395" t="s">
        <v>669</v>
      </c>
      <c r="L22" s="396"/>
      <c r="M22" s="399"/>
      <c r="N22" s="395" t="s">
        <v>503</v>
      </c>
      <c r="O22" s="396"/>
      <c r="P22" s="420"/>
      <c r="Q22" s="421"/>
      <c r="S22" s="407" t="s">
        <v>669</v>
      </c>
      <c r="T22" s="408"/>
      <c r="U22" s="411">
        <f ca="1">TODAY()-'GA55'!H1</f>
        <v>25</v>
      </c>
      <c r="V22" s="407" t="s">
        <v>503</v>
      </c>
      <c r="W22" s="408"/>
      <c r="X22" s="416"/>
      <c r="Y22" s="417"/>
    </row>
    <row r="23" spans="1:25" ht="15" customHeight="1" x14ac:dyDescent="0.25">
      <c r="K23" s="397"/>
      <c r="L23" s="398"/>
      <c r="M23" s="400"/>
      <c r="N23" s="397"/>
      <c r="O23" s="398"/>
      <c r="P23" s="420"/>
      <c r="Q23" s="421"/>
      <c r="S23" s="409"/>
      <c r="T23" s="410"/>
      <c r="U23" s="412"/>
      <c r="V23" s="409"/>
      <c r="W23" s="410"/>
      <c r="X23" s="416"/>
      <c r="Y23" s="417"/>
    </row>
    <row r="24" spans="1:25" ht="15" customHeight="1" x14ac:dyDescent="0.25">
      <c r="K24" s="395" t="s">
        <v>589</v>
      </c>
      <c r="L24" s="396"/>
      <c r="M24" s="399">
        <f>GPF!S2</f>
        <v>57</v>
      </c>
      <c r="N24" s="395" t="s">
        <v>503</v>
      </c>
      <c r="O24" s="396"/>
      <c r="P24" s="420"/>
      <c r="Q24" s="421"/>
      <c r="S24" s="407" t="s">
        <v>589</v>
      </c>
      <c r="T24" s="408"/>
      <c r="U24" s="411">
        <f ca="1">TODAY()-GPF!V2</f>
        <v>25</v>
      </c>
      <c r="V24" s="407" t="s">
        <v>503</v>
      </c>
      <c r="W24" s="408"/>
      <c r="X24" s="416"/>
      <c r="Y24" s="417"/>
    </row>
    <row r="25" spans="1:25" ht="15" customHeight="1" x14ac:dyDescent="0.25">
      <c r="K25" s="397"/>
      <c r="L25" s="398"/>
      <c r="M25" s="400"/>
      <c r="N25" s="397"/>
      <c r="O25" s="398"/>
      <c r="P25" s="420"/>
      <c r="Q25" s="421"/>
      <c r="S25" s="409"/>
      <c r="T25" s="410"/>
      <c r="U25" s="412"/>
      <c r="V25" s="409"/>
      <c r="W25" s="410"/>
      <c r="X25" s="416"/>
      <c r="Y25" s="417"/>
    </row>
    <row r="26" spans="1:25" ht="15" customHeight="1" x14ac:dyDescent="0.25">
      <c r="K26" s="395" t="s">
        <v>3</v>
      </c>
      <c r="L26" s="396"/>
      <c r="M26" s="399" t="e">
        <f>#REF!</f>
        <v>#REF!</v>
      </c>
      <c r="N26" s="395" t="s">
        <v>503</v>
      </c>
      <c r="O26" s="396"/>
      <c r="P26" s="420"/>
      <c r="Q26" s="421"/>
      <c r="S26" s="407" t="s">
        <v>3</v>
      </c>
      <c r="T26" s="408"/>
      <c r="U26" s="411" t="e">
        <f ca="1">TODAY()-#REF!</f>
        <v>#REF!</v>
      </c>
      <c r="V26" s="407" t="s">
        <v>503</v>
      </c>
      <c r="W26" s="408"/>
      <c r="X26" s="416"/>
      <c r="Y26" s="417"/>
    </row>
    <row r="27" spans="1:25" ht="15" customHeight="1" x14ac:dyDescent="0.25">
      <c r="K27" s="397"/>
      <c r="L27" s="398"/>
      <c r="M27" s="400"/>
      <c r="N27" s="397"/>
      <c r="O27" s="398"/>
      <c r="P27" s="420"/>
      <c r="Q27" s="421"/>
      <c r="S27" s="409"/>
      <c r="T27" s="410"/>
      <c r="U27" s="412"/>
      <c r="V27" s="409"/>
      <c r="W27" s="410"/>
      <c r="X27" s="416"/>
      <c r="Y27" s="417"/>
    </row>
    <row r="28" spans="1:25" ht="15" customHeight="1" x14ac:dyDescent="0.25">
      <c r="K28" s="395" t="s">
        <v>670</v>
      </c>
      <c r="L28" s="396"/>
      <c r="M28" s="399" t="e">
        <f>#REF!</f>
        <v>#REF!</v>
      </c>
      <c r="N28" s="395" t="s">
        <v>503</v>
      </c>
      <c r="O28" s="396"/>
      <c r="P28" s="420"/>
      <c r="Q28" s="421"/>
      <c r="S28" s="407" t="s">
        <v>670</v>
      </c>
      <c r="T28" s="408"/>
      <c r="U28" s="411" t="e">
        <f ca="1">TODAY()-#REF!</f>
        <v>#REF!</v>
      </c>
      <c r="V28" s="407" t="s">
        <v>503</v>
      </c>
      <c r="W28" s="408"/>
      <c r="X28" s="416"/>
      <c r="Y28" s="417"/>
    </row>
    <row r="29" spans="1:25" ht="15" customHeight="1" x14ac:dyDescent="0.25">
      <c r="K29" s="397"/>
      <c r="L29" s="398"/>
      <c r="M29" s="400"/>
      <c r="N29" s="397"/>
      <c r="O29" s="398"/>
      <c r="P29" s="420"/>
      <c r="Q29" s="421"/>
      <c r="S29" s="409"/>
      <c r="T29" s="410"/>
      <c r="U29" s="412"/>
      <c r="V29" s="409"/>
      <c r="W29" s="410"/>
      <c r="X29" s="416"/>
      <c r="Y29" s="417"/>
    </row>
    <row r="30" spans="1:25" ht="15" customHeight="1" x14ac:dyDescent="0.25">
      <c r="K30" s="395" t="s">
        <v>671</v>
      </c>
      <c r="L30" s="396"/>
      <c r="M30" s="399">
        <f>'SI (SSO ID New)'!Q3+'SI (SSO ID New)'!S1+'SI (SSO ID New)'!S2</f>
        <v>3</v>
      </c>
      <c r="N30" s="395" t="s">
        <v>503</v>
      </c>
      <c r="O30" s="396"/>
      <c r="P30" s="420"/>
      <c r="Q30" s="421"/>
      <c r="S30" s="407" t="s">
        <v>671</v>
      </c>
      <c r="T30" s="408"/>
      <c r="U30" s="411">
        <f ca="1">TODAY()-'SI (SSO ID New)'!W1</f>
        <v>25</v>
      </c>
      <c r="V30" s="407" t="s">
        <v>503</v>
      </c>
      <c r="W30" s="408"/>
      <c r="X30" s="416"/>
      <c r="Y30" s="417"/>
    </row>
    <row r="31" spans="1:25" ht="15" customHeight="1" x14ac:dyDescent="0.25">
      <c r="K31" s="397"/>
      <c r="L31" s="398"/>
      <c r="M31" s="400"/>
      <c r="N31" s="397"/>
      <c r="O31" s="398"/>
      <c r="P31" s="420"/>
      <c r="Q31" s="421"/>
      <c r="S31" s="409"/>
      <c r="T31" s="410"/>
      <c r="U31" s="412"/>
      <c r="V31" s="409"/>
      <c r="W31" s="410"/>
      <c r="X31" s="416"/>
      <c r="Y31" s="417"/>
    </row>
    <row r="32" spans="1:25" ht="15" customHeight="1" x14ac:dyDescent="0.25">
      <c r="K32" s="395" t="s">
        <v>672</v>
      </c>
      <c r="L32" s="396"/>
      <c r="M32" s="399">
        <f>'SI (SSO ID New with Detail)'!AC8+'SI (SSO ID New with Detail)'!AF6</f>
        <v>0</v>
      </c>
      <c r="N32" s="395" t="s">
        <v>503</v>
      </c>
      <c r="O32" s="396"/>
      <c r="P32" s="420"/>
      <c r="Q32" s="421"/>
      <c r="S32" s="407" t="s">
        <v>672</v>
      </c>
      <c r="T32" s="408"/>
      <c r="U32" s="411">
        <f ca="1">TODAY()-'SI (SSO ID New with Detail)'!AH1</f>
        <v>25</v>
      </c>
      <c r="V32" s="407" t="s">
        <v>503</v>
      </c>
      <c r="W32" s="408"/>
      <c r="X32" s="416"/>
      <c r="Y32" s="417"/>
    </row>
    <row r="33" spans="11:25" ht="15" customHeight="1" x14ac:dyDescent="0.25">
      <c r="K33" s="397"/>
      <c r="L33" s="398"/>
      <c r="M33" s="400"/>
      <c r="N33" s="397"/>
      <c r="O33" s="398"/>
      <c r="P33" s="420"/>
      <c r="Q33" s="421"/>
      <c r="S33" s="409"/>
      <c r="T33" s="410"/>
      <c r="U33" s="412"/>
      <c r="V33" s="409"/>
      <c r="W33" s="410"/>
      <c r="X33" s="416"/>
      <c r="Y33" s="417"/>
    </row>
    <row r="34" spans="11:25" ht="15" customHeight="1" x14ac:dyDescent="0.25">
      <c r="K34" s="395" t="s">
        <v>673</v>
      </c>
      <c r="L34" s="396"/>
      <c r="M34" s="399">
        <f>'NPS (SSO ID)'!J4</f>
        <v>11</v>
      </c>
      <c r="N34" s="395" t="s">
        <v>503</v>
      </c>
      <c r="O34" s="396"/>
      <c r="P34" s="420"/>
      <c r="Q34" s="421"/>
      <c r="S34" s="413" t="s">
        <v>673</v>
      </c>
      <c r="T34" s="413"/>
      <c r="U34" s="411">
        <f ca="1">TODAY()-'NPS (SSO ID)'!N3</f>
        <v>25</v>
      </c>
      <c r="V34" s="413" t="s">
        <v>503</v>
      </c>
      <c r="W34" s="413"/>
      <c r="X34" s="416"/>
      <c r="Y34" s="417"/>
    </row>
    <row r="35" spans="11:25" ht="15" customHeight="1" x14ac:dyDescent="0.25">
      <c r="K35" s="397"/>
      <c r="L35" s="398"/>
      <c r="M35" s="400"/>
      <c r="N35" s="397"/>
      <c r="O35" s="398"/>
      <c r="P35" s="420"/>
      <c r="Q35" s="421"/>
      <c r="S35" s="413"/>
      <c r="T35" s="413"/>
      <c r="U35" s="412"/>
      <c r="V35" s="413"/>
      <c r="W35" s="413"/>
      <c r="X35" s="416"/>
      <c r="Y35" s="417"/>
    </row>
    <row r="36" spans="11:25" ht="15" customHeight="1" x14ac:dyDescent="0.25">
      <c r="K36" s="395" t="s">
        <v>674</v>
      </c>
      <c r="L36" s="396"/>
      <c r="M36" s="399">
        <f>'NPS Site'!B73</f>
        <v>0</v>
      </c>
      <c r="N36" s="395" t="s">
        <v>503</v>
      </c>
      <c r="O36" s="396"/>
      <c r="P36" s="420"/>
      <c r="Q36" s="421"/>
      <c r="S36" s="413" t="s">
        <v>674</v>
      </c>
      <c r="T36" s="413"/>
      <c r="U36" s="411">
        <f ca="1">TODAY()-'NPS Site'!G1</f>
        <v>25</v>
      </c>
      <c r="V36" s="413" t="s">
        <v>503</v>
      </c>
      <c r="W36" s="413"/>
      <c r="X36" s="416"/>
      <c r="Y36" s="417"/>
    </row>
    <row r="37" spans="11:25" ht="15" customHeight="1" x14ac:dyDescent="0.25">
      <c r="K37" s="397"/>
      <c r="L37" s="398"/>
      <c r="M37" s="400"/>
      <c r="N37" s="397"/>
      <c r="O37" s="398"/>
      <c r="P37" s="420"/>
      <c r="Q37" s="421"/>
      <c r="S37" s="413"/>
      <c r="T37" s="413"/>
      <c r="U37" s="412"/>
      <c r="V37" s="413"/>
      <c r="W37" s="413"/>
      <c r="X37" s="416"/>
      <c r="Y37" s="417"/>
    </row>
    <row r="38" spans="11:25" ht="15" customHeight="1" x14ac:dyDescent="0.25">
      <c r="K38" s="395" t="s">
        <v>675</v>
      </c>
      <c r="L38" s="396"/>
      <c r="M38" s="399">
        <f>'NPS Site Tier 2'!D51</f>
        <v>0</v>
      </c>
      <c r="N38" s="395" t="s">
        <v>503</v>
      </c>
      <c r="O38" s="396"/>
      <c r="P38" s="420"/>
      <c r="Q38" s="421"/>
      <c r="S38" s="413" t="s">
        <v>675</v>
      </c>
      <c r="T38" s="413"/>
      <c r="U38" s="411">
        <f ca="1">TODAY()-'NPS Site Tier 2'!H1</f>
        <v>25</v>
      </c>
      <c r="V38" s="413" t="s">
        <v>503</v>
      </c>
      <c r="W38" s="413"/>
      <c r="X38" s="416"/>
      <c r="Y38" s="417"/>
    </row>
    <row r="39" spans="11:25" ht="15" customHeight="1" x14ac:dyDescent="0.25">
      <c r="K39" s="397"/>
      <c r="L39" s="398"/>
      <c r="M39" s="400"/>
      <c r="N39" s="397"/>
      <c r="O39" s="398"/>
      <c r="P39" s="420"/>
      <c r="Q39" s="421"/>
      <c r="S39" s="413"/>
      <c r="T39" s="413"/>
      <c r="U39" s="412"/>
      <c r="V39" s="413"/>
      <c r="W39" s="413"/>
      <c r="X39" s="416"/>
      <c r="Y39" s="417"/>
    </row>
    <row r="40" spans="11:25" ht="15" customHeight="1" x14ac:dyDescent="0.25">
      <c r="K40" s="395" t="s">
        <v>676</v>
      </c>
      <c r="L40" s="396"/>
      <c r="M40" s="399"/>
      <c r="N40" s="395" t="s">
        <v>503</v>
      </c>
      <c r="O40" s="396"/>
      <c r="P40" s="420"/>
      <c r="Q40" s="421"/>
      <c r="S40" s="413" t="s">
        <v>676</v>
      </c>
      <c r="T40" s="413"/>
      <c r="U40" s="411">
        <f ca="1">TODAY()-Gratuity!G1</f>
        <v>25</v>
      </c>
      <c r="V40" s="413" t="s">
        <v>503</v>
      </c>
      <c r="W40" s="413"/>
      <c r="X40" s="416"/>
      <c r="Y40" s="417"/>
    </row>
    <row r="41" spans="11:25" ht="15" customHeight="1" x14ac:dyDescent="0.25">
      <c r="K41" s="397"/>
      <c r="L41" s="398"/>
      <c r="M41" s="400"/>
      <c r="N41" s="397"/>
      <c r="O41" s="398"/>
      <c r="P41" s="420"/>
      <c r="Q41" s="421"/>
      <c r="S41" s="413"/>
      <c r="T41" s="413"/>
      <c r="U41" s="412"/>
      <c r="V41" s="413"/>
      <c r="W41" s="413"/>
      <c r="X41" s="416"/>
      <c r="Y41" s="417"/>
    </row>
    <row r="42" spans="11:25" ht="15" customHeight="1" x14ac:dyDescent="0.25">
      <c r="K42" s="395" t="s">
        <v>472</v>
      </c>
      <c r="L42" s="396"/>
      <c r="M42" s="399"/>
      <c r="N42" s="395" t="s">
        <v>503</v>
      </c>
      <c r="O42" s="396"/>
      <c r="P42" s="420"/>
      <c r="Q42" s="421"/>
      <c r="S42" s="413" t="s">
        <v>472</v>
      </c>
      <c r="T42" s="413"/>
      <c r="U42" s="411">
        <f ca="1">TODAY()-RGHS!I1</f>
        <v>25</v>
      </c>
      <c r="V42" s="413" t="s">
        <v>503</v>
      </c>
      <c r="W42" s="413"/>
      <c r="X42" s="416"/>
      <c r="Y42" s="417"/>
    </row>
    <row r="43" spans="11:25" ht="15" customHeight="1" x14ac:dyDescent="0.25">
      <c r="K43" s="397"/>
      <c r="L43" s="398"/>
      <c r="M43" s="400"/>
      <c r="N43" s="397"/>
      <c r="O43" s="398"/>
      <c r="P43" s="420"/>
      <c r="Q43" s="421"/>
      <c r="S43" s="413"/>
      <c r="T43" s="413"/>
      <c r="U43" s="412"/>
      <c r="V43" s="413"/>
      <c r="W43" s="413"/>
      <c r="X43" s="416"/>
      <c r="Y43" s="417"/>
    </row>
    <row r="44" spans="11:25" ht="15" customHeight="1" x14ac:dyDescent="0.25">
      <c r="K44" s="395" t="s">
        <v>677</v>
      </c>
      <c r="L44" s="396"/>
      <c r="M44" s="399">
        <f>'SI Passbook'!O1</f>
        <v>0</v>
      </c>
      <c r="N44" s="395" t="s">
        <v>503</v>
      </c>
      <c r="O44" s="396"/>
      <c r="P44" s="420"/>
      <c r="Q44" s="421"/>
      <c r="S44" s="413" t="s">
        <v>677</v>
      </c>
      <c r="T44" s="413"/>
      <c r="U44" s="411">
        <f ca="1">TODAY()-'SI Passbook'!L1</f>
        <v>25</v>
      </c>
      <c r="V44" s="413" t="s">
        <v>503</v>
      </c>
      <c r="W44" s="413"/>
      <c r="X44" s="416"/>
      <c r="Y44" s="417"/>
    </row>
    <row r="45" spans="11:25" ht="15" customHeight="1" x14ac:dyDescent="0.25">
      <c r="K45" s="397"/>
      <c r="L45" s="398"/>
      <c r="M45" s="400"/>
      <c r="N45" s="397"/>
      <c r="O45" s="398"/>
      <c r="P45" s="420"/>
      <c r="Q45" s="421"/>
      <c r="S45" s="413"/>
      <c r="T45" s="413"/>
      <c r="U45" s="412"/>
      <c r="V45" s="413"/>
      <c r="W45" s="413"/>
      <c r="X45" s="416"/>
      <c r="Y45" s="417"/>
    </row>
    <row r="46" spans="11:25" ht="15" customHeight="1" x14ac:dyDescent="0.25">
      <c r="K46" s="395" t="s">
        <v>708</v>
      </c>
      <c r="L46" s="396"/>
      <c r="M46" s="399">
        <f>'Leave Balance'!H1</f>
        <v>2</v>
      </c>
      <c r="N46" s="395" t="s">
        <v>503</v>
      </c>
      <c r="O46" s="396"/>
      <c r="P46" s="420"/>
      <c r="Q46" s="421"/>
      <c r="S46" s="413" t="s">
        <v>708</v>
      </c>
      <c r="T46" s="413"/>
      <c r="U46" s="411">
        <f ca="1">TODAY()-'Leave Balance'!C1</f>
        <v>25</v>
      </c>
      <c r="V46" s="413" t="s">
        <v>503</v>
      </c>
      <c r="W46" s="413"/>
      <c r="X46" s="416"/>
      <c r="Y46" s="417"/>
    </row>
    <row r="47" spans="11:25" ht="15" customHeight="1" x14ac:dyDescent="0.25">
      <c r="K47" s="397"/>
      <c r="L47" s="398"/>
      <c r="M47" s="400"/>
      <c r="N47" s="397"/>
      <c r="O47" s="398"/>
      <c r="P47" s="420"/>
      <c r="Q47" s="421"/>
      <c r="S47" s="413"/>
      <c r="T47" s="413"/>
      <c r="U47" s="412"/>
      <c r="V47" s="413"/>
      <c r="W47" s="413"/>
      <c r="X47" s="416"/>
      <c r="Y47" s="417"/>
    </row>
    <row r="48" spans="11:25" ht="15" customHeight="1" x14ac:dyDescent="0.25">
      <c r="K48" s="395" t="s">
        <v>678</v>
      </c>
      <c r="L48" s="396"/>
      <c r="M48" s="399" t="e">
        <f>#REF!</f>
        <v>#REF!</v>
      </c>
      <c r="N48" s="395" t="s">
        <v>503</v>
      </c>
      <c r="O48" s="396"/>
      <c r="P48" s="420"/>
      <c r="Q48" s="421"/>
      <c r="S48" s="413" t="s">
        <v>678</v>
      </c>
      <c r="T48" s="413"/>
      <c r="U48" s="411" t="e">
        <f ca="1">TODAY()-#REF!</f>
        <v>#REF!</v>
      </c>
      <c r="V48" s="413" t="s">
        <v>503</v>
      </c>
      <c r="W48" s="413"/>
      <c r="X48" s="416"/>
      <c r="Y48" s="417"/>
    </row>
    <row r="49" spans="11:25" ht="15" customHeight="1" x14ac:dyDescent="0.25">
      <c r="K49" s="397"/>
      <c r="L49" s="398"/>
      <c r="M49" s="400"/>
      <c r="N49" s="397"/>
      <c r="O49" s="398"/>
      <c r="P49" s="420"/>
      <c r="Q49" s="421"/>
      <c r="S49" s="413"/>
      <c r="T49" s="413"/>
      <c r="U49" s="412"/>
      <c r="V49" s="413"/>
      <c r="W49" s="413"/>
      <c r="X49" s="416"/>
      <c r="Y49" s="417"/>
    </row>
    <row r="50" spans="11:25" x14ac:dyDescent="0.25">
      <c r="S50" s="142"/>
      <c r="T50" s="142"/>
      <c r="U50" s="142"/>
      <c r="V50" s="142"/>
      <c r="W50" s="142"/>
    </row>
  </sheetData>
  <mergeCells count="109">
    <mergeCell ref="E15:H15"/>
    <mergeCell ref="M44:M45"/>
    <mergeCell ref="M46:M47"/>
    <mergeCell ref="M48:M49"/>
    <mergeCell ref="P16:Q49"/>
    <mergeCell ref="K44:L45"/>
    <mergeCell ref="K46:L47"/>
    <mergeCell ref="K48:L49"/>
    <mergeCell ref="N44:O45"/>
    <mergeCell ref="N46:O47"/>
    <mergeCell ref="N48:O49"/>
    <mergeCell ref="K20:L21"/>
    <mergeCell ref="N20:O21"/>
    <mergeCell ref="K38:L39"/>
    <mergeCell ref="M38:M39"/>
    <mergeCell ref="N38:O39"/>
    <mergeCell ref="K32:L33"/>
    <mergeCell ref="M32:M33"/>
    <mergeCell ref="N32:O33"/>
    <mergeCell ref="K34:L35"/>
    <mergeCell ref="N30:O31"/>
    <mergeCell ref="M30:M31"/>
    <mergeCell ref="K30:L31"/>
    <mergeCell ref="M34:M35"/>
    <mergeCell ref="N34:O35"/>
    <mergeCell ref="S38:T39"/>
    <mergeCell ref="U38:U39"/>
    <mergeCell ref="V38:W39"/>
    <mergeCell ref="X16:Y49"/>
    <mergeCell ref="V44:W45"/>
    <mergeCell ref="V46:W47"/>
    <mergeCell ref="V48:W49"/>
    <mergeCell ref="S44:T45"/>
    <mergeCell ref="S46:T47"/>
    <mergeCell ref="S48:T49"/>
    <mergeCell ref="U44:U45"/>
    <mergeCell ref="U46:U47"/>
    <mergeCell ref="U48:U49"/>
    <mergeCell ref="S42:T43"/>
    <mergeCell ref="U42:U43"/>
    <mergeCell ref="V42:W43"/>
    <mergeCell ref="S40:T41"/>
    <mergeCell ref="U40:U41"/>
    <mergeCell ref="V40:W41"/>
    <mergeCell ref="S18:T19"/>
    <mergeCell ref="N36:O37"/>
    <mergeCell ref="U18:U19"/>
    <mergeCell ref="V18:W19"/>
    <mergeCell ref="V36:W37"/>
    <mergeCell ref="M20:M21"/>
    <mergeCell ref="S28:T29"/>
    <mergeCell ref="U28:U29"/>
    <mergeCell ref="V28:W29"/>
    <mergeCell ref="K42:L43"/>
    <mergeCell ref="M42:M43"/>
    <mergeCell ref="N42:O43"/>
    <mergeCell ref="S36:T37"/>
    <mergeCell ref="U36:U37"/>
    <mergeCell ref="K40:L41"/>
    <mergeCell ref="M40:M41"/>
    <mergeCell ref="N40:O41"/>
    <mergeCell ref="K36:L37"/>
    <mergeCell ref="M36:M37"/>
    <mergeCell ref="S22:T23"/>
    <mergeCell ref="U22:U23"/>
    <mergeCell ref="V22:W23"/>
    <mergeCell ref="S24:T25"/>
    <mergeCell ref="U24:U25"/>
    <mergeCell ref="V24:W25"/>
    <mergeCell ref="S26:T27"/>
    <mergeCell ref="U26:U27"/>
    <mergeCell ref="V26:W27"/>
    <mergeCell ref="S16:W17"/>
    <mergeCell ref="S30:T31"/>
    <mergeCell ref="U30:U31"/>
    <mergeCell ref="V30:W31"/>
    <mergeCell ref="S32:T33"/>
    <mergeCell ref="U32:U33"/>
    <mergeCell ref="V32:W33"/>
    <mergeCell ref="S34:T35"/>
    <mergeCell ref="U34:U35"/>
    <mergeCell ref="V34:W35"/>
    <mergeCell ref="S20:T21"/>
    <mergeCell ref="U20:U21"/>
    <mergeCell ref="V20:W21"/>
    <mergeCell ref="A7:B7"/>
    <mergeCell ref="A1:B1"/>
    <mergeCell ref="E1:H1"/>
    <mergeCell ref="K1:Q1"/>
    <mergeCell ref="M9:O9"/>
    <mergeCell ref="M10:O10"/>
    <mergeCell ref="K28:L29"/>
    <mergeCell ref="M28:M29"/>
    <mergeCell ref="N28:O29"/>
    <mergeCell ref="E14:H14"/>
    <mergeCell ref="A17:B17"/>
    <mergeCell ref="M24:M25"/>
    <mergeCell ref="N24:O25"/>
    <mergeCell ref="K24:L25"/>
    <mergeCell ref="N22:O23"/>
    <mergeCell ref="M22:M23"/>
    <mergeCell ref="K22:L23"/>
    <mergeCell ref="K26:L27"/>
    <mergeCell ref="N26:O27"/>
    <mergeCell ref="M26:M27"/>
    <mergeCell ref="K16:O17"/>
    <mergeCell ref="K18:L19"/>
    <mergeCell ref="M18:M19"/>
    <mergeCell ref="N18:O19"/>
  </mergeCells>
  <conditionalFormatting sqref="U18:U49">
    <cfRule type="cellIs" dxfId="0" priority="1" operator="greaterThan">
      <formula>0</formula>
    </cfRule>
  </conditionalFormatting>
  <hyperlinks>
    <hyperlink ref="S3" r:id="rId1" xr:uid="{240BA341-9817-4538-AA4F-92F98D73CB6B}"/>
    <hyperlink ref="S4" r:id="rId2" xr:uid="{5748F67D-CCA3-4D42-9383-804C8B1BD5ED}"/>
    <hyperlink ref="S5" r:id="rId3" xr:uid="{198277EF-D45A-4E9D-B58C-25C1BFB646DA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Pivots</vt:lpstr>
      <vt:lpstr>SI Passbook</vt:lpstr>
      <vt:lpstr>GA55</vt:lpstr>
      <vt:lpstr>Leave Balance</vt:lpstr>
      <vt:lpstr>GPF</vt:lpstr>
      <vt:lpstr>SI (SSO ID New)</vt:lpstr>
      <vt:lpstr>SI (SSO ID New with Detail)</vt:lpstr>
      <vt:lpstr>NPS (SSO ID)</vt:lpstr>
      <vt:lpstr>NPS Site</vt:lpstr>
      <vt:lpstr>NPS Site Tier 2</vt:lpstr>
      <vt:lpstr>Gratuity</vt:lpstr>
      <vt:lpstr>RGHS</vt:lpstr>
      <vt:lpstr>Differnce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CHC SAMDARI</dc:creator>
  <cp:lastModifiedBy>mohitjain.doit@gmail.com</cp:lastModifiedBy>
  <cp:lastPrinted>2022-06-06T10:49:49Z</cp:lastPrinted>
  <dcterms:created xsi:type="dcterms:W3CDTF">2013-04-10T06:02:24Z</dcterms:created>
  <dcterms:modified xsi:type="dcterms:W3CDTF">2026-04-23T11:36:38Z</dcterms:modified>
</cp:coreProperties>
</file>